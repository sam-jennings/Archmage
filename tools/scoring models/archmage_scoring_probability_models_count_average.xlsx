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ragmaticplay-my.sharepoint.com/personal/sam_jennings_arrise_com/Documents/Documents/Archmage Ascension/tools/"/>
    </mc:Choice>
  </mc:AlternateContent>
  <xr:revisionPtr revIDLastSave="0" documentId="11_F4715C6C03FAB9339216883129B9222EA25AFB77" xr6:coauthVersionLast="47" xr6:coauthVersionMax="47" xr10:uidLastSave="{00000000-0000-0000-0000-000000000000}"/>
  <bookViews>
    <workbookView xWindow="446" yWindow="0" windowWidth="21600" windowHeight="11177" xr2:uid="{00000000-000D-0000-FFFF-FFFF00000000}"/>
  </bookViews>
  <sheets>
    <sheet name="Inputs" sheetId="1" r:id="rId1"/>
    <sheet name="Raw_Model" sheetId="2" r:id="rId2"/>
    <sheet name="Marginal_Model" sheetId="3" r:id="rId3"/>
    <sheet name="Combined_Model" sheetId="4" r:id="rId4"/>
    <sheet name="ReadMe" sheetId="5" r:id="rId5"/>
    <sheet name="Final_Tables" sheetId="6" r:id="rId6"/>
    <sheet name="Fixed_Opportunity" sheetId="7" r:id="rId7"/>
    <sheet name="Combined_Fixed_Model" sheetId="8" r:id="rId8"/>
    <sheet name="Final_Fixed_Tables" sheetId="9" r:id="rId9"/>
    <sheet name="PC_Model" sheetId="10" r:id="rId10"/>
    <sheet name="Fixed_vs_CountAvg" sheetId="11" r:id="rId11"/>
    <sheet name="Prob_Fixed_vs_Avg" sheetId="12" r:id="rId12"/>
    <sheet name="Computed_Difficulty" sheetId="13" r:id="rId13"/>
    <sheet name="Computed_Probability" sheetId="14" r:id="rId14"/>
    <sheet name="Computed_PC_Detail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1" i="10" l="1"/>
  <c r="U261" i="10"/>
  <c r="V261" i="10" s="1"/>
  <c r="M261" i="10"/>
  <c r="G261" i="10"/>
  <c r="F261" i="10"/>
  <c r="E261" i="10"/>
  <c r="W260" i="10"/>
  <c r="H260" i="10"/>
  <c r="F260" i="10"/>
  <c r="G260" i="10" s="1"/>
  <c r="E260" i="10"/>
  <c r="M260" i="10" s="1"/>
  <c r="W259" i="10"/>
  <c r="M259" i="10"/>
  <c r="F259" i="10"/>
  <c r="G259" i="10" s="1"/>
  <c r="E259" i="10"/>
  <c r="W258" i="10"/>
  <c r="E258" i="10"/>
  <c r="M258" i="10" s="1"/>
  <c r="AA257" i="10"/>
  <c r="AB257" i="10" s="1"/>
  <c r="W257" i="10"/>
  <c r="U257" i="10"/>
  <c r="V257" i="10" s="1"/>
  <c r="M257" i="10"/>
  <c r="I257" i="10"/>
  <c r="F257" i="10"/>
  <c r="G257" i="10" s="1"/>
  <c r="E257" i="10"/>
  <c r="W256" i="10"/>
  <c r="M256" i="10"/>
  <c r="G256" i="10"/>
  <c r="F256" i="10"/>
  <c r="E256" i="10"/>
  <c r="X255" i="10"/>
  <c r="Y255" i="10" s="1"/>
  <c r="Z255" i="10" s="1"/>
  <c r="W255" i="10"/>
  <c r="G255" i="10"/>
  <c r="F255" i="10"/>
  <c r="E255" i="10"/>
  <c r="M255" i="10" s="1"/>
  <c r="W254" i="10"/>
  <c r="M254" i="10"/>
  <c r="I254" i="10"/>
  <c r="H254" i="10"/>
  <c r="E254" i="10"/>
  <c r="F254" i="10" s="1"/>
  <c r="G254" i="10" s="1"/>
  <c r="W253" i="10"/>
  <c r="G253" i="10"/>
  <c r="F253" i="10"/>
  <c r="E253" i="10"/>
  <c r="M253" i="10" s="1"/>
  <c r="W252" i="10"/>
  <c r="E252" i="10"/>
  <c r="W251" i="10"/>
  <c r="E251" i="10"/>
  <c r="W250" i="10"/>
  <c r="E250" i="10"/>
  <c r="W249" i="10"/>
  <c r="M249" i="10"/>
  <c r="H249" i="10"/>
  <c r="G249" i="10"/>
  <c r="I249" i="10" s="1"/>
  <c r="E249" i="10"/>
  <c r="F249" i="10" s="1"/>
  <c r="W248" i="10"/>
  <c r="N248" i="10"/>
  <c r="M248" i="10"/>
  <c r="H248" i="10"/>
  <c r="G248" i="10"/>
  <c r="E248" i="10"/>
  <c r="F248" i="10" s="1"/>
  <c r="W247" i="10"/>
  <c r="E247" i="10"/>
  <c r="W246" i="10"/>
  <c r="E246" i="10"/>
  <c r="W245" i="10"/>
  <c r="E245" i="10"/>
  <c r="M245" i="10" s="1"/>
  <c r="Z244" i="10"/>
  <c r="X244" i="10"/>
  <c r="Y244" i="10" s="1"/>
  <c r="W244" i="10"/>
  <c r="M244" i="10"/>
  <c r="F244" i="10"/>
  <c r="G244" i="10" s="1"/>
  <c r="E244" i="10"/>
  <c r="X243" i="10"/>
  <c r="Y243" i="10" s="1"/>
  <c r="Z243" i="10" s="1"/>
  <c r="W243" i="10"/>
  <c r="M243" i="10"/>
  <c r="G243" i="10"/>
  <c r="F243" i="10"/>
  <c r="E243" i="10"/>
  <c r="W242" i="10"/>
  <c r="E242" i="10"/>
  <c r="W241" i="10"/>
  <c r="E241" i="10"/>
  <c r="W240" i="10"/>
  <c r="E240" i="10"/>
  <c r="W239" i="10"/>
  <c r="E239" i="10"/>
  <c r="W238" i="10"/>
  <c r="E238" i="10"/>
  <c r="M238" i="10" s="1"/>
  <c r="X237" i="10"/>
  <c r="Y237" i="10" s="1"/>
  <c r="Z237" i="10" s="1"/>
  <c r="W237" i="10"/>
  <c r="M237" i="10"/>
  <c r="G237" i="10"/>
  <c r="F237" i="10"/>
  <c r="E237" i="10"/>
  <c r="W236" i="10"/>
  <c r="E236" i="10"/>
  <c r="M236" i="10" s="1"/>
  <c r="W235" i="10"/>
  <c r="M235" i="10"/>
  <c r="I235" i="10"/>
  <c r="E235" i="10"/>
  <c r="F235" i="10" s="1"/>
  <c r="G235" i="10" s="1"/>
  <c r="W234" i="10"/>
  <c r="X234" i="10" s="1"/>
  <c r="Y234" i="10" s="1"/>
  <c r="Z234" i="10" s="1"/>
  <c r="M234" i="10"/>
  <c r="G234" i="10"/>
  <c r="F234" i="10"/>
  <c r="E234" i="10"/>
  <c r="W233" i="10"/>
  <c r="M233" i="10"/>
  <c r="G233" i="10"/>
  <c r="E233" i="10"/>
  <c r="F233" i="10" s="1"/>
  <c r="W232" i="10"/>
  <c r="M232" i="10"/>
  <c r="H232" i="10"/>
  <c r="F232" i="10"/>
  <c r="G232" i="10" s="1"/>
  <c r="E232" i="10"/>
  <c r="W231" i="10"/>
  <c r="M231" i="10"/>
  <c r="G231" i="10"/>
  <c r="E231" i="10"/>
  <c r="F231" i="10" s="1"/>
  <c r="W230" i="10"/>
  <c r="E230" i="10"/>
  <c r="M230" i="10" s="1"/>
  <c r="W229" i="10"/>
  <c r="E229" i="10"/>
  <c r="W228" i="10"/>
  <c r="E228" i="10"/>
  <c r="F228" i="10" s="1"/>
  <c r="G228" i="10" s="1"/>
  <c r="W227" i="10"/>
  <c r="M227" i="10"/>
  <c r="I227" i="10"/>
  <c r="H227" i="10"/>
  <c r="J227" i="10" s="1"/>
  <c r="E227" i="10"/>
  <c r="F227" i="10" s="1"/>
  <c r="G227" i="10" s="1"/>
  <c r="W226" i="10"/>
  <c r="M226" i="10"/>
  <c r="F226" i="10"/>
  <c r="G226" i="10" s="1"/>
  <c r="E226" i="10"/>
  <c r="W225" i="10"/>
  <c r="U225" i="10"/>
  <c r="V225" i="10" s="1"/>
  <c r="S225" i="10"/>
  <c r="T225" i="10" s="1"/>
  <c r="E225" i="10"/>
  <c r="M225" i="10" s="1"/>
  <c r="W224" i="10"/>
  <c r="E224" i="10"/>
  <c r="W223" i="10"/>
  <c r="M223" i="10"/>
  <c r="H223" i="10"/>
  <c r="G223" i="10"/>
  <c r="F223" i="10"/>
  <c r="E223" i="10"/>
  <c r="W222" i="10"/>
  <c r="G222" i="10"/>
  <c r="E222" i="10"/>
  <c r="F222" i="10" s="1"/>
  <c r="W221" i="10"/>
  <c r="J221" i="10"/>
  <c r="I221" i="10"/>
  <c r="G221" i="10"/>
  <c r="H221" i="10" s="1"/>
  <c r="E221" i="10"/>
  <c r="F221" i="10" s="1"/>
  <c r="W220" i="10"/>
  <c r="M220" i="10"/>
  <c r="G220" i="10"/>
  <c r="E220" i="10"/>
  <c r="F220" i="10" s="1"/>
  <c r="W219" i="10"/>
  <c r="M219" i="10"/>
  <c r="F219" i="10"/>
  <c r="G219" i="10" s="1"/>
  <c r="E219" i="10"/>
  <c r="W218" i="10"/>
  <c r="E218" i="10"/>
  <c r="X217" i="10"/>
  <c r="Y217" i="10" s="1"/>
  <c r="Z217" i="10" s="1"/>
  <c r="W217" i="10"/>
  <c r="M217" i="10"/>
  <c r="F217" i="10"/>
  <c r="G217" i="10" s="1"/>
  <c r="E217" i="10"/>
  <c r="W216" i="10"/>
  <c r="E216" i="10"/>
  <c r="W215" i="10"/>
  <c r="M215" i="10"/>
  <c r="G215" i="10"/>
  <c r="F215" i="10"/>
  <c r="E215" i="10"/>
  <c r="W214" i="10"/>
  <c r="E214" i="10"/>
  <c r="M214" i="10" s="1"/>
  <c r="W213" i="10"/>
  <c r="M213" i="10"/>
  <c r="F213" i="10"/>
  <c r="G213" i="10" s="1"/>
  <c r="E213" i="10"/>
  <c r="W212" i="10"/>
  <c r="E212" i="10"/>
  <c r="W211" i="10"/>
  <c r="M211" i="10"/>
  <c r="H211" i="10"/>
  <c r="F211" i="10"/>
  <c r="G211" i="10" s="1"/>
  <c r="E211" i="10"/>
  <c r="W210" i="10"/>
  <c r="I210" i="10"/>
  <c r="H210" i="10"/>
  <c r="G210" i="10"/>
  <c r="F210" i="10"/>
  <c r="E210" i="10"/>
  <c r="M210" i="10" s="1"/>
  <c r="W209" i="10"/>
  <c r="M209" i="10"/>
  <c r="F209" i="10"/>
  <c r="G209" i="10" s="1"/>
  <c r="E209" i="10"/>
  <c r="W208" i="10"/>
  <c r="G208" i="10"/>
  <c r="H208" i="10" s="1"/>
  <c r="F208" i="10"/>
  <c r="E208" i="10"/>
  <c r="M208" i="10" s="1"/>
  <c r="W207" i="10"/>
  <c r="E207" i="10"/>
  <c r="W206" i="10"/>
  <c r="M206" i="10"/>
  <c r="E206" i="10"/>
  <c r="F206" i="10" s="1"/>
  <c r="G206" i="10" s="1"/>
  <c r="W205" i="10"/>
  <c r="E205" i="10"/>
  <c r="W204" i="10"/>
  <c r="M204" i="10"/>
  <c r="F204" i="10"/>
  <c r="G204" i="10" s="1"/>
  <c r="E204" i="10"/>
  <c r="W203" i="10"/>
  <c r="M203" i="10"/>
  <c r="I203" i="10"/>
  <c r="O203" i="10" s="1"/>
  <c r="H203" i="10"/>
  <c r="F203" i="10"/>
  <c r="G203" i="10" s="1"/>
  <c r="E203" i="10"/>
  <c r="W202" i="10"/>
  <c r="E202" i="10"/>
  <c r="W201" i="10"/>
  <c r="E201" i="10"/>
  <c r="W200" i="10"/>
  <c r="E200" i="10"/>
  <c r="W199" i="10"/>
  <c r="O199" i="10"/>
  <c r="M199" i="10"/>
  <c r="I199" i="10"/>
  <c r="E199" i="10"/>
  <c r="F199" i="10" s="1"/>
  <c r="G199" i="10" s="1"/>
  <c r="H199" i="10" s="1"/>
  <c r="W198" i="10"/>
  <c r="M198" i="10"/>
  <c r="F198" i="10"/>
  <c r="E198" i="10"/>
  <c r="W197" i="10"/>
  <c r="E197" i="10"/>
  <c r="W196" i="10"/>
  <c r="E196" i="10"/>
  <c r="M196" i="10" s="1"/>
  <c r="W195" i="10"/>
  <c r="X195" i="10" s="1"/>
  <c r="Y195" i="10" s="1"/>
  <c r="Z195" i="10" s="1"/>
  <c r="F195" i="10"/>
  <c r="G195" i="10" s="1"/>
  <c r="E195" i="10"/>
  <c r="M195" i="10" s="1"/>
  <c r="W194" i="10"/>
  <c r="M194" i="10"/>
  <c r="E194" i="10"/>
  <c r="F194" i="10" s="1"/>
  <c r="G194" i="10" s="1"/>
  <c r="W193" i="10"/>
  <c r="M193" i="10"/>
  <c r="H193" i="10"/>
  <c r="G193" i="10"/>
  <c r="F193" i="10"/>
  <c r="E193" i="10"/>
  <c r="W192" i="10"/>
  <c r="E192" i="10"/>
  <c r="M192" i="10" s="1"/>
  <c r="W191" i="10"/>
  <c r="M191" i="10"/>
  <c r="E191" i="10"/>
  <c r="F191" i="10" s="1"/>
  <c r="G191" i="10" s="1"/>
  <c r="X190" i="10"/>
  <c r="Y190" i="10" s="1"/>
  <c r="Z190" i="10" s="1"/>
  <c r="W190" i="10"/>
  <c r="M190" i="10"/>
  <c r="F190" i="10"/>
  <c r="G190" i="10" s="1"/>
  <c r="E190" i="10"/>
  <c r="W189" i="10"/>
  <c r="F189" i="10"/>
  <c r="G189" i="10" s="1"/>
  <c r="E189" i="10"/>
  <c r="M189" i="10" s="1"/>
  <c r="W188" i="10"/>
  <c r="M188" i="10"/>
  <c r="E188" i="10"/>
  <c r="F188" i="10" s="1"/>
  <c r="W187" i="10"/>
  <c r="X187" i="10" s="1"/>
  <c r="Y187" i="10" s="1"/>
  <c r="Z187" i="10" s="1"/>
  <c r="M187" i="10"/>
  <c r="F187" i="10"/>
  <c r="G187" i="10" s="1"/>
  <c r="E187" i="10"/>
  <c r="W186" i="10"/>
  <c r="M186" i="10"/>
  <c r="E186" i="10"/>
  <c r="F186" i="10" s="1"/>
  <c r="G186" i="10" s="1"/>
  <c r="W185" i="10"/>
  <c r="X185" i="10" s="1"/>
  <c r="Y185" i="10" s="1"/>
  <c r="Z185" i="10" s="1"/>
  <c r="V185" i="10"/>
  <c r="U185" i="10"/>
  <c r="S185" i="10"/>
  <c r="T185" i="10" s="1"/>
  <c r="M185" i="10"/>
  <c r="G185" i="10"/>
  <c r="E185" i="10"/>
  <c r="F185" i="10" s="1"/>
  <c r="W184" i="10"/>
  <c r="E184" i="10"/>
  <c r="M184" i="10" s="1"/>
  <c r="W183" i="10"/>
  <c r="E183" i="10"/>
  <c r="M183" i="10" s="1"/>
  <c r="X182" i="10"/>
  <c r="Y182" i="10" s="1"/>
  <c r="Z182" i="10" s="1"/>
  <c r="W182" i="10"/>
  <c r="M182" i="10"/>
  <c r="G182" i="10"/>
  <c r="F182" i="10"/>
  <c r="E182" i="10"/>
  <c r="W181" i="10"/>
  <c r="E181" i="10"/>
  <c r="W180" i="10"/>
  <c r="E180" i="10"/>
  <c r="W179" i="10"/>
  <c r="M179" i="10"/>
  <c r="G179" i="10"/>
  <c r="E179" i="10"/>
  <c r="F179" i="10" s="1"/>
  <c r="W178" i="10"/>
  <c r="E178" i="10"/>
  <c r="W177" i="10"/>
  <c r="E177" i="10"/>
  <c r="F177" i="10" s="1"/>
  <c r="G177" i="10" s="1"/>
  <c r="W176" i="10"/>
  <c r="E176" i="10"/>
  <c r="M176" i="10" s="1"/>
  <c r="W175" i="10"/>
  <c r="M175" i="10"/>
  <c r="F175" i="10"/>
  <c r="G175" i="10" s="1"/>
  <c r="E175" i="10"/>
  <c r="W174" i="10"/>
  <c r="M174" i="10"/>
  <c r="E174" i="10"/>
  <c r="F174" i="10" s="1"/>
  <c r="G174" i="10" s="1"/>
  <c r="W173" i="10"/>
  <c r="M173" i="10"/>
  <c r="F173" i="10"/>
  <c r="G173" i="10" s="1"/>
  <c r="E173" i="10"/>
  <c r="W172" i="10"/>
  <c r="M172" i="10"/>
  <c r="E172" i="10"/>
  <c r="F172" i="10" s="1"/>
  <c r="G172" i="10" s="1"/>
  <c r="W171" i="10"/>
  <c r="M171" i="10"/>
  <c r="F171" i="10"/>
  <c r="G171" i="10" s="1"/>
  <c r="E171" i="10"/>
  <c r="W170" i="10"/>
  <c r="E170" i="10"/>
  <c r="W169" i="10"/>
  <c r="M169" i="10"/>
  <c r="G169" i="10"/>
  <c r="F169" i="10"/>
  <c r="E169" i="10"/>
  <c r="W168" i="10"/>
  <c r="E168" i="10"/>
  <c r="W167" i="10"/>
  <c r="M167" i="10"/>
  <c r="E167" i="10"/>
  <c r="F167" i="10" s="1"/>
  <c r="G167" i="10" s="1"/>
  <c r="W166" i="10"/>
  <c r="M166" i="10"/>
  <c r="H166" i="10"/>
  <c r="G166" i="10"/>
  <c r="F166" i="10"/>
  <c r="E166" i="10"/>
  <c r="W165" i="10"/>
  <c r="M165" i="10"/>
  <c r="E165" i="10"/>
  <c r="F165" i="10" s="1"/>
  <c r="G165" i="10" s="1"/>
  <c r="W164" i="10"/>
  <c r="M164" i="10"/>
  <c r="E164" i="10"/>
  <c r="F164" i="10" s="1"/>
  <c r="G164" i="10" s="1"/>
  <c r="X163" i="10"/>
  <c r="Y163" i="10" s="1"/>
  <c r="Z163" i="10" s="1"/>
  <c r="W163" i="10"/>
  <c r="M163" i="10"/>
  <c r="G163" i="10"/>
  <c r="F163" i="10"/>
  <c r="E163" i="10"/>
  <c r="W162" i="10"/>
  <c r="E162" i="10"/>
  <c r="M162" i="10" s="1"/>
  <c r="W161" i="10"/>
  <c r="X161" i="10" s="1"/>
  <c r="Y161" i="10" s="1"/>
  <c r="Z161" i="10" s="1"/>
  <c r="M161" i="10"/>
  <c r="F161" i="10"/>
  <c r="G161" i="10" s="1"/>
  <c r="H161" i="10" s="1"/>
  <c r="E161" i="10"/>
  <c r="W160" i="10"/>
  <c r="F160" i="10"/>
  <c r="G160" i="10" s="1"/>
  <c r="E160" i="10"/>
  <c r="M160" i="10" s="1"/>
  <c r="W159" i="10"/>
  <c r="E159" i="10"/>
  <c r="W158" i="10"/>
  <c r="M158" i="10"/>
  <c r="G158" i="10"/>
  <c r="F158" i="10"/>
  <c r="E158" i="10"/>
  <c r="W157" i="10"/>
  <c r="M157" i="10"/>
  <c r="F157" i="10"/>
  <c r="G157" i="10" s="1"/>
  <c r="E157" i="10"/>
  <c r="W156" i="10"/>
  <c r="M156" i="10"/>
  <c r="G156" i="10"/>
  <c r="E156" i="10"/>
  <c r="F156" i="10" s="1"/>
  <c r="W155" i="10"/>
  <c r="M155" i="10"/>
  <c r="F155" i="10"/>
  <c r="G155" i="10" s="1"/>
  <c r="E155" i="10"/>
  <c r="W154" i="10"/>
  <c r="M154" i="10"/>
  <c r="G154" i="10"/>
  <c r="F154" i="10"/>
  <c r="E154" i="10"/>
  <c r="AA153" i="10"/>
  <c r="AB153" i="10" s="1"/>
  <c r="Y153" i="10"/>
  <c r="Z153" i="10" s="1"/>
  <c r="X153" i="10"/>
  <c r="W153" i="10"/>
  <c r="U153" i="10"/>
  <c r="V153" i="10" s="1"/>
  <c r="S153" i="10"/>
  <c r="T153" i="10" s="1"/>
  <c r="Q153" i="10"/>
  <c r="R153" i="10" s="1"/>
  <c r="P153" i="10"/>
  <c r="M153" i="10"/>
  <c r="E153" i="10"/>
  <c r="F153" i="10" s="1"/>
  <c r="G153" i="10" s="1"/>
  <c r="W152" i="10"/>
  <c r="E152" i="10"/>
  <c r="M152" i="10" s="1"/>
  <c r="W151" i="10"/>
  <c r="M151" i="10"/>
  <c r="F151" i="10"/>
  <c r="G151" i="10" s="1"/>
  <c r="E151" i="10"/>
  <c r="W150" i="10"/>
  <c r="M150" i="10"/>
  <c r="E150" i="10"/>
  <c r="F150" i="10" s="1"/>
  <c r="G150" i="10" s="1"/>
  <c r="AA149" i="10"/>
  <c r="AB149" i="10" s="1"/>
  <c r="W149" i="10"/>
  <c r="X149" i="10" s="1"/>
  <c r="Y149" i="10" s="1"/>
  <c r="Z149" i="10" s="1"/>
  <c r="V149" i="10"/>
  <c r="U149" i="10"/>
  <c r="S149" i="10"/>
  <c r="T149" i="10" s="1"/>
  <c r="E149" i="10"/>
  <c r="M149" i="10" s="1"/>
  <c r="W148" i="10"/>
  <c r="E148" i="10"/>
  <c r="W147" i="10"/>
  <c r="M147" i="10"/>
  <c r="E147" i="10"/>
  <c r="F147" i="10" s="1"/>
  <c r="G147" i="10" s="1"/>
  <c r="W146" i="10"/>
  <c r="E146" i="10"/>
  <c r="M146" i="10" s="1"/>
  <c r="W145" i="10"/>
  <c r="V145" i="10"/>
  <c r="U145" i="10"/>
  <c r="S145" i="10"/>
  <c r="T145" i="10" s="1"/>
  <c r="P145" i="10"/>
  <c r="Q145" i="10" s="1"/>
  <c r="R145" i="10" s="1"/>
  <c r="M145" i="10"/>
  <c r="F145" i="10"/>
  <c r="G145" i="10" s="1"/>
  <c r="E145" i="10"/>
  <c r="W144" i="10"/>
  <c r="E144" i="10"/>
  <c r="M144" i="10" s="1"/>
  <c r="W143" i="10"/>
  <c r="E143" i="10"/>
  <c r="M143" i="10" s="1"/>
  <c r="W142" i="10"/>
  <c r="E142" i="10"/>
  <c r="M142" i="10" s="1"/>
  <c r="W141" i="10"/>
  <c r="X141" i="10" s="1"/>
  <c r="Y141" i="10" s="1"/>
  <c r="Z141" i="10" s="1"/>
  <c r="T141" i="10"/>
  <c r="S141" i="10"/>
  <c r="F141" i="10"/>
  <c r="G141" i="10" s="1"/>
  <c r="E141" i="10"/>
  <c r="M141" i="10" s="1"/>
  <c r="W140" i="10"/>
  <c r="X140" i="10" s="1"/>
  <c r="Y140" i="10" s="1"/>
  <c r="Z140" i="10" s="1"/>
  <c r="I140" i="10"/>
  <c r="O140" i="10" s="1"/>
  <c r="F140" i="10"/>
  <c r="G140" i="10" s="1"/>
  <c r="E140" i="10"/>
  <c r="M140" i="10" s="1"/>
  <c r="W139" i="10"/>
  <c r="E139" i="10"/>
  <c r="W138" i="10"/>
  <c r="F138" i="10"/>
  <c r="G138" i="10" s="1"/>
  <c r="E138" i="10"/>
  <c r="M138" i="10" s="1"/>
  <c r="W137" i="10"/>
  <c r="E137" i="10"/>
  <c r="W136" i="10"/>
  <c r="X136" i="10" s="1"/>
  <c r="Y136" i="10" s="1"/>
  <c r="Z136" i="10" s="1"/>
  <c r="F136" i="10"/>
  <c r="G136" i="10" s="1"/>
  <c r="E136" i="10"/>
  <c r="M136" i="10" s="1"/>
  <c r="W135" i="10"/>
  <c r="E135" i="10"/>
  <c r="W134" i="10"/>
  <c r="E134" i="10"/>
  <c r="M134" i="10" s="1"/>
  <c r="W133" i="10"/>
  <c r="X133" i="10" s="1"/>
  <c r="Y133" i="10" s="1"/>
  <c r="Z133" i="10" s="1"/>
  <c r="U133" i="10"/>
  <c r="V133" i="10" s="1"/>
  <c r="S133" i="10"/>
  <c r="T133" i="10" s="1"/>
  <c r="P133" i="10"/>
  <c r="Q133" i="10" s="1"/>
  <c r="R133" i="10" s="1"/>
  <c r="E133" i="10"/>
  <c r="M133" i="10" s="1"/>
  <c r="AA133" i="10" s="1"/>
  <c r="AB133" i="10" s="1"/>
  <c r="W132" i="10"/>
  <c r="E132" i="10"/>
  <c r="M132" i="10" s="1"/>
  <c r="W131" i="10"/>
  <c r="E131" i="10"/>
  <c r="W130" i="10"/>
  <c r="F130" i="10"/>
  <c r="G130" i="10" s="1"/>
  <c r="E130" i="10"/>
  <c r="M130" i="10" s="1"/>
  <c r="AA129" i="10"/>
  <c r="AB129" i="10" s="1"/>
  <c r="W129" i="10"/>
  <c r="X129" i="10" s="1"/>
  <c r="Y129" i="10" s="1"/>
  <c r="Z129" i="10" s="1"/>
  <c r="S129" i="10"/>
  <c r="T129" i="10" s="1"/>
  <c r="F129" i="10"/>
  <c r="G129" i="10" s="1"/>
  <c r="E129" i="10"/>
  <c r="M129" i="10" s="1"/>
  <c r="W128" i="10"/>
  <c r="E128" i="10"/>
  <c r="M128" i="10" s="1"/>
  <c r="W127" i="10"/>
  <c r="X127" i="10" s="1"/>
  <c r="Y127" i="10" s="1"/>
  <c r="Z127" i="10" s="1"/>
  <c r="F127" i="10"/>
  <c r="G127" i="10" s="1"/>
  <c r="E127" i="10"/>
  <c r="M127" i="10" s="1"/>
  <c r="W126" i="10"/>
  <c r="E126" i="10"/>
  <c r="AA125" i="10"/>
  <c r="AB125" i="10" s="1"/>
  <c r="W125" i="10"/>
  <c r="S125" i="10"/>
  <c r="T125" i="10" s="1"/>
  <c r="P125" i="10"/>
  <c r="Q125" i="10" s="1"/>
  <c r="R125" i="10" s="1"/>
  <c r="E125" i="10"/>
  <c r="M125" i="10" s="1"/>
  <c r="W124" i="10"/>
  <c r="F124" i="10"/>
  <c r="G124" i="10" s="1"/>
  <c r="E124" i="10"/>
  <c r="M124" i="10" s="1"/>
  <c r="W123" i="10"/>
  <c r="G123" i="10"/>
  <c r="F123" i="10"/>
  <c r="E123" i="10"/>
  <c r="M123" i="10" s="1"/>
  <c r="W122" i="10"/>
  <c r="F122" i="10"/>
  <c r="G122" i="10" s="1"/>
  <c r="E122" i="10"/>
  <c r="M122" i="10" s="1"/>
  <c r="W121" i="10"/>
  <c r="E121" i="10"/>
  <c r="W120" i="10"/>
  <c r="E120" i="10"/>
  <c r="W119" i="10"/>
  <c r="E119" i="10"/>
  <c r="W118" i="10"/>
  <c r="F118" i="10"/>
  <c r="E118" i="10"/>
  <c r="M118" i="10" s="1"/>
  <c r="AA117" i="10"/>
  <c r="AB117" i="10" s="1"/>
  <c r="X117" i="10"/>
  <c r="Y117" i="10" s="1"/>
  <c r="Z117" i="10" s="1"/>
  <c r="W117" i="10"/>
  <c r="S117" i="10"/>
  <c r="T117" i="10" s="1"/>
  <c r="E117" i="10"/>
  <c r="M117" i="10" s="1"/>
  <c r="U117" i="10" s="1"/>
  <c r="V117" i="10" s="1"/>
  <c r="W116" i="10"/>
  <c r="E116" i="10"/>
  <c r="M116" i="10" s="1"/>
  <c r="W115" i="10"/>
  <c r="F115" i="10"/>
  <c r="G115" i="10" s="1"/>
  <c r="E115" i="10"/>
  <c r="M115" i="10" s="1"/>
  <c r="W114" i="10"/>
  <c r="E114" i="10"/>
  <c r="M114" i="10" s="1"/>
  <c r="W113" i="10"/>
  <c r="E113" i="10"/>
  <c r="M113" i="10" s="1"/>
  <c r="W112" i="10"/>
  <c r="E112" i="10"/>
  <c r="M112" i="10" s="1"/>
  <c r="W111" i="10"/>
  <c r="E111" i="10"/>
  <c r="M111" i="10" s="1"/>
  <c r="W110" i="10"/>
  <c r="M110" i="10"/>
  <c r="E110" i="10"/>
  <c r="F110" i="10" s="1"/>
  <c r="G110" i="10" s="1"/>
  <c r="W109" i="10"/>
  <c r="M109" i="10"/>
  <c r="E109" i="10"/>
  <c r="F109" i="10" s="1"/>
  <c r="G109" i="10" s="1"/>
  <c r="W108" i="10"/>
  <c r="M108" i="10"/>
  <c r="E108" i="10"/>
  <c r="F108" i="10" s="1"/>
  <c r="G108" i="10" s="1"/>
  <c r="W107" i="10"/>
  <c r="E107" i="10"/>
  <c r="F107" i="10" s="1"/>
  <c r="G107" i="10" s="1"/>
  <c r="W106" i="10"/>
  <c r="E106" i="10"/>
  <c r="M106" i="10" s="1"/>
  <c r="AA105" i="10"/>
  <c r="AB105" i="10" s="1"/>
  <c r="W105" i="10"/>
  <c r="E105" i="10"/>
  <c r="M105" i="10" s="1"/>
  <c r="W104" i="10"/>
  <c r="M104" i="10"/>
  <c r="J104" i="10"/>
  <c r="I104" i="10"/>
  <c r="F104" i="10"/>
  <c r="G104" i="10" s="1"/>
  <c r="H104" i="10" s="1"/>
  <c r="E104" i="10"/>
  <c r="W103" i="10"/>
  <c r="I103" i="10"/>
  <c r="H103" i="10"/>
  <c r="F103" i="10"/>
  <c r="G103" i="10" s="1"/>
  <c r="E103" i="10"/>
  <c r="M103" i="10" s="1"/>
  <c r="W102" i="10"/>
  <c r="E102" i="10"/>
  <c r="W101" i="10"/>
  <c r="E101" i="10"/>
  <c r="W100" i="10"/>
  <c r="E100" i="10"/>
  <c r="M100" i="10" s="1"/>
  <c r="W99" i="10"/>
  <c r="M99" i="10"/>
  <c r="E99" i="10"/>
  <c r="F99" i="10" s="1"/>
  <c r="G99" i="10" s="1"/>
  <c r="X98" i="10"/>
  <c r="Y98" i="10" s="1"/>
  <c r="Z98" i="10" s="1"/>
  <c r="W98" i="10"/>
  <c r="M98" i="10"/>
  <c r="E98" i="10"/>
  <c r="F98" i="10" s="1"/>
  <c r="G98" i="10" s="1"/>
  <c r="W97" i="10"/>
  <c r="M97" i="10"/>
  <c r="F97" i="10"/>
  <c r="G97" i="10" s="1"/>
  <c r="E97" i="10"/>
  <c r="W96" i="10"/>
  <c r="E96" i="10"/>
  <c r="X95" i="10"/>
  <c r="Y95" i="10" s="1"/>
  <c r="Z95" i="10" s="1"/>
  <c r="W95" i="10"/>
  <c r="M95" i="10"/>
  <c r="G95" i="10"/>
  <c r="E95" i="10"/>
  <c r="F95" i="10" s="1"/>
  <c r="W94" i="10"/>
  <c r="M94" i="10"/>
  <c r="G94" i="10"/>
  <c r="F94" i="10"/>
  <c r="E94" i="10"/>
  <c r="W93" i="10"/>
  <c r="F93" i="10"/>
  <c r="G93" i="10" s="1"/>
  <c r="E93" i="10"/>
  <c r="M93" i="10" s="1"/>
  <c r="W92" i="10"/>
  <c r="O92" i="10"/>
  <c r="F92" i="10"/>
  <c r="G92" i="10" s="1"/>
  <c r="I92" i="10" s="1"/>
  <c r="E92" i="10"/>
  <c r="M92" i="10" s="1"/>
  <c r="W91" i="10"/>
  <c r="M91" i="10"/>
  <c r="G91" i="10"/>
  <c r="I91" i="10" s="1"/>
  <c r="E91" i="10"/>
  <c r="F91" i="10" s="1"/>
  <c r="X90" i="10"/>
  <c r="Y90" i="10" s="1"/>
  <c r="Z90" i="10" s="1"/>
  <c r="W90" i="10"/>
  <c r="M90" i="10"/>
  <c r="F90" i="10"/>
  <c r="G90" i="10" s="1"/>
  <c r="E90" i="10"/>
  <c r="W89" i="10"/>
  <c r="E89" i="10"/>
  <c r="W88" i="10"/>
  <c r="M88" i="10"/>
  <c r="E88" i="10"/>
  <c r="F88" i="10" s="1"/>
  <c r="G88" i="10" s="1"/>
  <c r="W87" i="10"/>
  <c r="E87" i="10"/>
  <c r="M87" i="10" s="1"/>
  <c r="W86" i="10"/>
  <c r="X86" i="10" s="1"/>
  <c r="Y86" i="10" s="1"/>
  <c r="Z86" i="10" s="1"/>
  <c r="M86" i="10"/>
  <c r="E86" i="10"/>
  <c r="F86" i="10" s="1"/>
  <c r="G86" i="10" s="1"/>
  <c r="AA85" i="10"/>
  <c r="AB85" i="10" s="1"/>
  <c r="W85" i="10"/>
  <c r="U85" i="10"/>
  <c r="V85" i="10" s="1"/>
  <c r="M85" i="10"/>
  <c r="G85" i="10"/>
  <c r="I85" i="10" s="1"/>
  <c r="F85" i="10"/>
  <c r="E85" i="10"/>
  <c r="W84" i="10"/>
  <c r="J84" i="10"/>
  <c r="I84" i="10"/>
  <c r="F84" i="10"/>
  <c r="G84" i="10" s="1"/>
  <c r="H84" i="10" s="1"/>
  <c r="E84" i="10"/>
  <c r="M84" i="10" s="1"/>
  <c r="W83" i="10"/>
  <c r="E83" i="10"/>
  <c r="M83" i="10" s="1"/>
  <c r="W82" i="10"/>
  <c r="X82" i="10" s="1"/>
  <c r="Y82" i="10" s="1"/>
  <c r="Z82" i="10" s="1"/>
  <c r="O82" i="10"/>
  <c r="I82" i="10"/>
  <c r="F82" i="10"/>
  <c r="G82" i="10" s="1"/>
  <c r="H82" i="10" s="1"/>
  <c r="E82" i="10"/>
  <c r="M82" i="10" s="1"/>
  <c r="W81" i="10"/>
  <c r="E81" i="10"/>
  <c r="M81" i="10" s="1"/>
  <c r="W80" i="10"/>
  <c r="M80" i="10"/>
  <c r="E80" i="10"/>
  <c r="F80" i="10" s="1"/>
  <c r="G80" i="10" s="1"/>
  <c r="W79" i="10"/>
  <c r="E79" i="10"/>
  <c r="M79" i="10" s="1"/>
  <c r="W78" i="10"/>
  <c r="E78" i="10"/>
  <c r="M78" i="10" s="1"/>
  <c r="AA77" i="10"/>
  <c r="AB77" i="10" s="1"/>
  <c r="W77" i="10"/>
  <c r="O77" i="10"/>
  <c r="M77" i="10"/>
  <c r="I77" i="10"/>
  <c r="H77" i="10"/>
  <c r="E77" i="10"/>
  <c r="F77" i="10" s="1"/>
  <c r="G77" i="10" s="1"/>
  <c r="W76" i="10"/>
  <c r="M76" i="10"/>
  <c r="G76" i="10"/>
  <c r="I76" i="10" s="1"/>
  <c r="E76" i="10"/>
  <c r="F76" i="10" s="1"/>
  <c r="W75" i="10"/>
  <c r="M75" i="10"/>
  <c r="F75" i="10"/>
  <c r="G75" i="10" s="1"/>
  <c r="E75" i="10"/>
  <c r="W74" i="10"/>
  <c r="E74" i="10"/>
  <c r="W73" i="10"/>
  <c r="U73" i="10"/>
  <c r="V73" i="10" s="1"/>
  <c r="M73" i="10"/>
  <c r="G73" i="10"/>
  <c r="E73" i="10"/>
  <c r="F73" i="10" s="1"/>
  <c r="W72" i="10"/>
  <c r="M72" i="10"/>
  <c r="H72" i="10"/>
  <c r="J72" i="10" s="1"/>
  <c r="G72" i="10"/>
  <c r="I72" i="10" s="1"/>
  <c r="F72" i="10"/>
  <c r="E72" i="10"/>
  <c r="W71" i="10"/>
  <c r="E71" i="10"/>
  <c r="M71" i="10" s="1"/>
  <c r="W70" i="10"/>
  <c r="M70" i="10"/>
  <c r="F70" i="10"/>
  <c r="G70" i="10" s="1"/>
  <c r="E70" i="10"/>
  <c r="W69" i="10"/>
  <c r="E69" i="10"/>
  <c r="Y68" i="10"/>
  <c r="Z68" i="10" s="1"/>
  <c r="X68" i="10"/>
  <c r="W68" i="10"/>
  <c r="M68" i="10"/>
  <c r="F68" i="10"/>
  <c r="G68" i="10" s="1"/>
  <c r="E68" i="10"/>
  <c r="W67" i="10"/>
  <c r="M67" i="10"/>
  <c r="G67" i="10"/>
  <c r="F67" i="10"/>
  <c r="E67" i="10"/>
  <c r="W66" i="10"/>
  <c r="M66" i="10"/>
  <c r="G66" i="10"/>
  <c r="F66" i="10"/>
  <c r="E66" i="10"/>
  <c r="W65" i="10"/>
  <c r="E65" i="10"/>
  <c r="W64" i="10"/>
  <c r="M64" i="10"/>
  <c r="G64" i="10"/>
  <c r="F64" i="10"/>
  <c r="E64" i="10"/>
  <c r="W63" i="10"/>
  <c r="E63" i="10"/>
  <c r="W62" i="10"/>
  <c r="F62" i="10"/>
  <c r="G62" i="10" s="1"/>
  <c r="E62" i="10"/>
  <c r="M62" i="10" s="1"/>
  <c r="W61" i="10"/>
  <c r="E61" i="10"/>
  <c r="W60" i="10"/>
  <c r="F60" i="10"/>
  <c r="G60" i="10" s="1"/>
  <c r="E60" i="10"/>
  <c r="M60" i="10" s="1"/>
  <c r="W59" i="10"/>
  <c r="X59" i="10" s="1"/>
  <c r="Y59" i="10" s="1"/>
  <c r="Z59" i="10" s="1"/>
  <c r="N59" i="10"/>
  <c r="J59" i="10"/>
  <c r="I59" i="10"/>
  <c r="P59" i="10" s="1"/>
  <c r="Q59" i="10" s="1"/>
  <c r="R59" i="10" s="1"/>
  <c r="F59" i="10"/>
  <c r="G59" i="10" s="1"/>
  <c r="H59" i="10" s="1"/>
  <c r="E59" i="10"/>
  <c r="M59" i="10" s="1"/>
  <c r="W58" i="10"/>
  <c r="M58" i="10"/>
  <c r="G58" i="10"/>
  <c r="F58" i="10"/>
  <c r="E58" i="10"/>
  <c r="W57" i="10"/>
  <c r="G57" i="10"/>
  <c r="F57" i="10"/>
  <c r="E57" i="10"/>
  <c r="M57" i="10" s="1"/>
  <c r="W56" i="10"/>
  <c r="N56" i="10"/>
  <c r="M56" i="10"/>
  <c r="J56" i="10"/>
  <c r="G56" i="10"/>
  <c r="H56" i="10" s="1"/>
  <c r="E56" i="10"/>
  <c r="F56" i="10" s="1"/>
  <c r="W55" i="10"/>
  <c r="E55" i="10"/>
  <c r="M55" i="10" s="1"/>
  <c r="W54" i="10"/>
  <c r="M54" i="10"/>
  <c r="G54" i="10"/>
  <c r="F54" i="10"/>
  <c r="E54" i="10"/>
  <c r="W53" i="10"/>
  <c r="X53" i="10" s="1"/>
  <c r="Y53" i="10" s="1"/>
  <c r="S53" i="10"/>
  <c r="M53" i="10"/>
  <c r="H53" i="10"/>
  <c r="G53" i="10"/>
  <c r="F53" i="10"/>
  <c r="E53" i="10"/>
  <c r="W52" i="10"/>
  <c r="E52" i="10"/>
  <c r="M52" i="10" s="1"/>
  <c r="X51" i="10"/>
  <c r="Y51" i="10" s="1"/>
  <c r="W51" i="10"/>
  <c r="F51" i="10"/>
  <c r="G51" i="10" s="1"/>
  <c r="E51" i="10"/>
  <c r="M51" i="10" s="1"/>
  <c r="W50" i="10"/>
  <c r="M50" i="10"/>
  <c r="E50" i="10"/>
  <c r="F50" i="10" s="1"/>
  <c r="G50" i="10" s="1"/>
  <c r="AB49" i="10"/>
  <c r="AA49" i="10"/>
  <c r="W49" i="10"/>
  <c r="U49" i="10"/>
  <c r="E49" i="10"/>
  <c r="M49" i="10" s="1"/>
  <c r="W48" i="10"/>
  <c r="M48" i="10"/>
  <c r="F48" i="10"/>
  <c r="G48" i="10" s="1"/>
  <c r="E48" i="10"/>
  <c r="W47" i="10"/>
  <c r="I47" i="10"/>
  <c r="H47" i="10"/>
  <c r="J47" i="10" s="1"/>
  <c r="G47" i="10"/>
  <c r="E47" i="10"/>
  <c r="F47" i="10" s="1"/>
  <c r="W46" i="10"/>
  <c r="M46" i="10"/>
  <c r="F46" i="10"/>
  <c r="G46" i="10" s="1"/>
  <c r="E46" i="10"/>
  <c r="W45" i="10"/>
  <c r="M45" i="10"/>
  <c r="F45" i="10"/>
  <c r="G45" i="10" s="1"/>
  <c r="E45" i="10"/>
  <c r="W44" i="10"/>
  <c r="M44" i="10"/>
  <c r="I44" i="10"/>
  <c r="G44" i="10"/>
  <c r="H44" i="10" s="1"/>
  <c r="J44" i="10" s="1"/>
  <c r="E44" i="10"/>
  <c r="F44" i="10" s="1"/>
  <c r="W43" i="10"/>
  <c r="F43" i="10"/>
  <c r="G43" i="10" s="1"/>
  <c r="E43" i="10"/>
  <c r="M43" i="10" s="1"/>
  <c r="W42" i="10"/>
  <c r="E42" i="10"/>
  <c r="W41" i="10"/>
  <c r="M41" i="10"/>
  <c r="G41" i="10"/>
  <c r="F41" i="10"/>
  <c r="E41" i="10"/>
  <c r="W40" i="10"/>
  <c r="E40" i="10"/>
  <c r="M40" i="10" s="1"/>
  <c r="W39" i="10"/>
  <c r="E39" i="10"/>
  <c r="W38" i="10"/>
  <c r="M38" i="10"/>
  <c r="F38" i="10"/>
  <c r="G38" i="10" s="1"/>
  <c r="E38" i="10"/>
  <c r="W37" i="10"/>
  <c r="U37" i="10"/>
  <c r="S37" i="10"/>
  <c r="F37" i="10"/>
  <c r="G37" i="10" s="1"/>
  <c r="E37" i="10"/>
  <c r="M37" i="10" s="1"/>
  <c r="W36" i="10"/>
  <c r="X36" i="10" s="1"/>
  <c r="Y36" i="10" s="1"/>
  <c r="M36" i="10"/>
  <c r="G36" i="10"/>
  <c r="E36" i="10"/>
  <c r="F36" i="10" s="1"/>
  <c r="W35" i="10"/>
  <c r="E35" i="10"/>
  <c r="W34" i="10"/>
  <c r="M34" i="10"/>
  <c r="F34" i="10"/>
  <c r="G34" i="10" s="1"/>
  <c r="I34" i="10" s="1"/>
  <c r="E34" i="10"/>
  <c r="AA33" i="10"/>
  <c r="X33" i="10"/>
  <c r="Y33" i="10" s="1"/>
  <c r="W33" i="10"/>
  <c r="U33" i="10"/>
  <c r="M33" i="10"/>
  <c r="H33" i="10"/>
  <c r="F33" i="10"/>
  <c r="G33" i="10" s="1"/>
  <c r="E33" i="10"/>
  <c r="W32" i="10"/>
  <c r="M32" i="10"/>
  <c r="F32" i="10"/>
  <c r="G32" i="10" s="1"/>
  <c r="E32" i="10"/>
  <c r="W31" i="10"/>
  <c r="O31" i="10"/>
  <c r="M31" i="10"/>
  <c r="I31" i="10"/>
  <c r="F31" i="10"/>
  <c r="G31" i="10" s="1"/>
  <c r="E31" i="10"/>
  <c r="W30" i="10"/>
  <c r="E30" i="10"/>
  <c r="M30" i="10" s="1"/>
  <c r="W29" i="10"/>
  <c r="E29" i="10"/>
  <c r="W28" i="10"/>
  <c r="E28" i="10"/>
  <c r="M28" i="10" s="1"/>
  <c r="W27" i="10"/>
  <c r="E27" i="10"/>
  <c r="M27" i="10" s="1"/>
  <c r="W26" i="10"/>
  <c r="E26" i="10"/>
  <c r="AA25" i="10"/>
  <c r="W25" i="10"/>
  <c r="X25" i="10" s="1"/>
  <c r="Y25" i="10" s="1"/>
  <c r="U25" i="10"/>
  <c r="R25" i="10"/>
  <c r="Q25" i="10"/>
  <c r="M25" i="10"/>
  <c r="P25" i="10" s="1"/>
  <c r="E25" i="10"/>
  <c r="F25" i="10" s="1"/>
  <c r="G25" i="10" s="1"/>
  <c r="W24" i="10"/>
  <c r="X24" i="10" s="1"/>
  <c r="Y24" i="10" s="1"/>
  <c r="M24" i="10"/>
  <c r="F24" i="10"/>
  <c r="G24" i="10" s="1"/>
  <c r="E24" i="10"/>
  <c r="W23" i="10"/>
  <c r="E23" i="10"/>
  <c r="W22" i="10"/>
  <c r="M22" i="10"/>
  <c r="F22" i="10"/>
  <c r="G22" i="10" s="1"/>
  <c r="E22" i="10"/>
  <c r="W21" i="10"/>
  <c r="P21" i="10"/>
  <c r="Q21" i="10" s="1"/>
  <c r="H21" i="10"/>
  <c r="N21" i="10" s="1"/>
  <c r="F21" i="10"/>
  <c r="G21" i="10" s="1"/>
  <c r="E21" i="10"/>
  <c r="M21" i="10" s="1"/>
  <c r="X20" i="10"/>
  <c r="Y20" i="10" s="1"/>
  <c r="W20" i="10"/>
  <c r="M20" i="10"/>
  <c r="F20" i="10"/>
  <c r="G20" i="10" s="1"/>
  <c r="E20" i="10"/>
  <c r="W19" i="10"/>
  <c r="M19" i="10"/>
  <c r="I19" i="10"/>
  <c r="O19" i="10" s="1"/>
  <c r="G19" i="10"/>
  <c r="F19" i="10"/>
  <c r="E19" i="10"/>
  <c r="W18" i="10"/>
  <c r="M18" i="10"/>
  <c r="E18" i="10"/>
  <c r="F18" i="10" s="1"/>
  <c r="G18" i="10" s="1"/>
  <c r="W17" i="10"/>
  <c r="M17" i="10"/>
  <c r="F17" i="10"/>
  <c r="G17" i="10" s="1"/>
  <c r="E17" i="10"/>
  <c r="X16" i="10"/>
  <c r="Y16" i="10" s="1"/>
  <c r="W16" i="10"/>
  <c r="M16" i="10"/>
  <c r="G16" i="10"/>
  <c r="I16" i="10" s="1"/>
  <c r="F16" i="10"/>
  <c r="E16" i="10"/>
  <c r="W15" i="10"/>
  <c r="M15" i="10"/>
  <c r="F15" i="10"/>
  <c r="G15" i="10" s="1"/>
  <c r="H15" i="10" s="1"/>
  <c r="E15" i="10"/>
  <c r="W14" i="10"/>
  <c r="E14" i="10"/>
  <c r="W13" i="10"/>
  <c r="E13" i="10"/>
  <c r="W12" i="10"/>
  <c r="E12" i="10"/>
  <c r="M12" i="10" s="1"/>
  <c r="W11" i="10"/>
  <c r="E11" i="10"/>
  <c r="W10" i="10"/>
  <c r="M10" i="10"/>
  <c r="G10" i="10"/>
  <c r="E10" i="10"/>
  <c r="F10" i="10" s="1"/>
  <c r="W9" i="10"/>
  <c r="M9" i="10"/>
  <c r="E9" i="10"/>
  <c r="F9" i="10" s="1"/>
  <c r="G9" i="10" s="1"/>
  <c r="X8" i="10"/>
  <c r="Y8" i="10" s="1"/>
  <c r="W8" i="10"/>
  <c r="M8" i="10"/>
  <c r="G8" i="10"/>
  <c r="F8" i="10"/>
  <c r="E8" i="10"/>
  <c r="X7" i="10"/>
  <c r="Y7" i="10" s="1"/>
  <c r="W7" i="10"/>
  <c r="N7" i="10"/>
  <c r="M7" i="10"/>
  <c r="I7" i="10"/>
  <c r="H7" i="10"/>
  <c r="E7" i="10"/>
  <c r="F7" i="10" s="1"/>
  <c r="G7" i="10" s="1"/>
  <c r="W6" i="10"/>
  <c r="M6" i="10"/>
  <c r="I6" i="10"/>
  <c r="E6" i="10"/>
  <c r="F6" i="10" s="1"/>
  <c r="G6" i="10" s="1"/>
  <c r="W5" i="10"/>
  <c r="M5" i="10"/>
  <c r="E5" i="10"/>
  <c r="F5" i="10" s="1"/>
  <c r="G5" i="10" s="1"/>
  <c r="Z4" i="10"/>
  <c r="X4" i="10"/>
  <c r="Y4" i="10" s="1"/>
  <c r="W4" i="10"/>
  <c r="M4" i="10"/>
  <c r="I4" i="10"/>
  <c r="G4" i="10"/>
  <c r="F4" i="10"/>
  <c r="E4" i="10"/>
  <c r="W3" i="10"/>
  <c r="E3" i="10"/>
  <c r="W2" i="10"/>
  <c r="E2" i="10"/>
  <c r="M70" i="9"/>
  <c r="I70" i="9"/>
  <c r="E70" i="9"/>
  <c r="M69" i="9"/>
  <c r="I69" i="9"/>
  <c r="E69" i="9"/>
  <c r="M68" i="9"/>
  <c r="I68" i="9"/>
  <c r="E68" i="9"/>
  <c r="M67" i="9"/>
  <c r="I67" i="9"/>
  <c r="E67" i="9"/>
  <c r="M66" i="9"/>
  <c r="I66" i="9"/>
  <c r="E66" i="9"/>
  <c r="M65" i="9"/>
  <c r="I65" i="9"/>
  <c r="E65" i="9"/>
  <c r="M64" i="9"/>
  <c r="I64" i="9"/>
  <c r="E64" i="9"/>
  <c r="M63" i="9"/>
  <c r="I63" i="9"/>
  <c r="E63" i="9"/>
  <c r="M62" i="9"/>
  <c r="I62" i="9"/>
  <c r="E62" i="9"/>
  <c r="M61" i="9"/>
  <c r="I61" i="9"/>
  <c r="E61" i="9"/>
  <c r="M53" i="9"/>
  <c r="I53" i="9"/>
  <c r="E53" i="9"/>
  <c r="M52" i="9"/>
  <c r="I52" i="9"/>
  <c r="E52" i="9"/>
  <c r="M51" i="9"/>
  <c r="I51" i="9"/>
  <c r="E51" i="9"/>
  <c r="M50" i="9"/>
  <c r="I50" i="9"/>
  <c r="E50" i="9"/>
  <c r="M49" i="9"/>
  <c r="I49" i="9"/>
  <c r="E49" i="9"/>
  <c r="M48" i="9"/>
  <c r="I48" i="9"/>
  <c r="E48" i="9"/>
  <c r="M47" i="9"/>
  <c r="I47" i="9"/>
  <c r="E47" i="9"/>
  <c r="M46" i="9"/>
  <c r="I46" i="9"/>
  <c r="E46" i="9"/>
  <c r="M45" i="9"/>
  <c r="I45" i="9"/>
  <c r="E45" i="9"/>
  <c r="M44" i="9"/>
  <c r="I44" i="9"/>
  <c r="E44" i="9"/>
  <c r="M35" i="9"/>
  <c r="I35" i="9"/>
  <c r="E35" i="9"/>
  <c r="M34" i="9"/>
  <c r="I34" i="9"/>
  <c r="E34" i="9"/>
  <c r="M33" i="9"/>
  <c r="I33" i="9"/>
  <c r="E33" i="9"/>
  <c r="M32" i="9"/>
  <c r="I32" i="9"/>
  <c r="E32" i="9"/>
  <c r="M31" i="9"/>
  <c r="I31" i="9"/>
  <c r="E31" i="9"/>
  <c r="M30" i="9"/>
  <c r="I30" i="9"/>
  <c r="E30" i="9"/>
  <c r="M29" i="9"/>
  <c r="I29" i="9"/>
  <c r="E29" i="9"/>
  <c r="M28" i="9"/>
  <c r="I28" i="9"/>
  <c r="E28" i="9"/>
  <c r="M27" i="9"/>
  <c r="I27" i="9"/>
  <c r="E27" i="9"/>
  <c r="M26" i="9"/>
  <c r="I26" i="9"/>
  <c r="E26" i="9"/>
  <c r="M25" i="9"/>
  <c r="I25" i="9"/>
  <c r="E25" i="9"/>
  <c r="M18" i="9"/>
  <c r="I18" i="9"/>
  <c r="E18" i="9"/>
  <c r="M17" i="9"/>
  <c r="I17" i="9"/>
  <c r="E17" i="9"/>
  <c r="M16" i="9"/>
  <c r="I16" i="9"/>
  <c r="E16" i="9"/>
  <c r="M15" i="9"/>
  <c r="I15" i="9"/>
  <c r="E15" i="9"/>
  <c r="M14" i="9"/>
  <c r="I14" i="9"/>
  <c r="E14" i="9"/>
  <c r="M13" i="9"/>
  <c r="I13" i="9"/>
  <c r="E13" i="9"/>
  <c r="M12" i="9"/>
  <c r="I12" i="9"/>
  <c r="E12" i="9"/>
  <c r="M11" i="9"/>
  <c r="I11" i="9"/>
  <c r="E11" i="9"/>
  <c r="M10" i="9"/>
  <c r="I10" i="9"/>
  <c r="E10" i="9"/>
  <c r="M9" i="9"/>
  <c r="I9" i="9"/>
  <c r="E9" i="9"/>
  <c r="M8" i="9"/>
  <c r="I8" i="9"/>
  <c r="E8" i="9"/>
  <c r="P27" i="8"/>
  <c r="L27" i="8"/>
  <c r="D27" i="8"/>
  <c r="C27" i="8"/>
  <c r="B27" i="8"/>
  <c r="A27" i="8"/>
  <c r="D26" i="8"/>
  <c r="L26" i="8" s="1"/>
  <c r="A26" i="8"/>
  <c r="D25" i="8"/>
  <c r="B25" i="8"/>
  <c r="T25" i="8" s="1"/>
  <c r="A25" i="8"/>
  <c r="X24" i="8"/>
  <c r="T24" i="8"/>
  <c r="D24" i="8"/>
  <c r="C24" i="8"/>
  <c r="B24" i="8"/>
  <c r="L24" i="8" s="1"/>
  <c r="A24" i="8"/>
  <c r="D23" i="8"/>
  <c r="A23" i="8"/>
  <c r="L22" i="8"/>
  <c r="D22" i="8"/>
  <c r="B22" i="8"/>
  <c r="T22" i="8" s="1"/>
  <c r="A22" i="8"/>
  <c r="D21" i="8"/>
  <c r="A21" i="8"/>
  <c r="D20" i="8"/>
  <c r="C20" i="8"/>
  <c r="A20" i="8"/>
  <c r="AB19" i="8"/>
  <c r="X19" i="8"/>
  <c r="T19" i="8"/>
  <c r="P19" i="8"/>
  <c r="D19" i="8"/>
  <c r="C19" i="8"/>
  <c r="B19" i="8"/>
  <c r="H19" i="8" s="1"/>
  <c r="A19" i="8"/>
  <c r="G18" i="8"/>
  <c r="D44" i="9" s="1"/>
  <c r="D18" i="8"/>
  <c r="C18" i="8"/>
  <c r="A18" i="8"/>
  <c r="D17" i="8"/>
  <c r="A17" i="8"/>
  <c r="D16" i="8"/>
  <c r="B16" i="8"/>
  <c r="A16" i="8"/>
  <c r="D15" i="8"/>
  <c r="A15" i="8"/>
  <c r="D14" i="8"/>
  <c r="A14" i="8"/>
  <c r="L13" i="8"/>
  <c r="D13" i="8"/>
  <c r="C13" i="8"/>
  <c r="B13" i="8"/>
  <c r="T13" i="8" s="1"/>
  <c r="A13" i="8"/>
  <c r="D12" i="8"/>
  <c r="C12" i="8"/>
  <c r="B12" i="8"/>
  <c r="A12" i="8"/>
  <c r="D11" i="8"/>
  <c r="C11" i="8"/>
  <c r="A11" i="8"/>
  <c r="D10" i="8"/>
  <c r="A10" i="8"/>
  <c r="T9" i="8"/>
  <c r="D9" i="8"/>
  <c r="B9" i="8"/>
  <c r="A9" i="8"/>
  <c r="D8" i="8"/>
  <c r="C8" i="8"/>
  <c r="A8" i="8"/>
  <c r="D7" i="8"/>
  <c r="A7" i="8"/>
  <c r="D6" i="8"/>
  <c r="A6" i="8"/>
  <c r="D5" i="8"/>
  <c r="C5" i="8"/>
  <c r="B5" i="8"/>
  <c r="A5" i="8"/>
  <c r="D4" i="8"/>
  <c r="A4" i="8"/>
  <c r="D3" i="8"/>
  <c r="B3" i="8"/>
  <c r="A3" i="8"/>
  <c r="D2" i="8"/>
  <c r="C2" i="8"/>
  <c r="B2" i="8"/>
  <c r="A2" i="8"/>
  <c r="U27" i="7"/>
  <c r="Q27" i="7"/>
  <c r="G27" i="7"/>
  <c r="C27" i="7"/>
  <c r="B27" i="7"/>
  <c r="I27" i="7" s="1"/>
  <c r="M27" i="7" s="1"/>
  <c r="M26" i="7"/>
  <c r="I26" i="7"/>
  <c r="H26" i="7"/>
  <c r="G26" i="7"/>
  <c r="F26" i="7"/>
  <c r="E26" i="7"/>
  <c r="C26" i="7"/>
  <c r="B26" i="7"/>
  <c r="B26" i="8" s="1"/>
  <c r="I25" i="7"/>
  <c r="M25" i="7" s="1"/>
  <c r="H25" i="7"/>
  <c r="F25" i="7"/>
  <c r="E25" i="7"/>
  <c r="C25" i="7"/>
  <c r="B25" i="7"/>
  <c r="G25" i="7" s="1"/>
  <c r="M24" i="7"/>
  <c r="I24" i="7"/>
  <c r="C24" i="7"/>
  <c r="B24" i="7"/>
  <c r="C23" i="7"/>
  <c r="B23" i="7"/>
  <c r="H23" i="7" s="1"/>
  <c r="U22" i="7"/>
  <c r="E22" i="7"/>
  <c r="C22" i="7"/>
  <c r="B22" i="7"/>
  <c r="I22" i="7" s="1"/>
  <c r="M22" i="7" s="1"/>
  <c r="E21" i="7"/>
  <c r="C21" i="7"/>
  <c r="B21" i="7"/>
  <c r="C20" i="7"/>
  <c r="B20" i="7"/>
  <c r="U19" i="7"/>
  <c r="T19" i="7"/>
  <c r="Q19" i="7"/>
  <c r="P19" i="7"/>
  <c r="O19" i="7"/>
  <c r="F19" i="8" s="1"/>
  <c r="C45" i="9" s="1"/>
  <c r="N19" i="7"/>
  <c r="E19" i="8" s="1"/>
  <c r="B45" i="9" s="1"/>
  <c r="M19" i="7"/>
  <c r="L19" i="7"/>
  <c r="I19" i="7"/>
  <c r="H19" i="7"/>
  <c r="G19" i="7"/>
  <c r="F19" i="7"/>
  <c r="E19" i="7"/>
  <c r="J19" i="7" s="1"/>
  <c r="C19" i="7"/>
  <c r="K19" i="7" s="1"/>
  <c r="B19" i="7"/>
  <c r="U18" i="7"/>
  <c r="Q18" i="7"/>
  <c r="L18" i="7"/>
  <c r="P18" i="7" s="1"/>
  <c r="T18" i="7" s="1"/>
  <c r="J18" i="7"/>
  <c r="N18" i="7" s="1"/>
  <c r="R18" i="7" s="1"/>
  <c r="I18" i="7"/>
  <c r="M18" i="7" s="1"/>
  <c r="G18" i="7"/>
  <c r="K18" i="7" s="1"/>
  <c r="O18" i="7" s="1"/>
  <c r="S18" i="7" s="1"/>
  <c r="F18" i="7"/>
  <c r="E18" i="7"/>
  <c r="C18" i="7"/>
  <c r="B18" i="7"/>
  <c r="H18" i="7" s="1"/>
  <c r="I17" i="7"/>
  <c r="G17" i="7"/>
  <c r="C17" i="7"/>
  <c r="B17" i="7"/>
  <c r="C16" i="7"/>
  <c r="B16" i="7"/>
  <c r="I16" i="7" s="1"/>
  <c r="C15" i="7"/>
  <c r="B15" i="7"/>
  <c r="I15" i="7" s="1"/>
  <c r="U14" i="7"/>
  <c r="F14" i="7"/>
  <c r="C14" i="7"/>
  <c r="B14" i="7"/>
  <c r="U13" i="7"/>
  <c r="Q13" i="7"/>
  <c r="I13" i="7"/>
  <c r="M13" i="7" s="1"/>
  <c r="C13" i="7"/>
  <c r="B13" i="7"/>
  <c r="U12" i="7"/>
  <c r="Q12" i="7"/>
  <c r="I12" i="7"/>
  <c r="M12" i="7" s="1"/>
  <c r="F12" i="7"/>
  <c r="C12" i="7"/>
  <c r="B12" i="7"/>
  <c r="H12" i="7" s="1"/>
  <c r="Q11" i="7"/>
  <c r="F11" i="7"/>
  <c r="C11" i="7"/>
  <c r="B11" i="7"/>
  <c r="B11" i="8" s="1"/>
  <c r="Q10" i="7"/>
  <c r="M10" i="7"/>
  <c r="L10" i="7"/>
  <c r="P10" i="7" s="1"/>
  <c r="I10" i="7"/>
  <c r="H10" i="7"/>
  <c r="G10" i="7"/>
  <c r="K10" i="7" s="1"/>
  <c r="O10" i="7" s="1"/>
  <c r="E10" i="7"/>
  <c r="C10" i="7"/>
  <c r="B10" i="7"/>
  <c r="J9" i="7"/>
  <c r="I9" i="7"/>
  <c r="M9" i="7" s="1"/>
  <c r="H9" i="7"/>
  <c r="G9" i="7"/>
  <c r="F9" i="7"/>
  <c r="E9" i="7"/>
  <c r="C9" i="7"/>
  <c r="B9" i="7"/>
  <c r="U8" i="7"/>
  <c r="I8" i="7"/>
  <c r="M8" i="7" s="1"/>
  <c r="C8" i="7"/>
  <c r="B8" i="7"/>
  <c r="H8" i="7" s="1"/>
  <c r="C7" i="7"/>
  <c r="B7" i="7"/>
  <c r="H7" i="7" s="1"/>
  <c r="C6" i="7"/>
  <c r="B6" i="7"/>
  <c r="U5" i="7"/>
  <c r="Q5" i="7"/>
  <c r="G5" i="7"/>
  <c r="C5" i="7"/>
  <c r="B5" i="7"/>
  <c r="I5" i="7" s="1"/>
  <c r="M5" i="7" s="1"/>
  <c r="I4" i="7"/>
  <c r="M4" i="7" s="1"/>
  <c r="H4" i="7"/>
  <c r="G4" i="7"/>
  <c r="F4" i="7"/>
  <c r="E4" i="7"/>
  <c r="C4" i="7"/>
  <c r="B4" i="7"/>
  <c r="B4" i="8" s="1"/>
  <c r="Q3" i="7"/>
  <c r="I3" i="7"/>
  <c r="M3" i="7" s="1"/>
  <c r="H3" i="7"/>
  <c r="F3" i="7"/>
  <c r="E3" i="7"/>
  <c r="C3" i="7"/>
  <c r="B3" i="7"/>
  <c r="G3" i="7" s="1"/>
  <c r="M2" i="7"/>
  <c r="I2" i="7"/>
  <c r="H2" i="7"/>
  <c r="L2" i="7" s="1"/>
  <c r="P2" i="7" s="1"/>
  <c r="T2" i="7" s="1"/>
  <c r="G2" i="7"/>
  <c r="K2" i="7" s="1"/>
  <c r="O2" i="7" s="1"/>
  <c r="S2" i="7" s="1"/>
  <c r="F2" i="7"/>
  <c r="J2" i="7" s="1"/>
  <c r="N2" i="7" s="1"/>
  <c r="R2" i="7" s="1"/>
  <c r="E2" i="7"/>
  <c r="C2" i="7"/>
  <c r="B2" i="7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B27" i="4"/>
  <c r="B26" i="4"/>
  <c r="B25" i="4"/>
  <c r="H24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H11" i="4"/>
  <c r="B11" i="4"/>
  <c r="B10" i="4"/>
  <c r="B9" i="4"/>
  <c r="P8" i="4"/>
  <c r="R8" i="4" s="1"/>
  <c r="S8" i="4" s="1"/>
  <c r="D8" i="4"/>
  <c r="B8" i="4"/>
  <c r="B7" i="4"/>
  <c r="B6" i="4"/>
  <c r="B5" i="4"/>
  <c r="B4" i="4"/>
  <c r="B3" i="4"/>
  <c r="B2" i="4"/>
  <c r="M27" i="3"/>
  <c r="I27" i="3"/>
  <c r="H27" i="3"/>
  <c r="E27" i="3"/>
  <c r="D27" i="3"/>
  <c r="G27" i="3" s="1"/>
  <c r="B27" i="3"/>
  <c r="E26" i="3"/>
  <c r="B26" i="3"/>
  <c r="D26" i="3" s="1"/>
  <c r="Q25" i="3"/>
  <c r="M25" i="3"/>
  <c r="Q25" i="4" s="1"/>
  <c r="I25" i="3"/>
  <c r="E25" i="3"/>
  <c r="B25" i="3"/>
  <c r="D25" i="3" s="1"/>
  <c r="M24" i="3"/>
  <c r="Q24" i="3" s="1"/>
  <c r="I24" i="3"/>
  <c r="H24" i="3"/>
  <c r="G24" i="3"/>
  <c r="F24" i="3"/>
  <c r="E24" i="3"/>
  <c r="B24" i="3"/>
  <c r="D24" i="3" s="1"/>
  <c r="I23" i="3"/>
  <c r="M23" i="3" s="1"/>
  <c r="H23" i="3"/>
  <c r="G23" i="3"/>
  <c r="F23" i="3"/>
  <c r="E23" i="3"/>
  <c r="D23" i="3"/>
  <c r="B23" i="3"/>
  <c r="I22" i="3"/>
  <c r="M22" i="3" s="1"/>
  <c r="H22" i="3"/>
  <c r="G22" i="3"/>
  <c r="F22" i="3"/>
  <c r="E22" i="3"/>
  <c r="B22" i="3"/>
  <c r="D22" i="3" s="1"/>
  <c r="I21" i="3"/>
  <c r="M21" i="3" s="1"/>
  <c r="E21" i="3"/>
  <c r="B21" i="3"/>
  <c r="D21" i="3" s="1"/>
  <c r="F20" i="3"/>
  <c r="E20" i="3"/>
  <c r="D20" i="3"/>
  <c r="H20" i="3" s="1"/>
  <c r="B20" i="3"/>
  <c r="I19" i="3"/>
  <c r="M19" i="3" s="1"/>
  <c r="H19" i="3"/>
  <c r="G19" i="3"/>
  <c r="E19" i="3"/>
  <c r="D19" i="3"/>
  <c r="F19" i="3" s="1"/>
  <c r="B19" i="3"/>
  <c r="I18" i="3"/>
  <c r="M18" i="3" s="1"/>
  <c r="E18" i="3"/>
  <c r="B18" i="3"/>
  <c r="E17" i="3"/>
  <c r="B17" i="3"/>
  <c r="I16" i="3"/>
  <c r="H16" i="3"/>
  <c r="F16" i="3"/>
  <c r="E16" i="3"/>
  <c r="D16" i="3"/>
  <c r="B16" i="3"/>
  <c r="I15" i="3"/>
  <c r="H15" i="3"/>
  <c r="G15" i="3"/>
  <c r="F15" i="3"/>
  <c r="E15" i="3"/>
  <c r="D15" i="3"/>
  <c r="B15" i="3"/>
  <c r="E14" i="3"/>
  <c r="D14" i="3"/>
  <c r="B14" i="3"/>
  <c r="I13" i="3"/>
  <c r="M13" i="3" s="1"/>
  <c r="H13" i="3"/>
  <c r="G13" i="3"/>
  <c r="F13" i="3"/>
  <c r="E13" i="3"/>
  <c r="D13" i="3"/>
  <c r="B13" i="3"/>
  <c r="I12" i="3"/>
  <c r="M12" i="3" s="1"/>
  <c r="Q12" i="3" s="1"/>
  <c r="E12" i="3"/>
  <c r="B12" i="3"/>
  <c r="D12" i="3" s="1"/>
  <c r="E11" i="3"/>
  <c r="D11" i="3"/>
  <c r="B11" i="3"/>
  <c r="I10" i="3"/>
  <c r="M10" i="3" s="1"/>
  <c r="Q10" i="4" s="1"/>
  <c r="H10" i="3"/>
  <c r="G10" i="3"/>
  <c r="F10" i="3"/>
  <c r="E10" i="3"/>
  <c r="D10" i="3"/>
  <c r="B10" i="3"/>
  <c r="I9" i="3"/>
  <c r="M9" i="3" s="1"/>
  <c r="H9" i="3"/>
  <c r="G9" i="3"/>
  <c r="F9" i="3"/>
  <c r="E9" i="3"/>
  <c r="D9" i="3"/>
  <c r="B9" i="3"/>
  <c r="F8" i="3"/>
  <c r="E8" i="3"/>
  <c r="D8" i="3"/>
  <c r="H8" i="3" s="1"/>
  <c r="B8" i="3"/>
  <c r="I7" i="3"/>
  <c r="M7" i="3" s="1"/>
  <c r="H7" i="3"/>
  <c r="G7" i="3"/>
  <c r="F7" i="3"/>
  <c r="E7" i="3"/>
  <c r="D7" i="3"/>
  <c r="B7" i="3"/>
  <c r="E6" i="3"/>
  <c r="B6" i="3"/>
  <c r="I6" i="3" s="1"/>
  <c r="M6" i="3" s="1"/>
  <c r="G5" i="3"/>
  <c r="F5" i="3"/>
  <c r="E5" i="3"/>
  <c r="D5" i="3"/>
  <c r="H5" i="3" s="1"/>
  <c r="B5" i="3"/>
  <c r="I5" i="3" s="1"/>
  <c r="M5" i="3" s="1"/>
  <c r="Q5" i="4" s="1"/>
  <c r="I4" i="3"/>
  <c r="M4" i="3" s="1"/>
  <c r="H4" i="3"/>
  <c r="G4" i="3"/>
  <c r="F4" i="3"/>
  <c r="E4" i="3"/>
  <c r="D4" i="3"/>
  <c r="B4" i="3"/>
  <c r="E3" i="3"/>
  <c r="B3" i="3"/>
  <c r="I2" i="3"/>
  <c r="H2" i="3"/>
  <c r="G2" i="3"/>
  <c r="F2" i="3"/>
  <c r="E2" i="3"/>
  <c r="B2" i="3"/>
  <c r="D2" i="3" s="1"/>
  <c r="M27" i="2"/>
  <c r="L27" i="2"/>
  <c r="J27" i="2"/>
  <c r="H27" i="2"/>
  <c r="B27" i="2"/>
  <c r="F27" i="2" s="1"/>
  <c r="D26" i="2"/>
  <c r="E26" i="2" s="1"/>
  <c r="B26" i="2"/>
  <c r="H25" i="2"/>
  <c r="B25" i="2"/>
  <c r="O24" i="2"/>
  <c r="M24" i="2"/>
  <c r="Q24" i="2" s="1"/>
  <c r="L24" i="2"/>
  <c r="J24" i="2"/>
  <c r="K24" i="2" s="1"/>
  <c r="H24" i="2"/>
  <c r="D24" i="2"/>
  <c r="E24" i="2" s="1"/>
  <c r="I24" i="2" s="1"/>
  <c r="C50" i="6" s="1"/>
  <c r="B24" i="2"/>
  <c r="F24" i="2" s="1"/>
  <c r="G24" i="2" s="1"/>
  <c r="D24" i="4" s="1"/>
  <c r="M23" i="2"/>
  <c r="L23" i="2"/>
  <c r="H23" i="2"/>
  <c r="D23" i="2"/>
  <c r="E23" i="2" s="1"/>
  <c r="B23" i="2"/>
  <c r="F23" i="2" s="1"/>
  <c r="B22" i="2"/>
  <c r="L22" i="2" s="1"/>
  <c r="M22" i="2" s="1"/>
  <c r="Q22" i="2" s="1"/>
  <c r="Q21" i="2"/>
  <c r="M21" i="2"/>
  <c r="P21" i="4" s="1"/>
  <c r="R21" i="4" s="1"/>
  <c r="S21" i="4" s="1"/>
  <c r="L21" i="2"/>
  <c r="B21" i="2"/>
  <c r="L20" i="2"/>
  <c r="M20" i="2" s="1"/>
  <c r="J20" i="2"/>
  <c r="H20" i="2"/>
  <c r="I20" i="2" s="1"/>
  <c r="F20" i="2"/>
  <c r="D20" i="2"/>
  <c r="E20" i="2" s="1"/>
  <c r="K20" i="2" s="1"/>
  <c r="B20" i="2"/>
  <c r="J19" i="2"/>
  <c r="H19" i="2"/>
  <c r="B19" i="2"/>
  <c r="L19" i="2" s="1"/>
  <c r="M19" i="2" s="1"/>
  <c r="Q19" i="2" s="1"/>
  <c r="B18" i="2"/>
  <c r="N17" i="2"/>
  <c r="B60" i="6" s="1"/>
  <c r="M17" i="2"/>
  <c r="L17" i="2"/>
  <c r="K17" i="2"/>
  <c r="J17" i="2"/>
  <c r="I17" i="2"/>
  <c r="H17" i="2"/>
  <c r="G17" i="2"/>
  <c r="F17" i="2"/>
  <c r="E17" i="2"/>
  <c r="D17" i="2"/>
  <c r="B17" i="2"/>
  <c r="J16" i="2"/>
  <c r="B16" i="2"/>
  <c r="L16" i="2" s="1"/>
  <c r="E15" i="2"/>
  <c r="D15" i="2"/>
  <c r="B15" i="2"/>
  <c r="L14" i="2"/>
  <c r="M14" i="2" s="1"/>
  <c r="K14" i="2"/>
  <c r="L14" i="4" s="1"/>
  <c r="J14" i="2"/>
  <c r="H14" i="2"/>
  <c r="I14" i="2" s="1"/>
  <c r="F14" i="2"/>
  <c r="G14" i="2" s="1"/>
  <c r="E14" i="2"/>
  <c r="D14" i="2"/>
  <c r="B14" i="2"/>
  <c r="L13" i="2"/>
  <c r="M13" i="2" s="1"/>
  <c r="J13" i="2"/>
  <c r="K13" i="2" s="1"/>
  <c r="H13" i="2"/>
  <c r="D13" i="2"/>
  <c r="E13" i="2" s="1"/>
  <c r="I13" i="2" s="1"/>
  <c r="B13" i="2"/>
  <c r="F13" i="2" s="1"/>
  <c r="B12" i="2"/>
  <c r="D12" i="2" s="1"/>
  <c r="E12" i="2" s="1"/>
  <c r="N11" i="2"/>
  <c r="M11" i="2"/>
  <c r="L11" i="2"/>
  <c r="K11" i="2"/>
  <c r="J11" i="2"/>
  <c r="I11" i="2"/>
  <c r="C15" i="6" s="1"/>
  <c r="H11" i="2"/>
  <c r="G11" i="2"/>
  <c r="D11" i="4" s="1"/>
  <c r="F11" i="2"/>
  <c r="E11" i="2"/>
  <c r="D11" i="2"/>
  <c r="B11" i="2"/>
  <c r="B10" i="2"/>
  <c r="B9" i="2"/>
  <c r="N8" i="2"/>
  <c r="B29" i="6" s="1"/>
  <c r="M8" i="2"/>
  <c r="Q8" i="2" s="1"/>
  <c r="L8" i="2"/>
  <c r="J8" i="2"/>
  <c r="K8" i="2" s="1"/>
  <c r="H8" i="2"/>
  <c r="I8" i="2" s="1"/>
  <c r="G8" i="2"/>
  <c r="B12" i="6" s="1"/>
  <c r="F8" i="2"/>
  <c r="E8" i="2"/>
  <c r="D8" i="2"/>
  <c r="B8" i="2"/>
  <c r="M7" i="2"/>
  <c r="Q7" i="2" s="1"/>
  <c r="L7" i="2"/>
  <c r="J7" i="2"/>
  <c r="K7" i="2" s="1"/>
  <c r="H7" i="2"/>
  <c r="F7" i="2"/>
  <c r="G7" i="2" s="1"/>
  <c r="E7" i="2"/>
  <c r="I7" i="2" s="1"/>
  <c r="D7" i="2"/>
  <c r="B7" i="2"/>
  <c r="B6" i="2"/>
  <c r="Q5" i="2"/>
  <c r="P5" i="2"/>
  <c r="N5" i="2"/>
  <c r="B26" i="6" s="1"/>
  <c r="M5" i="2"/>
  <c r="P5" i="4" s="1"/>
  <c r="R5" i="4" s="1"/>
  <c r="S5" i="4" s="1"/>
  <c r="L5" i="2"/>
  <c r="J5" i="2"/>
  <c r="K5" i="2" s="1"/>
  <c r="H5" i="2"/>
  <c r="I5" i="2" s="1"/>
  <c r="F5" i="2"/>
  <c r="B5" i="2"/>
  <c r="D5" i="2" s="1"/>
  <c r="E5" i="2" s="1"/>
  <c r="G5" i="2" s="1"/>
  <c r="B9" i="6" s="1"/>
  <c r="H4" i="2"/>
  <c r="F4" i="2"/>
  <c r="B4" i="2"/>
  <c r="L4" i="2" s="1"/>
  <c r="M4" i="2" s="1"/>
  <c r="H3" i="2"/>
  <c r="I3" i="2" s="1"/>
  <c r="F3" i="2"/>
  <c r="G3" i="2" s="1"/>
  <c r="E3" i="2"/>
  <c r="D3" i="2"/>
  <c r="B3" i="2"/>
  <c r="L2" i="2"/>
  <c r="J2" i="2"/>
  <c r="H2" i="2"/>
  <c r="B2" i="2"/>
  <c r="F2" i="2" s="1"/>
  <c r="B8" i="1"/>
  <c r="P13" i="4" l="1"/>
  <c r="R13" i="4" s="1"/>
  <c r="S13" i="4" s="1"/>
  <c r="Q13" i="2"/>
  <c r="P13" i="2"/>
  <c r="L13" i="4"/>
  <c r="D17" i="6"/>
  <c r="C9" i="6"/>
  <c r="H5" i="4"/>
  <c r="O5" i="2"/>
  <c r="B32" i="6"/>
  <c r="Q6" i="3"/>
  <c r="Q6" i="4"/>
  <c r="L5" i="4"/>
  <c r="D9" i="6"/>
  <c r="O8" i="2"/>
  <c r="H8" i="4"/>
  <c r="C12" i="6"/>
  <c r="L20" i="4"/>
  <c r="D46" i="6"/>
  <c r="P20" i="2"/>
  <c r="P8" i="2"/>
  <c r="L8" i="4"/>
  <c r="D12" i="6"/>
  <c r="G13" i="2"/>
  <c r="G20" i="2"/>
  <c r="Q19" i="4"/>
  <c r="Q19" i="3"/>
  <c r="M15" i="7"/>
  <c r="P20" i="4"/>
  <c r="R20" i="4" s="1"/>
  <c r="S20" i="4" s="1"/>
  <c r="Q20" i="2"/>
  <c r="H21" i="3"/>
  <c r="G21" i="3"/>
  <c r="F21" i="3"/>
  <c r="L10" i="2"/>
  <c r="M10" i="2" s="1"/>
  <c r="J10" i="2"/>
  <c r="K10" i="2" s="1"/>
  <c r="F10" i="2"/>
  <c r="G10" i="2" s="1"/>
  <c r="H10" i="2"/>
  <c r="I10" i="2" s="1"/>
  <c r="L6" i="2"/>
  <c r="M6" i="2" s="1"/>
  <c r="J6" i="2"/>
  <c r="K6" i="2" s="1"/>
  <c r="H6" i="2"/>
  <c r="I6" i="2" s="1"/>
  <c r="F6" i="2"/>
  <c r="G6" i="2" s="1"/>
  <c r="D6" i="2"/>
  <c r="E6" i="2" s="1"/>
  <c r="H20" i="4"/>
  <c r="C46" i="6"/>
  <c r="O20" i="2"/>
  <c r="Q10" i="3"/>
  <c r="Q7" i="4"/>
  <c r="Q7" i="3"/>
  <c r="D10" i="2"/>
  <c r="E10" i="2" s="1"/>
  <c r="G12" i="3"/>
  <c r="H12" i="3"/>
  <c r="F12" i="3"/>
  <c r="Q21" i="4"/>
  <c r="Q21" i="3"/>
  <c r="C11" i="6"/>
  <c r="H7" i="4"/>
  <c r="L26" i="2"/>
  <c r="M26" i="2" s="1"/>
  <c r="J26" i="2"/>
  <c r="K26" i="2" s="1"/>
  <c r="H26" i="2"/>
  <c r="I26" i="2" s="1"/>
  <c r="F26" i="2"/>
  <c r="G26" i="2" s="1"/>
  <c r="I22" i="10"/>
  <c r="O22" i="10" s="1"/>
  <c r="J22" i="10"/>
  <c r="H22" i="10"/>
  <c r="D14" i="4"/>
  <c r="D12" i="5"/>
  <c r="N14" i="2"/>
  <c r="B18" i="6"/>
  <c r="B7" i="6"/>
  <c r="N3" i="2"/>
  <c r="D3" i="4"/>
  <c r="C18" i="6"/>
  <c r="H14" i="4"/>
  <c r="O14" i="2"/>
  <c r="M16" i="3"/>
  <c r="H11" i="3"/>
  <c r="F11" i="3"/>
  <c r="H3" i="4"/>
  <c r="C7" i="6"/>
  <c r="O3" i="2"/>
  <c r="D11" i="6"/>
  <c r="L7" i="4"/>
  <c r="P7" i="2"/>
  <c r="E43" i="6"/>
  <c r="P17" i="4"/>
  <c r="Q17" i="2"/>
  <c r="E60" i="6" s="1"/>
  <c r="G23" i="2"/>
  <c r="I17" i="3"/>
  <c r="M17" i="3" s="1"/>
  <c r="D17" i="3"/>
  <c r="P4" i="4"/>
  <c r="R4" i="4" s="1"/>
  <c r="S4" i="4" s="1"/>
  <c r="Q4" i="2"/>
  <c r="Q14" i="2"/>
  <c r="P14" i="4"/>
  <c r="R14" i="4" s="1"/>
  <c r="S14" i="4" s="1"/>
  <c r="I23" i="2"/>
  <c r="G18" i="3"/>
  <c r="B11" i="6"/>
  <c r="D7" i="4"/>
  <c r="N7" i="2"/>
  <c r="O7" i="2"/>
  <c r="P27" i="4"/>
  <c r="R27" i="4" s="1"/>
  <c r="S27" i="4" s="1"/>
  <c r="Q27" i="2"/>
  <c r="H26" i="3"/>
  <c r="F26" i="3"/>
  <c r="H93" i="10"/>
  <c r="I93" i="10"/>
  <c r="J93" i="10"/>
  <c r="D50" i="6"/>
  <c r="P24" i="2"/>
  <c r="L24" i="4"/>
  <c r="D26" i="6"/>
  <c r="P23" i="4"/>
  <c r="R23" i="4" s="1"/>
  <c r="S23" i="4" s="1"/>
  <c r="Q23" i="2"/>
  <c r="Q22" i="4"/>
  <c r="Q22" i="3"/>
  <c r="L17" i="4"/>
  <c r="D43" i="6"/>
  <c r="P17" i="2"/>
  <c r="Q18" i="4"/>
  <c r="Q18" i="3"/>
  <c r="I4" i="2"/>
  <c r="D15" i="6"/>
  <c r="L11" i="4"/>
  <c r="P11" i="2"/>
  <c r="Q13" i="4"/>
  <c r="Q13" i="3"/>
  <c r="Z24" i="10"/>
  <c r="Q4" i="4"/>
  <c r="Q4" i="3"/>
  <c r="Q9" i="3"/>
  <c r="Q9" i="4"/>
  <c r="O13" i="2"/>
  <c r="C17" i="6"/>
  <c r="H13" i="4"/>
  <c r="P11" i="4"/>
  <c r="R11" i="4" s="1"/>
  <c r="S11" i="4" s="1"/>
  <c r="Q11" i="2"/>
  <c r="L9" i="2"/>
  <c r="M9" i="2" s="1"/>
  <c r="H9" i="2"/>
  <c r="J9" i="2"/>
  <c r="L25" i="2"/>
  <c r="M25" i="2" s="1"/>
  <c r="J25" i="2"/>
  <c r="F9" i="2"/>
  <c r="L15" i="2"/>
  <c r="M15" i="2" s="1"/>
  <c r="J15" i="2"/>
  <c r="K15" i="2" s="1"/>
  <c r="H15" i="2"/>
  <c r="I15" i="2" s="1"/>
  <c r="F15" i="2"/>
  <c r="G15" i="2" s="1"/>
  <c r="B43" i="6"/>
  <c r="D17" i="4"/>
  <c r="F19" i="2"/>
  <c r="J23" i="2"/>
  <c r="K23" i="2" s="1"/>
  <c r="F25" i="2"/>
  <c r="G25" i="3"/>
  <c r="H25" i="3"/>
  <c r="F25" i="3"/>
  <c r="M14" i="10"/>
  <c r="F14" i="10"/>
  <c r="G14" i="10" s="1"/>
  <c r="I147" i="10"/>
  <c r="H147" i="10"/>
  <c r="J147" i="10"/>
  <c r="J11" i="7"/>
  <c r="N11" i="7" s="1"/>
  <c r="C4" i="8"/>
  <c r="J5" i="10"/>
  <c r="I5" i="10"/>
  <c r="H5" i="10"/>
  <c r="N5" i="10" s="1"/>
  <c r="D4" i="2"/>
  <c r="E4" i="2" s="1"/>
  <c r="G4" i="2" s="1"/>
  <c r="C43" i="6"/>
  <c r="H17" i="4"/>
  <c r="M15" i="3"/>
  <c r="L15" i="3"/>
  <c r="I6" i="7"/>
  <c r="M6" i="7" s="1"/>
  <c r="H6" i="7"/>
  <c r="G6" i="7"/>
  <c r="B6" i="8"/>
  <c r="T6" i="8" s="1"/>
  <c r="F6" i="7"/>
  <c r="U6" i="7"/>
  <c r="Q6" i="7"/>
  <c r="E6" i="7"/>
  <c r="J6" i="7" s="1"/>
  <c r="N6" i="7" s="1"/>
  <c r="R6" i="7" s="1"/>
  <c r="K25" i="7"/>
  <c r="T4" i="8"/>
  <c r="L4" i="8"/>
  <c r="P7" i="8"/>
  <c r="M7" i="8"/>
  <c r="X5" i="10"/>
  <c r="Y5" i="10" s="1"/>
  <c r="P5" i="10"/>
  <c r="Q5" i="10" s="1"/>
  <c r="O5" i="10"/>
  <c r="I9" i="10"/>
  <c r="H9" i="10"/>
  <c r="J9" i="10"/>
  <c r="M42" i="10"/>
  <c r="F42" i="10"/>
  <c r="G42" i="10" s="1"/>
  <c r="T12" i="8"/>
  <c r="P12" i="8"/>
  <c r="M12" i="8"/>
  <c r="B33" i="9" s="1"/>
  <c r="L12" i="8"/>
  <c r="E12" i="8"/>
  <c r="B16" i="9" s="1"/>
  <c r="AB12" i="8"/>
  <c r="X12" i="8"/>
  <c r="Z51" i="10"/>
  <c r="H75" i="10"/>
  <c r="J75" i="10"/>
  <c r="I75" i="10"/>
  <c r="O75" i="10" s="1"/>
  <c r="I11" i="3"/>
  <c r="M11" i="3" s="1"/>
  <c r="G11" i="3"/>
  <c r="Q27" i="4"/>
  <c r="Q27" i="3"/>
  <c r="T37" i="10"/>
  <c r="S106" i="10"/>
  <c r="T106" i="10" s="1"/>
  <c r="H12" i="8"/>
  <c r="V37" i="10"/>
  <c r="I43" i="10"/>
  <c r="O43" i="10" s="1"/>
  <c r="H43" i="10"/>
  <c r="X10" i="10"/>
  <c r="Y10" i="10" s="1"/>
  <c r="L7" i="7"/>
  <c r="P7" i="7" s="1"/>
  <c r="C7" i="8"/>
  <c r="U7" i="7"/>
  <c r="Q7" i="7"/>
  <c r="L12" i="7"/>
  <c r="P12" i="7" s="1"/>
  <c r="T12" i="7" s="1"/>
  <c r="O12" i="8" s="1"/>
  <c r="F15" i="7"/>
  <c r="J15" i="7" s="1"/>
  <c r="N15" i="7" s="1"/>
  <c r="E15" i="8" s="1"/>
  <c r="B41" i="9" s="1"/>
  <c r="R19" i="7"/>
  <c r="M19" i="8" s="1"/>
  <c r="E23" i="7"/>
  <c r="L23" i="7" s="1"/>
  <c r="P23" i="7" s="1"/>
  <c r="T23" i="7" s="1"/>
  <c r="X13" i="8"/>
  <c r="P13" i="8"/>
  <c r="J38" i="10"/>
  <c r="I38" i="10"/>
  <c r="M61" i="10"/>
  <c r="F61" i="10"/>
  <c r="G61" i="10" s="1"/>
  <c r="J107" i="10"/>
  <c r="H107" i="10"/>
  <c r="E7" i="7"/>
  <c r="G15" i="7"/>
  <c r="S19" i="7"/>
  <c r="N19" i="8" s="1"/>
  <c r="F23" i="7"/>
  <c r="J26" i="7"/>
  <c r="C26" i="8"/>
  <c r="U26" i="7"/>
  <c r="Q26" i="7"/>
  <c r="P26" i="7"/>
  <c r="T26" i="7" s="1"/>
  <c r="L26" i="7"/>
  <c r="O18" i="8"/>
  <c r="D61" i="9" s="1"/>
  <c r="H26" i="8"/>
  <c r="H38" i="10"/>
  <c r="I48" i="10"/>
  <c r="O48" i="10" s="1"/>
  <c r="H48" i="10"/>
  <c r="N48" i="10" s="1"/>
  <c r="I107" i="10"/>
  <c r="F22" i="2"/>
  <c r="D6" i="3"/>
  <c r="K15" i="3"/>
  <c r="F7" i="7"/>
  <c r="J7" i="7" s="1"/>
  <c r="N7" i="7" s="1"/>
  <c r="R7" i="7" s="1"/>
  <c r="H15" i="7"/>
  <c r="L15" i="7" s="1"/>
  <c r="P15" i="7" s="1"/>
  <c r="T15" i="7" s="1"/>
  <c r="O15" i="8" s="1"/>
  <c r="D58" i="9" s="1"/>
  <c r="G23" i="7"/>
  <c r="K23" i="7" s="1"/>
  <c r="O23" i="7" s="1"/>
  <c r="S23" i="7" s="1"/>
  <c r="H5" i="8"/>
  <c r="AB5" i="8"/>
  <c r="X5" i="8"/>
  <c r="T5" i="8"/>
  <c r="P5" i="8"/>
  <c r="H13" i="8"/>
  <c r="X44" i="10"/>
  <c r="Y44" i="10" s="1"/>
  <c r="O44" i="10"/>
  <c r="X48" i="10"/>
  <c r="Y48" i="10" s="1"/>
  <c r="O17" i="2"/>
  <c r="D22" i="2"/>
  <c r="E22" i="2" s="1"/>
  <c r="D16" i="2"/>
  <c r="E16" i="2" s="1"/>
  <c r="M16" i="2" s="1"/>
  <c r="J15" i="3"/>
  <c r="F16" i="2"/>
  <c r="G16" i="2" s="1"/>
  <c r="J18" i="2"/>
  <c r="K18" i="2" s="1"/>
  <c r="H18" i="2"/>
  <c r="F18" i="2"/>
  <c r="G18" i="2" s="1"/>
  <c r="D18" i="3"/>
  <c r="G26" i="3"/>
  <c r="N44" i="10"/>
  <c r="P44" i="10" s="1"/>
  <c r="Q44" i="10" s="1"/>
  <c r="J123" i="10"/>
  <c r="H123" i="10"/>
  <c r="I123" i="10"/>
  <c r="O123" i="10" s="1"/>
  <c r="B15" i="8"/>
  <c r="L15" i="8" s="1"/>
  <c r="I41" i="9" s="1"/>
  <c r="E15" i="7"/>
  <c r="O11" i="2"/>
  <c r="Q15" i="7"/>
  <c r="U15" i="7" s="1"/>
  <c r="P15" i="8" s="1"/>
  <c r="K15" i="7"/>
  <c r="O15" i="7" s="1"/>
  <c r="S15" i="7" s="1"/>
  <c r="C15" i="8"/>
  <c r="D18" i="2"/>
  <c r="E18" i="2" s="1"/>
  <c r="H22" i="2"/>
  <c r="I20" i="7"/>
  <c r="M20" i="7" s="1"/>
  <c r="G20" i="7"/>
  <c r="F20" i="7"/>
  <c r="E20" i="7"/>
  <c r="U20" i="7"/>
  <c r="Q20" i="7"/>
  <c r="B20" i="8"/>
  <c r="H20" i="7"/>
  <c r="F11" i="10"/>
  <c r="G11" i="10" s="1"/>
  <c r="M11" i="10"/>
  <c r="H34" i="10"/>
  <c r="P34" i="10" s="1"/>
  <c r="Q34" i="10" s="1"/>
  <c r="Z53" i="10"/>
  <c r="L12" i="2"/>
  <c r="M12" i="2" s="1"/>
  <c r="J12" i="2"/>
  <c r="K12" i="2" s="1"/>
  <c r="H12" i="2"/>
  <c r="I12" i="2" s="1"/>
  <c r="F12" i="2"/>
  <c r="G12" i="2" s="1"/>
  <c r="H16" i="2"/>
  <c r="I16" i="2" s="1"/>
  <c r="L18" i="2"/>
  <c r="M18" i="2" s="1"/>
  <c r="I20" i="3"/>
  <c r="M20" i="3" s="1"/>
  <c r="G20" i="3"/>
  <c r="I26" i="3"/>
  <c r="M26" i="3" s="1"/>
  <c r="T7" i="7"/>
  <c r="R15" i="7"/>
  <c r="L5" i="8"/>
  <c r="P21" i="8"/>
  <c r="H21" i="8"/>
  <c r="M3" i="10"/>
  <c r="F3" i="10"/>
  <c r="G3" i="10" s="1"/>
  <c r="J34" i="10"/>
  <c r="N72" i="10"/>
  <c r="P72" i="10" s="1"/>
  <c r="Q72" i="10" s="1"/>
  <c r="R72" i="10" s="1"/>
  <c r="O72" i="10"/>
  <c r="B23" i="8"/>
  <c r="U23" i="7"/>
  <c r="Q23" i="7"/>
  <c r="I23" i="7"/>
  <c r="M23" i="7" s="1"/>
  <c r="J4" i="7"/>
  <c r="N4" i="7" s="1"/>
  <c r="R4" i="7" s="1"/>
  <c r="U4" i="7"/>
  <c r="Q4" i="7"/>
  <c r="L4" i="7"/>
  <c r="P4" i="7" s="1"/>
  <c r="T4" i="7" s="1"/>
  <c r="O4" i="8" s="1"/>
  <c r="D25" i="9" s="1"/>
  <c r="K4" i="7"/>
  <c r="O4" i="7" s="1"/>
  <c r="S4" i="7" s="1"/>
  <c r="J4" i="2"/>
  <c r="K4" i="2" s="1"/>
  <c r="M2" i="3"/>
  <c r="L2" i="3"/>
  <c r="K2" i="3"/>
  <c r="J2" i="3"/>
  <c r="Q5" i="3"/>
  <c r="J3" i="2"/>
  <c r="K3" i="2" s="1"/>
  <c r="L3" i="2"/>
  <c r="M3" i="2" s="1"/>
  <c r="J22" i="2"/>
  <c r="I8" i="3"/>
  <c r="M8" i="3" s="1"/>
  <c r="G8" i="3"/>
  <c r="D5" i="4"/>
  <c r="P24" i="4"/>
  <c r="R24" i="4" s="1"/>
  <c r="S24" i="4" s="1"/>
  <c r="B15" i="6"/>
  <c r="B21" i="8"/>
  <c r="T21" i="8" s="1"/>
  <c r="I21" i="7"/>
  <c r="M21" i="7" s="1"/>
  <c r="H21" i="7"/>
  <c r="G21" i="7"/>
  <c r="F21" i="7"/>
  <c r="J21" i="7" s="1"/>
  <c r="N21" i="7" s="1"/>
  <c r="Z16" i="10"/>
  <c r="X34" i="10"/>
  <c r="Y34" i="10" s="1"/>
  <c r="O34" i="10"/>
  <c r="N34" i="10"/>
  <c r="N24" i="2"/>
  <c r="I14" i="3"/>
  <c r="M14" i="3" s="1"/>
  <c r="G14" i="3"/>
  <c r="Q24" i="4"/>
  <c r="Q21" i="7"/>
  <c r="L21" i="7"/>
  <c r="P21" i="7" s="1"/>
  <c r="T21" i="7" s="1"/>
  <c r="C21" i="8"/>
  <c r="U21" i="7"/>
  <c r="K26" i="7"/>
  <c r="O26" i="7" s="1"/>
  <c r="S26" i="7" s="1"/>
  <c r="N27" i="8"/>
  <c r="H27" i="8"/>
  <c r="AB27" i="8"/>
  <c r="X27" i="8"/>
  <c r="T27" i="8"/>
  <c r="X45" i="10"/>
  <c r="Y45" i="10" s="1"/>
  <c r="P45" i="10"/>
  <c r="Q45" i="10" s="1"/>
  <c r="N45" i="10"/>
  <c r="AA45" i="10"/>
  <c r="U45" i="10"/>
  <c r="S45" i="10"/>
  <c r="I54" i="10"/>
  <c r="O54" i="10" s="1"/>
  <c r="H54" i="10"/>
  <c r="J58" i="10"/>
  <c r="I58" i="10"/>
  <c r="O58" i="10" s="1"/>
  <c r="X72" i="10"/>
  <c r="Y72" i="10" s="1"/>
  <c r="Z72" i="10" s="1"/>
  <c r="H14" i="3"/>
  <c r="F14" i="3"/>
  <c r="J17" i="10"/>
  <c r="I17" i="10"/>
  <c r="H17" i="10"/>
  <c r="X54" i="10"/>
  <c r="Y54" i="10" s="1"/>
  <c r="Z54" i="10" s="1"/>
  <c r="AA54" i="10" s="1"/>
  <c r="AB54" i="10" s="1"/>
  <c r="S54" i="10"/>
  <c r="T54" i="10" s="1"/>
  <c r="H58" i="10"/>
  <c r="Q23" i="3"/>
  <c r="Q23" i="4"/>
  <c r="K21" i="7"/>
  <c r="O21" i="7" s="1"/>
  <c r="N26" i="7"/>
  <c r="R26" i="7" s="1"/>
  <c r="H3" i="8"/>
  <c r="E7" i="9" s="1"/>
  <c r="Z7" i="10"/>
  <c r="I88" i="10"/>
  <c r="P7" i="4"/>
  <c r="R7" i="4" s="1"/>
  <c r="S7" i="4" s="1"/>
  <c r="D3" i="3"/>
  <c r="G3" i="3" s="1"/>
  <c r="P19" i="4"/>
  <c r="R19" i="4" s="1"/>
  <c r="S19" i="4" s="1"/>
  <c r="P22" i="4"/>
  <c r="R22" i="4" s="1"/>
  <c r="S22" i="4" s="1"/>
  <c r="B50" i="6"/>
  <c r="I64" i="10"/>
  <c r="H64" i="10"/>
  <c r="J64" i="10" s="1"/>
  <c r="H88" i="10"/>
  <c r="J88" i="10" s="1"/>
  <c r="C67" i="6"/>
  <c r="Q12" i="4"/>
  <c r="E17" i="7"/>
  <c r="K17" i="7" s="1"/>
  <c r="B17" i="8"/>
  <c r="H17" i="7"/>
  <c r="I41" i="10"/>
  <c r="O41" i="10" s="1"/>
  <c r="H41" i="10"/>
  <c r="J41" i="10" s="1"/>
  <c r="I46" i="10"/>
  <c r="O46" i="10" s="1"/>
  <c r="H46" i="10"/>
  <c r="N46" i="10" s="1"/>
  <c r="B7" i="8"/>
  <c r="L7" i="8" s="1"/>
  <c r="I7" i="7"/>
  <c r="M7" i="7" s="1"/>
  <c r="G7" i="7"/>
  <c r="K7" i="7" s="1"/>
  <c r="O7" i="7" s="1"/>
  <c r="S7" i="7" s="1"/>
  <c r="D18" i="6"/>
  <c r="E12" i="5"/>
  <c r="C17" i="8"/>
  <c r="P17" i="7"/>
  <c r="T17" i="7" s="1"/>
  <c r="O17" i="7"/>
  <c r="S17" i="7" s="1"/>
  <c r="L17" i="7"/>
  <c r="T26" i="8"/>
  <c r="G26" i="8"/>
  <c r="D52" i="9" s="1"/>
  <c r="AB26" i="8"/>
  <c r="G27" i="2"/>
  <c r="D9" i="2"/>
  <c r="E9" i="2" s="1"/>
  <c r="P14" i="2"/>
  <c r="D19" i="2"/>
  <c r="E19" i="2" s="1"/>
  <c r="D25" i="2"/>
  <c r="E25" i="2" s="1"/>
  <c r="I25" i="2" s="1"/>
  <c r="J21" i="2"/>
  <c r="K21" i="2" s="1"/>
  <c r="H21" i="2"/>
  <c r="F21" i="2"/>
  <c r="D21" i="2"/>
  <c r="E21" i="2" s="1"/>
  <c r="AB11" i="8"/>
  <c r="X11" i="8"/>
  <c r="T11" i="8"/>
  <c r="L11" i="8"/>
  <c r="H11" i="8"/>
  <c r="F17" i="7"/>
  <c r="J17" i="7" s="1"/>
  <c r="N17" i="7" s="1"/>
  <c r="S21" i="7"/>
  <c r="N21" i="8" s="1"/>
  <c r="S41" i="10"/>
  <c r="P41" i="10"/>
  <c r="Q41" i="10" s="1"/>
  <c r="N41" i="10"/>
  <c r="AA41" i="10"/>
  <c r="X41" i="10"/>
  <c r="Y41" i="10" s="1"/>
  <c r="U41" i="10"/>
  <c r="F69" i="10"/>
  <c r="G69" i="10" s="1"/>
  <c r="M69" i="10"/>
  <c r="M89" i="10"/>
  <c r="F89" i="10"/>
  <c r="G89" i="10" s="1"/>
  <c r="U9" i="7"/>
  <c r="Q9" i="7"/>
  <c r="C25" i="8"/>
  <c r="U25" i="7"/>
  <c r="T25" i="7"/>
  <c r="N18" i="8"/>
  <c r="C61" i="9" s="1"/>
  <c r="H45" i="10"/>
  <c r="J45" i="10" s="1"/>
  <c r="I45" i="10"/>
  <c r="O45" i="10" s="1"/>
  <c r="S55" i="10"/>
  <c r="T55" i="10" s="1"/>
  <c r="H97" i="10"/>
  <c r="J97" i="10" s="1"/>
  <c r="I97" i="10"/>
  <c r="O97" i="10" s="1"/>
  <c r="I14" i="7"/>
  <c r="M14" i="7" s="1"/>
  <c r="H14" i="7"/>
  <c r="I20" i="10"/>
  <c r="O20" i="10" s="1"/>
  <c r="J20" i="10"/>
  <c r="H20" i="10"/>
  <c r="V25" i="10"/>
  <c r="O38" i="10"/>
  <c r="N38" i="10"/>
  <c r="P38" i="10" s="1"/>
  <c r="Q38" i="10" s="1"/>
  <c r="X38" i="10"/>
  <c r="Y38" i="10" s="1"/>
  <c r="C3" i="8"/>
  <c r="U3" i="7"/>
  <c r="I11" i="7"/>
  <c r="M11" i="7" s="1"/>
  <c r="E11" i="7"/>
  <c r="U11" i="7"/>
  <c r="N14" i="7"/>
  <c r="R14" i="7" s="1"/>
  <c r="C14" i="8"/>
  <c r="K14" i="7"/>
  <c r="O14" i="7" s="1"/>
  <c r="S14" i="7" s="1"/>
  <c r="J14" i="7"/>
  <c r="U17" i="10"/>
  <c r="P17" i="10"/>
  <c r="Q17" i="10" s="1"/>
  <c r="S17" i="10"/>
  <c r="O17" i="10"/>
  <c r="X52" i="10"/>
  <c r="Y52" i="10" s="1"/>
  <c r="X58" i="10"/>
  <c r="Y58" i="10" s="1"/>
  <c r="Z58" i="10" s="1"/>
  <c r="N58" i="10"/>
  <c r="I98" i="10"/>
  <c r="P98" i="10" s="1"/>
  <c r="Q98" i="10" s="1"/>
  <c r="R98" i="10" s="1"/>
  <c r="H98" i="10"/>
  <c r="N98" i="10" s="1"/>
  <c r="E14" i="7"/>
  <c r="C22" i="8"/>
  <c r="O22" i="7"/>
  <c r="S22" i="7" s="1"/>
  <c r="L22" i="7"/>
  <c r="P22" i="7" s="1"/>
  <c r="T22" i="7" s="1"/>
  <c r="K22" i="7"/>
  <c r="J25" i="7"/>
  <c r="N25" i="7" s="1"/>
  <c r="R25" i="7" s="1"/>
  <c r="N2" i="8"/>
  <c r="C23" i="9" s="1"/>
  <c r="H6" i="10"/>
  <c r="J6" i="10" s="1"/>
  <c r="N17" i="10"/>
  <c r="M23" i="10"/>
  <c r="F23" i="10"/>
  <c r="G23" i="10" s="1"/>
  <c r="Z25" i="10"/>
  <c r="F52" i="10"/>
  <c r="G52" i="10" s="1"/>
  <c r="P81" i="10"/>
  <c r="Q81" i="10" s="1"/>
  <c r="R81" i="10" s="1"/>
  <c r="AA81" i="10"/>
  <c r="AB81" i="10" s="1"/>
  <c r="X81" i="10"/>
  <c r="Y81" i="10" s="1"/>
  <c r="Z81" i="10" s="1"/>
  <c r="J90" i="10"/>
  <c r="H90" i="10"/>
  <c r="N90" i="10" s="1"/>
  <c r="J98" i="10"/>
  <c r="H108" i="10"/>
  <c r="N108" i="10" s="1"/>
  <c r="I108" i="10"/>
  <c r="H124" i="10"/>
  <c r="J124" i="10" s="1"/>
  <c r="I124" i="10"/>
  <c r="AB10" i="8"/>
  <c r="F10" i="8"/>
  <c r="C14" i="9" s="1"/>
  <c r="M39" i="10"/>
  <c r="F39" i="10"/>
  <c r="G39" i="10" s="1"/>
  <c r="F81" i="10"/>
  <c r="G81" i="10" s="1"/>
  <c r="I90" i="10"/>
  <c r="O90" i="10" s="1"/>
  <c r="L6" i="7"/>
  <c r="P6" i="7" s="1"/>
  <c r="T6" i="7" s="1"/>
  <c r="K6" i="7"/>
  <c r="C6" i="8"/>
  <c r="K9" i="7"/>
  <c r="O9" i="7" s="1"/>
  <c r="S9" i="7" s="1"/>
  <c r="G11" i="7"/>
  <c r="K11" i="7" s="1"/>
  <c r="O11" i="7" s="1"/>
  <c r="G14" i="7"/>
  <c r="E16" i="7"/>
  <c r="M16" i="7" s="1"/>
  <c r="Q16" i="7" s="1"/>
  <c r="U16" i="7" s="1"/>
  <c r="F22" i="7"/>
  <c r="J22" i="7" s="1"/>
  <c r="N22" i="7" s="1"/>
  <c r="R22" i="7" s="1"/>
  <c r="U24" i="7"/>
  <c r="Q24" i="7"/>
  <c r="L25" i="7"/>
  <c r="N15" i="8"/>
  <c r="C58" i="9" s="1"/>
  <c r="L16" i="8"/>
  <c r="I42" i="9" s="1"/>
  <c r="P20" i="8"/>
  <c r="L20" i="8"/>
  <c r="H20" i="8"/>
  <c r="AB20" i="8"/>
  <c r="L25" i="8"/>
  <c r="Z8" i="10"/>
  <c r="I15" i="10"/>
  <c r="O15" i="10" s="1"/>
  <c r="X17" i="10"/>
  <c r="Y17" i="10" s="1"/>
  <c r="AB25" i="10"/>
  <c r="X30" i="10"/>
  <c r="Y30" i="10" s="1"/>
  <c r="S81" i="10"/>
  <c r="T81" i="10" s="1"/>
  <c r="X108" i="10"/>
  <c r="Y108" i="10" s="1"/>
  <c r="Z108" i="10" s="1"/>
  <c r="S108" i="10"/>
  <c r="T108" i="10" s="1"/>
  <c r="O108" i="10"/>
  <c r="D2" i="2"/>
  <c r="E2" i="2" s="1"/>
  <c r="L9" i="7"/>
  <c r="P9" i="7" s="1"/>
  <c r="T9" i="7" s="1"/>
  <c r="H11" i="7"/>
  <c r="L11" i="7" s="1"/>
  <c r="P11" i="7" s="1"/>
  <c r="L14" i="7"/>
  <c r="P14" i="7" s="1"/>
  <c r="T14" i="7" s="1"/>
  <c r="F16" i="7"/>
  <c r="G22" i="7"/>
  <c r="X6" i="10"/>
  <c r="Y6" i="10" s="1"/>
  <c r="P6" i="10"/>
  <c r="Q6" i="10" s="1"/>
  <c r="O6" i="10"/>
  <c r="N6" i="10"/>
  <c r="J15" i="10"/>
  <c r="M26" i="10"/>
  <c r="F26" i="10"/>
  <c r="G26" i="10" s="1"/>
  <c r="F30" i="10"/>
  <c r="G30" i="10" s="1"/>
  <c r="X70" i="10"/>
  <c r="Y70" i="10" s="1"/>
  <c r="Z70" i="10" s="1"/>
  <c r="U81" i="10"/>
  <c r="V81" i="10" s="1"/>
  <c r="D27" i="2"/>
  <c r="E27" i="2" s="1"/>
  <c r="J3" i="7"/>
  <c r="Q8" i="7"/>
  <c r="L8" i="7"/>
  <c r="P8" i="7" s="1"/>
  <c r="G16" i="7"/>
  <c r="K16" i="7" s="1"/>
  <c r="O16" i="7" s="1"/>
  <c r="S16" i="7" s="1"/>
  <c r="H22" i="7"/>
  <c r="E24" i="7"/>
  <c r="M2" i="8"/>
  <c r="F15" i="8"/>
  <c r="C41" i="9" s="1"/>
  <c r="H24" i="8"/>
  <c r="AA17" i="10"/>
  <c r="N70" i="10"/>
  <c r="P70" i="10" s="1"/>
  <c r="Q70" i="10" s="1"/>
  <c r="R70" i="10" s="1"/>
  <c r="I99" i="10"/>
  <c r="H99" i="10"/>
  <c r="J99" i="10" s="1"/>
  <c r="C16" i="8"/>
  <c r="F27" i="3"/>
  <c r="K3" i="7"/>
  <c r="O3" i="7" s="1"/>
  <c r="S3" i="7" s="1"/>
  <c r="E8" i="7"/>
  <c r="N9" i="7"/>
  <c r="R9" i="7" s="1"/>
  <c r="H16" i="7"/>
  <c r="F24" i="7"/>
  <c r="J24" i="7" s="1"/>
  <c r="N24" i="7" s="1"/>
  <c r="R24" i="7" s="1"/>
  <c r="M24" i="8" s="1"/>
  <c r="O25" i="7"/>
  <c r="S25" i="7" s="1"/>
  <c r="O2" i="8"/>
  <c r="B8" i="8"/>
  <c r="C9" i="8"/>
  <c r="B14" i="8"/>
  <c r="O19" i="8"/>
  <c r="L19" i="8"/>
  <c r="G19" i="8"/>
  <c r="D45" i="9" s="1"/>
  <c r="J18" i="10"/>
  <c r="I18" i="10"/>
  <c r="P18" i="10" s="1"/>
  <c r="Q18" i="10" s="1"/>
  <c r="H18" i="10"/>
  <c r="I36" i="10"/>
  <c r="H36" i="10"/>
  <c r="J36" i="10" s="1"/>
  <c r="J53" i="10"/>
  <c r="I53" i="10"/>
  <c r="O53" i="10" s="1"/>
  <c r="X56" i="10"/>
  <c r="Y56" i="10" s="1"/>
  <c r="S56" i="10"/>
  <c r="T56" i="10" s="1"/>
  <c r="P56" i="10"/>
  <c r="Q56" i="10" s="1"/>
  <c r="R56" i="10" s="1"/>
  <c r="U56" i="10" s="1"/>
  <c r="V56" i="10" s="1"/>
  <c r="M120" i="10"/>
  <c r="F120" i="10"/>
  <c r="G120" i="10" s="1"/>
  <c r="U2" i="7"/>
  <c r="Q2" i="7"/>
  <c r="H2" i="8" s="1"/>
  <c r="E6" i="9" s="1"/>
  <c r="L3" i="7"/>
  <c r="P3" i="7" s="1"/>
  <c r="T3" i="7" s="1"/>
  <c r="F8" i="7"/>
  <c r="J8" i="7" s="1"/>
  <c r="N8" i="7" s="1"/>
  <c r="Q14" i="7"/>
  <c r="G24" i="7"/>
  <c r="P25" i="7"/>
  <c r="P2" i="8"/>
  <c r="L9" i="8"/>
  <c r="X40" i="10"/>
  <c r="Y40" i="10" s="1"/>
  <c r="I164" i="10"/>
  <c r="H164" i="10"/>
  <c r="O6" i="7"/>
  <c r="S6" i="7" s="1"/>
  <c r="G8" i="7"/>
  <c r="K8" i="7" s="1"/>
  <c r="O8" i="7" s="1"/>
  <c r="F10" i="7"/>
  <c r="J10" i="7" s="1"/>
  <c r="N10" i="7" s="1"/>
  <c r="R10" i="7" s="1"/>
  <c r="B10" i="8"/>
  <c r="Q22" i="7"/>
  <c r="H24" i="7"/>
  <c r="Q25" i="7"/>
  <c r="H4" i="10"/>
  <c r="J4" i="10" s="1"/>
  <c r="J7" i="10"/>
  <c r="X9" i="10"/>
  <c r="Y9" i="10" s="1"/>
  <c r="P9" i="10"/>
  <c r="Q9" i="10" s="1"/>
  <c r="O9" i="10"/>
  <c r="N9" i="10"/>
  <c r="P33" i="10"/>
  <c r="Q33" i="10" s="1"/>
  <c r="S33" i="10"/>
  <c r="N33" i="10"/>
  <c r="F40" i="10"/>
  <c r="G40" i="10" s="1"/>
  <c r="N53" i="10"/>
  <c r="U53" i="10"/>
  <c r="P53" i="10"/>
  <c r="Q53" i="10" s="1"/>
  <c r="AA53" i="10"/>
  <c r="O56" i="10"/>
  <c r="G16" i="3"/>
  <c r="N3" i="7"/>
  <c r="C10" i="8"/>
  <c r="U10" i="7"/>
  <c r="T10" i="7"/>
  <c r="S10" i="7"/>
  <c r="H13" i="7"/>
  <c r="L13" i="7" s="1"/>
  <c r="P13" i="7" s="1"/>
  <c r="G13" i="7"/>
  <c r="K13" i="7" s="1"/>
  <c r="O13" i="7" s="1"/>
  <c r="F13" i="7"/>
  <c r="J13" i="7" s="1"/>
  <c r="N13" i="7" s="1"/>
  <c r="E13" i="8" s="1"/>
  <c r="B17" i="9" s="1"/>
  <c r="E13" i="7"/>
  <c r="T23" i="8"/>
  <c r="P23" i="8"/>
  <c r="O23" i="8"/>
  <c r="D66" i="9" s="1"/>
  <c r="L23" i="8"/>
  <c r="P24" i="8"/>
  <c r="N24" i="10"/>
  <c r="V33" i="10"/>
  <c r="Z36" i="10"/>
  <c r="T53" i="10"/>
  <c r="H91" i="10"/>
  <c r="J91" i="10" s="1"/>
  <c r="P10" i="8"/>
  <c r="F18" i="8"/>
  <c r="C44" i="9" s="1"/>
  <c r="E18" i="8"/>
  <c r="B44" i="9" s="1"/>
  <c r="M18" i="8"/>
  <c r="B61" i="9" s="1"/>
  <c r="P7" i="10"/>
  <c r="Q7" i="10" s="1"/>
  <c r="O7" i="10"/>
  <c r="J31" i="10"/>
  <c r="Z33" i="10"/>
  <c r="AA37" i="10"/>
  <c r="X37" i="10"/>
  <c r="Y37" i="10" s="1"/>
  <c r="P37" i="10"/>
  <c r="Q37" i="10" s="1"/>
  <c r="I50" i="10"/>
  <c r="J50" i="10"/>
  <c r="H50" i="10"/>
  <c r="X91" i="10"/>
  <c r="Y91" i="10" s="1"/>
  <c r="Z91" i="10" s="1"/>
  <c r="O91" i="10"/>
  <c r="P110" i="10"/>
  <c r="Q110" i="10" s="1"/>
  <c r="R110" i="10" s="1"/>
  <c r="O110" i="10"/>
  <c r="X110" i="10"/>
  <c r="Y110" i="10" s="1"/>
  <c r="Z110" i="10" s="1"/>
  <c r="N110" i="10"/>
  <c r="J10" i="10"/>
  <c r="I10" i="10"/>
  <c r="O10" i="10" s="1"/>
  <c r="J19" i="10"/>
  <c r="AB33" i="10"/>
  <c r="O50" i="10"/>
  <c r="N50" i="10"/>
  <c r="X50" i="10"/>
  <c r="Y50" i="10" s="1"/>
  <c r="H57" i="10"/>
  <c r="J57" i="10" s="1"/>
  <c r="I57" i="10"/>
  <c r="O57" i="10" s="1"/>
  <c r="X64" i="10"/>
  <c r="Y64" i="10" s="1"/>
  <c r="Z64" i="10" s="1"/>
  <c r="O64" i="10"/>
  <c r="N64" i="10"/>
  <c r="P64" i="10" s="1"/>
  <c r="Q64" i="10" s="1"/>
  <c r="R64" i="10" s="1"/>
  <c r="J122" i="10"/>
  <c r="I122" i="10"/>
  <c r="O122" i="10" s="1"/>
  <c r="O150" i="10"/>
  <c r="P150" i="10"/>
  <c r="Q150" i="10" s="1"/>
  <c r="R150" i="10" s="1"/>
  <c r="X150" i="10"/>
  <c r="Y150" i="10" s="1"/>
  <c r="Z150" i="10" s="1"/>
  <c r="N150" i="10"/>
  <c r="R3" i="7"/>
  <c r="C23" i="8"/>
  <c r="L6" i="8"/>
  <c r="H10" i="10"/>
  <c r="H16" i="10"/>
  <c r="J16" i="10" s="1"/>
  <c r="H19" i="10"/>
  <c r="R21" i="10"/>
  <c r="N37" i="10"/>
  <c r="N60" i="10"/>
  <c r="X60" i="10"/>
  <c r="Y60" i="10" s="1"/>
  <c r="Z60" i="10" s="1"/>
  <c r="H122" i="10"/>
  <c r="N122" i="10" s="1"/>
  <c r="X15" i="10"/>
  <c r="Y15" i="10" s="1"/>
  <c r="Z20" i="10"/>
  <c r="I32" i="10"/>
  <c r="O32" i="10" s="1"/>
  <c r="H32" i="10"/>
  <c r="N32" i="10" s="1"/>
  <c r="J62" i="10"/>
  <c r="I67" i="10"/>
  <c r="H67" i="10"/>
  <c r="N67" i="10" s="1"/>
  <c r="N75" i="10"/>
  <c r="X75" i="10"/>
  <c r="Y75" i="10" s="1"/>
  <c r="Z75" i="10" s="1"/>
  <c r="J136" i="10"/>
  <c r="H136" i="10"/>
  <c r="I136" i="10"/>
  <c r="O136" i="10" s="1"/>
  <c r="O4" i="10"/>
  <c r="N4" i="10"/>
  <c r="P4" i="10" s="1"/>
  <c r="Q4" i="10" s="1"/>
  <c r="X19" i="10"/>
  <c r="Y19" i="10" s="1"/>
  <c r="AA21" i="10"/>
  <c r="X21" i="10"/>
  <c r="Y21" i="10" s="1"/>
  <c r="J32" i="10"/>
  <c r="H62" i="10"/>
  <c r="M65" i="10"/>
  <c r="F65" i="10"/>
  <c r="G65" i="10" s="1"/>
  <c r="J67" i="10"/>
  <c r="J70" i="10"/>
  <c r="H70" i="10"/>
  <c r="X87" i="10"/>
  <c r="Y87" i="10" s="1"/>
  <c r="Z87" i="10" s="1"/>
  <c r="M101" i="10"/>
  <c r="F101" i="10"/>
  <c r="G101" i="10" s="1"/>
  <c r="J21" i="10"/>
  <c r="I21" i="10"/>
  <c r="O21" i="10" s="1"/>
  <c r="I56" i="10"/>
  <c r="I62" i="10"/>
  <c r="O67" i="10"/>
  <c r="X67" i="10"/>
  <c r="Y67" i="10" s="1"/>
  <c r="Z67" i="10" s="1"/>
  <c r="I70" i="10"/>
  <c r="O70" i="10" s="1"/>
  <c r="F87" i="10"/>
  <c r="G87" i="10" s="1"/>
  <c r="I94" i="10"/>
  <c r="O94" i="10" s="1"/>
  <c r="H94" i="10"/>
  <c r="N97" i="10"/>
  <c r="AA97" i="10"/>
  <c r="AB97" i="10" s="1"/>
  <c r="X97" i="10"/>
  <c r="Y97" i="10" s="1"/>
  <c r="Z97" i="10" s="1"/>
  <c r="U97" i="10"/>
  <c r="V97" i="10" s="1"/>
  <c r="S97" i="10"/>
  <c r="T97" i="10" s="1"/>
  <c r="P97" i="10"/>
  <c r="Q97" i="10" s="1"/>
  <c r="R97" i="10" s="1"/>
  <c r="P11" i="8"/>
  <c r="X88" i="10"/>
  <c r="Y88" i="10" s="1"/>
  <c r="N88" i="10"/>
  <c r="P88" i="10" s="1"/>
  <c r="Q88" i="10" s="1"/>
  <c r="R88" i="10" s="1"/>
  <c r="J129" i="10"/>
  <c r="H129" i="10"/>
  <c r="N129" i="10" s="1"/>
  <c r="J194" i="10"/>
  <c r="I194" i="10"/>
  <c r="H194" i="10"/>
  <c r="E2" i="8"/>
  <c r="B6" i="9" s="1"/>
  <c r="N16" i="10"/>
  <c r="S21" i="10"/>
  <c r="I25" i="10"/>
  <c r="O25" i="10" s="1"/>
  <c r="H25" i="10"/>
  <c r="N25" i="10" s="1"/>
  <c r="M63" i="10"/>
  <c r="F63" i="10"/>
  <c r="G63" i="10" s="1"/>
  <c r="AA73" i="10"/>
  <c r="AB73" i="10" s="1"/>
  <c r="S73" i="10"/>
  <c r="T73" i="10" s="1"/>
  <c r="P73" i="10"/>
  <c r="Q73" i="10" s="1"/>
  <c r="R73" i="10" s="1"/>
  <c r="O88" i="10"/>
  <c r="J109" i="10"/>
  <c r="H109" i="10"/>
  <c r="N109" i="10" s="1"/>
  <c r="I109" i="10"/>
  <c r="O109" i="10" s="1"/>
  <c r="X113" i="10"/>
  <c r="Y113" i="10" s="1"/>
  <c r="Z113" i="10" s="1"/>
  <c r="I129" i="10"/>
  <c r="F143" i="10"/>
  <c r="E5" i="7"/>
  <c r="K5" i="7" s="1"/>
  <c r="O5" i="7" s="1"/>
  <c r="E27" i="7"/>
  <c r="K27" i="7" s="1"/>
  <c r="O27" i="7" s="1"/>
  <c r="S27" i="7" s="1"/>
  <c r="F2" i="8"/>
  <c r="C6" i="9" s="1"/>
  <c r="AB13" i="8"/>
  <c r="AB24" i="8"/>
  <c r="M13" i="10"/>
  <c r="F13" i="10"/>
  <c r="G13" i="10" s="1"/>
  <c r="O16" i="10"/>
  <c r="F27" i="10"/>
  <c r="F113" i="10"/>
  <c r="G113" i="10" s="1"/>
  <c r="M121" i="10"/>
  <c r="F121" i="10"/>
  <c r="G121" i="10" s="1"/>
  <c r="F5" i="7"/>
  <c r="E12" i="7"/>
  <c r="J12" i="7" s="1"/>
  <c r="N12" i="7" s="1"/>
  <c r="R12" i="7" s="1"/>
  <c r="F27" i="7"/>
  <c r="G2" i="8"/>
  <c r="D6" i="9" s="1"/>
  <c r="P16" i="10"/>
  <c r="Q16" i="10" s="1"/>
  <c r="U21" i="10"/>
  <c r="H31" i="10"/>
  <c r="O68" i="10"/>
  <c r="J95" i="10"/>
  <c r="I95" i="10"/>
  <c r="O95" i="10" s="1"/>
  <c r="H95" i="10"/>
  <c r="N95" i="10" s="1"/>
  <c r="M139" i="10"/>
  <c r="F139" i="10"/>
  <c r="G139" i="10" s="1"/>
  <c r="J8" i="10"/>
  <c r="I8" i="10"/>
  <c r="O8" i="10" s="1"/>
  <c r="H8" i="10"/>
  <c r="M29" i="10"/>
  <c r="F29" i="10"/>
  <c r="G29" i="10" s="1"/>
  <c r="X79" i="10"/>
  <c r="Y79" i="10" s="1"/>
  <c r="Z79" i="10" s="1"/>
  <c r="P95" i="10"/>
  <c r="Q95" i="10" s="1"/>
  <c r="R95" i="10" s="1"/>
  <c r="H5" i="7"/>
  <c r="G12" i="7"/>
  <c r="K12" i="7" s="1"/>
  <c r="O12" i="7" s="1"/>
  <c r="S12" i="7" s="1"/>
  <c r="N12" i="8" s="1"/>
  <c r="H27" i="7"/>
  <c r="L27" i="7" s="1"/>
  <c r="P27" i="7" s="1"/>
  <c r="T27" i="7" s="1"/>
  <c r="O27" i="8" s="1"/>
  <c r="D70" i="9" s="1"/>
  <c r="M2" i="10"/>
  <c r="F2" i="10"/>
  <c r="G2" i="10" s="1"/>
  <c r="X18" i="10"/>
  <c r="Y18" i="10" s="1"/>
  <c r="M35" i="10"/>
  <c r="F35" i="10"/>
  <c r="G35" i="10" s="1"/>
  <c r="F55" i="10"/>
  <c r="G55" i="10" s="1"/>
  <c r="O59" i="10"/>
  <c r="F79" i="10"/>
  <c r="G79" i="10" s="1"/>
  <c r="F106" i="10"/>
  <c r="G106" i="10" s="1"/>
  <c r="S157" i="10"/>
  <c r="T157" i="10" s="1"/>
  <c r="P157" i="10"/>
  <c r="Q157" i="10" s="1"/>
  <c r="R157" i="10" s="1"/>
  <c r="X157" i="10"/>
  <c r="Y157" i="10" s="1"/>
  <c r="Z157" i="10" s="1"/>
  <c r="U157" i="10"/>
  <c r="V157" i="10" s="1"/>
  <c r="AA157" i="10"/>
  <c r="AB157" i="10" s="1"/>
  <c r="J20" i="7"/>
  <c r="N20" i="7" s="1"/>
  <c r="B18" i="8"/>
  <c r="AB18" i="8" s="1"/>
  <c r="N8" i="10"/>
  <c r="N18" i="10"/>
  <c r="X31" i="10"/>
  <c r="Y31" i="10" s="1"/>
  <c r="J33" i="10"/>
  <c r="I33" i="10"/>
  <c r="O33" i="10" s="1"/>
  <c r="X43" i="10"/>
  <c r="Y43" i="10" s="1"/>
  <c r="X57" i="10"/>
  <c r="Y57" i="10" s="1"/>
  <c r="Z57" i="10" s="1"/>
  <c r="N57" i="10"/>
  <c r="P57" i="10" s="1"/>
  <c r="Q57" i="10" s="1"/>
  <c r="R57" i="10" s="1"/>
  <c r="I66" i="10"/>
  <c r="O66" i="10" s="1"/>
  <c r="H66" i="10"/>
  <c r="X73" i="10"/>
  <c r="Y73" i="10" s="1"/>
  <c r="Z73" i="10" s="1"/>
  <c r="J103" i="10"/>
  <c r="H24" i="10"/>
  <c r="J24" i="10"/>
  <c r="H37" i="10"/>
  <c r="J37" i="10" s="1"/>
  <c r="I51" i="10"/>
  <c r="O51" i="10" s="1"/>
  <c r="H51" i="10"/>
  <c r="M74" i="10"/>
  <c r="F74" i="10"/>
  <c r="G74" i="10" s="1"/>
  <c r="J80" i="10"/>
  <c r="I80" i="10"/>
  <c r="H209" i="10"/>
  <c r="J209" i="10" s="1"/>
  <c r="I209" i="10"/>
  <c r="N15" i="10"/>
  <c r="P15" i="10" s="1"/>
  <c r="Q15" i="10" s="1"/>
  <c r="I24" i="10"/>
  <c r="O24" i="10" s="1"/>
  <c r="I37" i="10"/>
  <c r="O37" i="10" s="1"/>
  <c r="X49" i="10"/>
  <c r="Y49" i="10" s="1"/>
  <c r="P77" i="10"/>
  <c r="Q77" i="10" s="1"/>
  <c r="R77" i="10" s="1"/>
  <c r="N77" i="10"/>
  <c r="X77" i="10"/>
  <c r="Y77" i="10" s="1"/>
  <c r="Z77" i="10" s="1"/>
  <c r="U77" i="10"/>
  <c r="V77" i="10" s="1"/>
  <c r="S77" i="10"/>
  <c r="T77" i="10" s="1"/>
  <c r="H80" i="10"/>
  <c r="N80" i="10" s="1"/>
  <c r="J86" i="10"/>
  <c r="I86" i="10"/>
  <c r="O86" i="10" s="1"/>
  <c r="H86" i="10"/>
  <c r="X93" i="10"/>
  <c r="Y93" i="10" s="1"/>
  <c r="Z93" i="10" s="1"/>
  <c r="U93" i="10"/>
  <c r="V93" i="10" s="1"/>
  <c r="P93" i="10"/>
  <c r="Q93" i="10" s="1"/>
  <c r="R93" i="10" s="1"/>
  <c r="O93" i="10"/>
  <c r="AA93" i="10"/>
  <c r="AB93" i="10" s="1"/>
  <c r="S93" i="10"/>
  <c r="T93" i="10" s="1"/>
  <c r="N93" i="10"/>
  <c r="G118" i="10"/>
  <c r="X118" i="10"/>
  <c r="Y118" i="10" s="1"/>
  <c r="Z118" i="10" s="1"/>
  <c r="O173" i="10"/>
  <c r="P173" i="10"/>
  <c r="Q173" i="10" s="1"/>
  <c r="R173" i="10" s="1"/>
  <c r="AA173" i="10"/>
  <c r="AB173" i="10" s="1"/>
  <c r="X173" i="10"/>
  <c r="Y173" i="10" s="1"/>
  <c r="Z173" i="10" s="1"/>
  <c r="U173" i="10"/>
  <c r="V173" i="10" s="1"/>
  <c r="S173" i="10"/>
  <c r="T173" i="10" s="1"/>
  <c r="H234" i="10"/>
  <c r="I234" i="10"/>
  <c r="J127" i="10"/>
  <c r="H127" i="10"/>
  <c r="I127" i="10"/>
  <c r="O127" i="10" s="1"/>
  <c r="J191" i="10"/>
  <c r="I191" i="10"/>
  <c r="O191" i="10" s="1"/>
  <c r="H191" i="10"/>
  <c r="F212" i="10"/>
  <c r="G212" i="10" s="1"/>
  <c r="M212" i="10"/>
  <c r="F71" i="10"/>
  <c r="G71" i="10" s="1"/>
  <c r="M137" i="10"/>
  <c r="F137" i="10"/>
  <c r="G137" i="10" s="1"/>
  <c r="X154" i="10"/>
  <c r="Y154" i="10" s="1"/>
  <c r="Z154" i="10" s="1"/>
  <c r="H175" i="10"/>
  <c r="P175" i="10" s="1"/>
  <c r="Q175" i="10" s="1"/>
  <c r="R175" i="10" s="1"/>
  <c r="I175" i="10"/>
  <c r="F111" i="10"/>
  <c r="G111" i="10" s="1"/>
  <c r="J175" i="10"/>
  <c r="H76" i="10"/>
  <c r="H85" i="10"/>
  <c r="O104" i="10"/>
  <c r="N104" i="10"/>
  <c r="P104" i="10" s="1"/>
  <c r="Q104" i="10" s="1"/>
  <c r="R104" i="10" s="1"/>
  <c r="M148" i="10"/>
  <c r="F148" i="10"/>
  <c r="G148" i="10" s="1"/>
  <c r="I182" i="10"/>
  <c r="H213" i="10"/>
  <c r="J213" i="10"/>
  <c r="I213" i="10"/>
  <c r="F83" i="10"/>
  <c r="G83" i="10" s="1"/>
  <c r="J85" i="10"/>
  <c r="I171" i="10"/>
  <c r="O171" i="10" s="1"/>
  <c r="H171" i="10"/>
  <c r="H182" i="10"/>
  <c r="N182" i="10" s="1"/>
  <c r="N22" i="10"/>
  <c r="X46" i="10"/>
  <c r="Y46" i="10" s="1"/>
  <c r="O76" i="10"/>
  <c r="X76" i="10"/>
  <c r="Y76" i="10" s="1"/>
  <c r="Z76" i="10" s="1"/>
  <c r="S85" i="10"/>
  <c r="T85" i="10" s="1"/>
  <c r="P85" i="10"/>
  <c r="Q85" i="10" s="1"/>
  <c r="R85" i="10" s="1"/>
  <c r="O85" i="10"/>
  <c r="N85" i="10"/>
  <c r="M102" i="10"/>
  <c r="F102" i="10"/>
  <c r="G102" i="10" s="1"/>
  <c r="X104" i="10"/>
  <c r="Y104" i="10" s="1"/>
  <c r="Z104" i="10" s="1"/>
  <c r="P109" i="10"/>
  <c r="Q109" i="10" s="1"/>
  <c r="R109" i="10" s="1"/>
  <c r="U109" i="10" s="1"/>
  <c r="V109" i="10" s="1"/>
  <c r="M119" i="10"/>
  <c r="F119" i="10"/>
  <c r="G119" i="10" s="1"/>
  <c r="F152" i="10"/>
  <c r="M159" i="10"/>
  <c r="F159" i="10"/>
  <c r="G159" i="10" s="1"/>
  <c r="P203" i="10"/>
  <c r="Q203" i="10" s="1"/>
  <c r="R203" i="10" s="1"/>
  <c r="O36" i="10"/>
  <c r="P46" i="10"/>
  <c r="Q46" i="10" s="1"/>
  <c r="P49" i="10"/>
  <c r="Q49" i="10" s="1"/>
  <c r="H60" i="10"/>
  <c r="X92" i="10"/>
  <c r="Y92" i="10" s="1"/>
  <c r="Z92" i="10" s="1"/>
  <c r="O98" i="10"/>
  <c r="M131" i="10"/>
  <c r="F131" i="10"/>
  <c r="G131" i="10" s="1"/>
  <c r="H141" i="10"/>
  <c r="N141" i="10" s="1"/>
  <c r="I141" i="10"/>
  <c r="O141" i="10" s="1"/>
  <c r="J141" i="10"/>
  <c r="G198" i="10"/>
  <c r="X198" i="10"/>
  <c r="Y198" i="10" s="1"/>
  <c r="Z198" i="10" s="1"/>
  <c r="F12" i="10"/>
  <c r="N36" i="10"/>
  <c r="I60" i="10"/>
  <c r="O60" i="10" s="1"/>
  <c r="X85" i="10"/>
  <c r="Y85" i="10" s="1"/>
  <c r="Z85" i="10" s="1"/>
  <c r="P105" i="10"/>
  <c r="Q105" i="10" s="1"/>
  <c r="R105" i="10" s="1"/>
  <c r="X105" i="10"/>
  <c r="Y105" i="10" s="1"/>
  <c r="Z105" i="10" s="1"/>
  <c r="S105" i="10"/>
  <c r="T105" i="10" s="1"/>
  <c r="U105" i="10"/>
  <c r="V105" i="10" s="1"/>
  <c r="S109" i="10"/>
  <c r="T109" i="10" s="1"/>
  <c r="J160" i="10"/>
  <c r="I160" i="10"/>
  <c r="O160" i="10" s="1"/>
  <c r="H160" i="10"/>
  <c r="M168" i="10"/>
  <c r="F168" i="10"/>
  <c r="G168" i="10" s="1"/>
  <c r="X172" i="10"/>
  <c r="Y172" i="10" s="1"/>
  <c r="Z172" i="10" s="1"/>
  <c r="N172" i="10"/>
  <c r="P172" i="10" s="1"/>
  <c r="Q172" i="10" s="1"/>
  <c r="R172" i="10" s="1"/>
  <c r="G188" i="10"/>
  <c r="X188" i="10"/>
  <c r="Y188" i="10" s="1"/>
  <c r="Z188" i="10" s="1"/>
  <c r="F28" i="10"/>
  <c r="G28" i="10" s="1"/>
  <c r="S49" i="10"/>
  <c r="I68" i="10"/>
  <c r="H68" i="10"/>
  <c r="J68" i="10" s="1"/>
  <c r="X94" i="10"/>
  <c r="Y94" i="10" s="1"/>
  <c r="Z94" i="10" s="1"/>
  <c r="F105" i="10"/>
  <c r="G105" i="10" s="1"/>
  <c r="I153" i="10"/>
  <c r="O153" i="10" s="1"/>
  <c r="H153" i="10"/>
  <c r="N153" i="10" s="1"/>
  <c r="O156" i="10"/>
  <c r="X156" i="10"/>
  <c r="Y156" i="10" s="1"/>
  <c r="Z156" i="10" s="1"/>
  <c r="X32" i="10"/>
  <c r="Y32" i="10" s="1"/>
  <c r="V49" i="10"/>
  <c r="X62" i="10"/>
  <c r="Y62" i="10" s="1"/>
  <c r="Z62" i="10" s="1"/>
  <c r="O62" i="10"/>
  <c r="N62" i="10"/>
  <c r="O80" i="10"/>
  <c r="X80" i="10"/>
  <c r="Y80" i="10" s="1"/>
  <c r="Z80" i="10" s="1"/>
  <c r="X84" i="10"/>
  <c r="Y84" i="10" s="1"/>
  <c r="Z84" i="10" s="1"/>
  <c r="O84" i="10"/>
  <c r="N84" i="10"/>
  <c r="P84" i="10" s="1"/>
  <c r="Q84" i="10" s="1"/>
  <c r="R84" i="10" s="1"/>
  <c r="P90" i="10"/>
  <c r="Q90" i="10" s="1"/>
  <c r="R90" i="10" s="1"/>
  <c r="P103" i="10"/>
  <c r="Q103" i="10" s="1"/>
  <c r="R103" i="10" s="1"/>
  <c r="X103" i="10"/>
  <c r="Y103" i="10" s="1"/>
  <c r="Z103" i="10" s="1"/>
  <c r="O103" i="10"/>
  <c r="N103" i="10"/>
  <c r="X109" i="10"/>
  <c r="Y109" i="10" s="1"/>
  <c r="Z109" i="10" s="1"/>
  <c r="M135" i="10"/>
  <c r="F135" i="10"/>
  <c r="G135" i="10" s="1"/>
  <c r="X22" i="10"/>
  <c r="Y22" i="10" s="1"/>
  <c r="S25" i="10"/>
  <c r="P32" i="10"/>
  <c r="Q32" i="10" s="1"/>
  <c r="X66" i="10"/>
  <c r="Y66" i="10" s="1"/>
  <c r="Z66" i="10" s="1"/>
  <c r="J82" i="10"/>
  <c r="I110" i="10"/>
  <c r="H110" i="10"/>
  <c r="J110" i="10"/>
  <c r="X142" i="10"/>
  <c r="Y142" i="10" s="1"/>
  <c r="Z142" i="10" s="1"/>
  <c r="I179" i="10"/>
  <c r="O179" i="10" s="1"/>
  <c r="H179" i="10"/>
  <c r="J179" i="10" s="1"/>
  <c r="J189" i="10"/>
  <c r="I189" i="10"/>
  <c r="O189" i="10" s="1"/>
  <c r="H189" i="10"/>
  <c r="I150" i="10"/>
  <c r="H150" i="10"/>
  <c r="J150" i="10" s="1"/>
  <c r="X164" i="10"/>
  <c r="Y164" i="10" s="1"/>
  <c r="Z164" i="10" s="1"/>
  <c r="N164" i="10"/>
  <c r="O164" i="10"/>
  <c r="O167" i="10"/>
  <c r="X194" i="10"/>
  <c r="Y194" i="10" s="1"/>
  <c r="Z194" i="10" s="1"/>
  <c r="O194" i="10"/>
  <c r="I231" i="10"/>
  <c r="H231" i="10"/>
  <c r="M96" i="10"/>
  <c r="F96" i="10"/>
  <c r="G96" i="10" s="1"/>
  <c r="O124" i="10"/>
  <c r="I165" i="10"/>
  <c r="O165" i="10" s="1"/>
  <c r="H165" i="10"/>
  <c r="X167" i="10"/>
  <c r="Y167" i="10" s="1"/>
  <c r="Z167" i="10" s="1"/>
  <c r="J231" i="10"/>
  <c r="I157" i="10"/>
  <c r="O157" i="10" s="1"/>
  <c r="H157" i="10"/>
  <c r="N157" i="10" s="1"/>
  <c r="N160" i="10"/>
  <c r="X160" i="10"/>
  <c r="Y160" i="10" s="1"/>
  <c r="Z160" i="10" s="1"/>
  <c r="S160" i="10"/>
  <c r="T160" i="10" s="1"/>
  <c r="X165" i="10"/>
  <c r="Y165" i="10" s="1"/>
  <c r="Z165" i="10" s="1"/>
  <c r="AA165" i="10" s="1"/>
  <c r="AB165" i="10" s="1"/>
  <c r="S165" i="10"/>
  <c r="T165" i="10" s="1"/>
  <c r="X179" i="10"/>
  <c r="Y179" i="10" s="1"/>
  <c r="Z179" i="10" s="1"/>
  <c r="X213" i="10"/>
  <c r="Y213" i="10" s="1"/>
  <c r="Z213" i="10" s="1"/>
  <c r="O231" i="10"/>
  <c r="X231" i="10"/>
  <c r="Y231" i="10" s="1"/>
  <c r="Z231" i="10" s="1"/>
  <c r="N231" i="10"/>
  <c r="P231" i="10" s="1"/>
  <c r="Q231" i="10" s="1"/>
  <c r="R231" i="10" s="1"/>
  <c r="O235" i="10"/>
  <c r="P235" i="10"/>
  <c r="Q235" i="10" s="1"/>
  <c r="R235" i="10" s="1"/>
  <c r="N235" i="10"/>
  <c r="X235" i="10"/>
  <c r="Y235" i="10" s="1"/>
  <c r="Z235" i="10" s="1"/>
  <c r="S245" i="10"/>
  <c r="T245" i="10" s="1"/>
  <c r="X245" i="10"/>
  <c r="Y245" i="10" s="1"/>
  <c r="Z245" i="10" s="1"/>
  <c r="P245" i="10"/>
  <c r="Q245" i="10" s="1"/>
  <c r="R245" i="10" s="1"/>
  <c r="AA245" i="10"/>
  <c r="AB245" i="10" s="1"/>
  <c r="U245" i="10"/>
  <c r="V245" i="10" s="1"/>
  <c r="S210" i="10"/>
  <c r="T210" i="10" s="1"/>
  <c r="AA210" i="10"/>
  <c r="AB210" i="10" s="1"/>
  <c r="N210" i="10"/>
  <c r="P210" i="10"/>
  <c r="Q210" i="10" s="1"/>
  <c r="R210" i="10" s="1"/>
  <c r="U210" i="10" s="1"/>
  <c r="V210" i="10" s="1"/>
  <c r="O210" i="10"/>
  <c r="X210" i="10"/>
  <c r="Y210" i="10" s="1"/>
  <c r="Z210" i="10" s="1"/>
  <c r="X214" i="10"/>
  <c r="Y214" i="10" s="1"/>
  <c r="Z214" i="10" s="1"/>
  <c r="X162" i="10"/>
  <c r="Y162" i="10" s="1"/>
  <c r="Z162" i="10" s="1"/>
  <c r="X176" i="10"/>
  <c r="Y176" i="10" s="1"/>
  <c r="Z176" i="10" s="1"/>
  <c r="I222" i="10"/>
  <c r="H222" i="10"/>
  <c r="J222" i="10" s="1"/>
  <c r="M246" i="10"/>
  <c r="F246" i="10"/>
  <c r="G246" i="10" s="1"/>
  <c r="N124" i="10"/>
  <c r="F144" i="10"/>
  <c r="G144" i="10" s="1"/>
  <c r="F176" i="10"/>
  <c r="G176" i="10" s="1"/>
  <c r="J195" i="10"/>
  <c r="I195" i="10"/>
  <c r="O195" i="10" s="1"/>
  <c r="H195" i="10"/>
  <c r="M252" i="10"/>
  <c r="F252" i="10"/>
  <c r="G252" i="10" s="1"/>
  <c r="J115" i="10"/>
  <c r="H115" i="10"/>
  <c r="X128" i="10"/>
  <c r="Y128" i="10" s="1"/>
  <c r="Z128" i="10" s="1"/>
  <c r="F132" i="10"/>
  <c r="G132" i="10" s="1"/>
  <c r="I186" i="10"/>
  <c r="O186" i="10" s="1"/>
  <c r="H186" i="10"/>
  <c r="P256" i="10"/>
  <c r="Q256" i="10" s="1"/>
  <c r="R256" i="10" s="1"/>
  <c r="O256" i="10"/>
  <c r="X256" i="10"/>
  <c r="Y256" i="10" s="1"/>
  <c r="Z256" i="10" s="1"/>
  <c r="F49" i="10"/>
  <c r="G49" i="10" s="1"/>
  <c r="H73" i="10"/>
  <c r="N73" i="10" s="1"/>
  <c r="F78" i="10"/>
  <c r="H92" i="10"/>
  <c r="N99" i="10"/>
  <c r="P99" i="10" s="1"/>
  <c r="Q99" i="10" s="1"/>
  <c r="R99" i="10" s="1"/>
  <c r="I115" i="10"/>
  <c r="O115" i="10" s="1"/>
  <c r="F117" i="10"/>
  <c r="G117" i="10" s="1"/>
  <c r="F128" i="10"/>
  <c r="G128" i="10" s="1"/>
  <c r="H130" i="10"/>
  <c r="I130" i="10"/>
  <c r="O130" i="10" s="1"/>
  <c r="X186" i="10"/>
  <c r="Y186" i="10" s="1"/>
  <c r="Z186" i="10" s="1"/>
  <c r="F242" i="10"/>
  <c r="G242" i="10" s="1"/>
  <c r="M242" i="10"/>
  <c r="N256" i="10"/>
  <c r="I73" i="10"/>
  <c r="O73" i="10" s="1"/>
  <c r="N82" i="10"/>
  <c r="P82" i="10" s="1"/>
  <c r="Q82" i="10" s="1"/>
  <c r="R82" i="10" s="1"/>
  <c r="O99" i="10"/>
  <c r="X122" i="10"/>
  <c r="Y122" i="10" s="1"/>
  <c r="Z122" i="10" s="1"/>
  <c r="X124" i="10"/>
  <c r="Y124" i="10" s="1"/>
  <c r="Z124" i="10" s="1"/>
  <c r="H140" i="10"/>
  <c r="I151" i="10"/>
  <c r="H151" i="10"/>
  <c r="J151" i="10"/>
  <c r="I155" i="10"/>
  <c r="O155" i="10" s="1"/>
  <c r="H155" i="10"/>
  <c r="J155" i="10" s="1"/>
  <c r="X155" i="10"/>
  <c r="Y155" i="10" s="1"/>
  <c r="Z155" i="10" s="1"/>
  <c r="J158" i="10"/>
  <c r="I158" i="10"/>
  <c r="O158" i="10" s="1"/>
  <c r="I163" i="10"/>
  <c r="H163" i="10"/>
  <c r="J163" i="10" s="1"/>
  <c r="J177" i="10"/>
  <c r="H177" i="10"/>
  <c r="I215" i="10"/>
  <c r="O215" i="10" s="1"/>
  <c r="H215" i="10"/>
  <c r="X125" i="10"/>
  <c r="Y125" i="10" s="1"/>
  <c r="Z125" i="10" s="1"/>
  <c r="U125" i="10"/>
  <c r="V125" i="10" s="1"/>
  <c r="X138" i="10"/>
  <c r="Y138" i="10" s="1"/>
  <c r="Z138" i="10" s="1"/>
  <c r="O138" i="10"/>
  <c r="N138" i="10"/>
  <c r="F142" i="10"/>
  <c r="G142" i="10" s="1"/>
  <c r="H158" i="10"/>
  <c r="X171" i="10"/>
  <c r="Y171" i="10" s="1"/>
  <c r="Z171" i="10" s="1"/>
  <c r="I177" i="10"/>
  <c r="J190" i="10"/>
  <c r="I190" i="10"/>
  <c r="O190" i="10" s="1"/>
  <c r="H190" i="10"/>
  <c r="F200" i="10"/>
  <c r="G200" i="10" s="1"/>
  <c r="M200" i="10"/>
  <c r="J77" i="10"/>
  <c r="M107" i="10"/>
  <c r="F112" i="10"/>
  <c r="G112" i="10" s="1"/>
  <c r="P117" i="10"/>
  <c r="Q117" i="10" s="1"/>
  <c r="R117" i="10" s="1"/>
  <c r="F125" i="10"/>
  <c r="G125" i="10" s="1"/>
  <c r="J138" i="10"/>
  <c r="H138" i="10"/>
  <c r="I138" i="10"/>
  <c r="J166" i="10"/>
  <c r="I166" i="10"/>
  <c r="O166" i="10" s="1"/>
  <c r="M177" i="10"/>
  <c r="J253" i="10"/>
  <c r="H253" i="10"/>
  <c r="I253" i="10"/>
  <c r="X223" i="10"/>
  <c r="Y223" i="10" s="1"/>
  <c r="Z223" i="10" s="1"/>
  <c r="O223" i="10"/>
  <c r="N223" i="10"/>
  <c r="P223" i="10" s="1"/>
  <c r="Q223" i="10" s="1"/>
  <c r="R223" i="10" s="1"/>
  <c r="AA233" i="10"/>
  <c r="AB233" i="10" s="1"/>
  <c r="P233" i="10"/>
  <c r="Q233" i="10" s="1"/>
  <c r="R233" i="10" s="1"/>
  <c r="X233" i="10"/>
  <c r="Y233" i="10" s="1"/>
  <c r="Z233" i="10" s="1"/>
  <c r="U233" i="10"/>
  <c r="V233" i="10" s="1"/>
  <c r="I145" i="10"/>
  <c r="H145" i="10"/>
  <c r="J145" i="10"/>
  <c r="I169" i="10"/>
  <c r="X211" i="10"/>
  <c r="Y211" i="10" s="1"/>
  <c r="Z211" i="10" s="1"/>
  <c r="N211" i="10"/>
  <c r="O145" i="10"/>
  <c r="AA145" i="10"/>
  <c r="AB145" i="10" s="1"/>
  <c r="X145" i="10"/>
  <c r="Y145" i="10" s="1"/>
  <c r="Z145" i="10" s="1"/>
  <c r="H169" i="10"/>
  <c r="S233" i="10"/>
  <c r="T233" i="10" s="1"/>
  <c r="M47" i="10"/>
  <c r="X99" i="10"/>
  <c r="Y99" i="10" s="1"/>
  <c r="Z99" i="10" s="1"/>
  <c r="N145" i="10"/>
  <c r="I156" i="10"/>
  <c r="H156" i="10"/>
  <c r="N156" i="10" s="1"/>
  <c r="P156" i="10" s="1"/>
  <c r="Q156" i="10" s="1"/>
  <c r="R156" i="10" s="1"/>
  <c r="J156" i="10"/>
  <c r="X169" i="10"/>
  <c r="Y169" i="10" s="1"/>
  <c r="Z169" i="10" s="1"/>
  <c r="O169" i="10"/>
  <c r="N169" i="10"/>
  <c r="I172" i="10"/>
  <c r="O172" i="10" s="1"/>
  <c r="H172" i="10"/>
  <c r="J172" i="10" s="1"/>
  <c r="I187" i="10"/>
  <c r="O187" i="10" s="1"/>
  <c r="H187" i="10"/>
  <c r="M201" i="10"/>
  <c r="F201" i="10"/>
  <c r="G201" i="10" s="1"/>
  <c r="O175" i="10"/>
  <c r="N175" i="10"/>
  <c r="X175" i="10"/>
  <c r="Y175" i="10" s="1"/>
  <c r="Z175" i="10" s="1"/>
  <c r="F180" i="10"/>
  <c r="G180" i="10" s="1"/>
  <c r="M180" i="10"/>
  <c r="X215" i="10"/>
  <c r="Y215" i="10" s="1"/>
  <c r="Z215" i="10" s="1"/>
  <c r="N215" i="10"/>
  <c r="P166" i="10"/>
  <c r="Q166" i="10" s="1"/>
  <c r="R166" i="10" s="1"/>
  <c r="M170" i="10"/>
  <c r="F170" i="10"/>
  <c r="G170" i="10" s="1"/>
  <c r="U193" i="10"/>
  <c r="V193" i="10" s="1"/>
  <c r="X193" i="10"/>
  <c r="Y193" i="10" s="1"/>
  <c r="Z193" i="10" s="1"/>
  <c r="S193" i="10"/>
  <c r="T193" i="10" s="1"/>
  <c r="AA193" i="10"/>
  <c r="AB193" i="10" s="1"/>
  <c r="O193" i="10"/>
  <c r="N193" i="10"/>
  <c r="I204" i="10"/>
  <c r="O204" i="10" s="1"/>
  <c r="H204" i="10"/>
  <c r="J204" i="10" s="1"/>
  <c r="H235" i="10"/>
  <c r="J235" i="10"/>
  <c r="N166" i="10"/>
  <c r="X189" i="10"/>
  <c r="Y189" i="10" s="1"/>
  <c r="Z189" i="10" s="1"/>
  <c r="S189" i="10"/>
  <c r="T189" i="10" s="1"/>
  <c r="P189" i="10"/>
  <c r="Q189" i="10" s="1"/>
  <c r="R189" i="10" s="1"/>
  <c r="AA189" i="10"/>
  <c r="AB189" i="10" s="1"/>
  <c r="N191" i="10"/>
  <c r="X191" i="10"/>
  <c r="Y191" i="10" s="1"/>
  <c r="Z191" i="10" s="1"/>
  <c r="P191" i="10"/>
  <c r="Q191" i="10" s="1"/>
  <c r="R191" i="10" s="1"/>
  <c r="P193" i="10"/>
  <c r="Q193" i="10" s="1"/>
  <c r="R193" i="10" s="1"/>
  <c r="M207" i="10"/>
  <c r="F207" i="10"/>
  <c r="G207" i="10" s="1"/>
  <c r="I223" i="10"/>
  <c r="J223" i="10"/>
  <c r="M239" i="10"/>
  <c r="F239" i="10"/>
  <c r="G239" i="10" s="1"/>
  <c r="X248" i="10"/>
  <c r="Y248" i="10" s="1"/>
  <c r="Z248" i="10" s="1"/>
  <c r="X115" i="10"/>
  <c r="Y115" i="10" s="1"/>
  <c r="Z115" i="10" s="1"/>
  <c r="N189" i="10"/>
  <c r="M202" i="10"/>
  <c r="F202" i="10"/>
  <c r="G202" i="10" s="1"/>
  <c r="F100" i="10"/>
  <c r="I161" i="10"/>
  <c r="I174" i="10"/>
  <c r="O174" i="10" s="1"/>
  <c r="H174" i="10"/>
  <c r="F183" i="10"/>
  <c r="I185" i="10"/>
  <c r="O185" i="10" s="1"/>
  <c r="H185" i="10"/>
  <c r="N185" i="10" s="1"/>
  <c r="I220" i="10"/>
  <c r="O220" i="10" s="1"/>
  <c r="H220" i="10"/>
  <c r="F240" i="10"/>
  <c r="G240" i="10" s="1"/>
  <c r="M240" i="10"/>
  <c r="X123" i="10"/>
  <c r="Y123" i="10" s="1"/>
  <c r="Z123" i="10" s="1"/>
  <c r="F134" i="10"/>
  <c r="F146" i="10"/>
  <c r="I154" i="10"/>
  <c r="O154" i="10" s="1"/>
  <c r="H154" i="10"/>
  <c r="J154" i="10" s="1"/>
  <c r="J161" i="10"/>
  <c r="X166" i="10"/>
  <c r="Y166" i="10" s="1"/>
  <c r="Z166" i="10" s="1"/>
  <c r="X174" i="10"/>
  <c r="Y174" i="10" s="1"/>
  <c r="Z174" i="10" s="1"/>
  <c r="J199" i="10"/>
  <c r="F205" i="10"/>
  <c r="G205" i="10" s="1"/>
  <c r="M205" i="10"/>
  <c r="J220" i="10"/>
  <c r="P220" i="10" s="1"/>
  <c r="Q220" i="10" s="1"/>
  <c r="R220" i="10" s="1"/>
  <c r="I228" i="10"/>
  <c r="H228" i="10"/>
  <c r="J228" i="10"/>
  <c r="X130" i="10"/>
  <c r="Y130" i="10" s="1"/>
  <c r="Z130" i="10" s="1"/>
  <c r="AA141" i="10"/>
  <c r="AB141" i="10" s="1"/>
  <c r="S161" i="10"/>
  <c r="T161" i="10" s="1"/>
  <c r="AA161" i="10" s="1"/>
  <c r="AB161" i="10" s="1"/>
  <c r="O161" i="10"/>
  <c r="N161" i="10"/>
  <c r="U189" i="10"/>
  <c r="V189" i="10" s="1"/>
  <c r="X199" i="10"/>
  <c r="Y199" i="10" s="1"/>
  <c r="Z199" i="10" s="1"/>
  <c r="N199" i="10"/>
  <c r="P199" i="10" s="1"/>
  <c r="Q199" i="10" s="1"/>
  <c r="R199" i="10" s="1"/>
  <c r="I217" i="10"/>
  <c r="O217" i="10" s="1"/>
  <c r="H217" i="10"/>
  <c r="N220" i="10"/>
  <c r="M228" i="10"/>
  <c r="P141" i="10"/>
  <c r="Q141" i="10" s="1"/>
  <c r="R141" i="10" s="1"/>
  <c r="AA249" i="10"/>
  <c r="AB249" i="10" s="1"/>
  <c r="S249" i="10"/>
  <c r="T249" i="10" s="1"/>
  <c r="P249" i="10"/>
  <c r="Q249" i="10" s="1"/>
  <c r="R249" i="10" s="1"/>
  <c r="N249" i="10"/>
  <c r="U249" i="10"/>
  <c r="V249" i="10" s="1"/>
  <c r="O249" i="10"/>
  <c r="X249" i="10"/>
  <c r="Y249" i="10" s="1"/>
  <c r="Z249" i="10" s="1"/>
  <c r="F114" i="10"/>
  <c r="N123" i="10"/>
  <c r="M126" i="10"/>
  <c r="F126" i="10"/>
  <c r="G126" i="10" s="1"/>
  <c r="O151" i="10"/>
  <c r="X151" i="10"/>
  <c r="Y151" i="10" s="1"/>
  <c r="Z151" i="10" s="1"/>
  <c r="N163" i="10"/>
  <c r="I167" i="10"/>
  <c r="H167" i="10"/>
  <c r="J203" i="10"/>
  <c r="X220" i="10"/>
  <c r="Y220" i="10" s="1"/>
  <c r="Z220" i="10" s="1"/>
  <c r="U129" i="10"/>
  <c r="V129" i="10" s="1"/>
  <c r="P129" i="10"/>
  <c r="Q129" i="10" s="1"/>
  <c r="O129" i="10"/>
  <c r="U141" i="10"/>
  <c r="V141" i="10" s="1"/>
  <c r="M178" i="10"/>
  <c r="F178" i="10"/>
  <c r="G178" i="10" s="1"/>
  <c r="N203" i="10"/>
  <c r="X203" i="10"/>
  <c r="Y203" i="10" s="1"/>
  <c r="Z203" i="10" s="1"/>
  <c r="S209" i="10"/>
  <c r="T209" i="10" s="1"/>
  <c r="P209" i="10"/>
  <c r="Q209" i="10" s="1"/>
  <c r="R209" i="10" s="1"/>
  <c r="X209" i="10"/>
  <c r="Y209" i="10" s="1"/>
  <c r="Z209" i="10" s="1"/>
  <c r="O209" i="10"/>
  <c r="U209" i="10"/>
  <c r="V209" i="10" s="1"/>
  <c r="N209" i="10"/>
  <c r="M218" i="10"/>
  <c r="F218" i="10"/>
  <c r="G218" i="10" s="1"/>
  <c r="H226" i="10"/>
  <c r="U253" i="10"/>
  <c r="V253" i="10" s="1"/>
  <c r="O253" i="10"/>
  <c r="N253" i="10"/>
  <c r="X253" i="10"/>
  <c r="Y253" i="10" s="1"/>
  <c r="Z253" i="10" s="1"/>
  <c r="AA253" i="10"/>
  <c r="AB253" i="10" s="1"/>
  <c r="P253" i="10"/>
  <c r="Q253" i="10" s="1"/>
  <c r="R253" i="10" s="1"/>
  <c r="S253" i="10"/>
  <c r="T253" i="10" s="1"/>
  <c r="I256" i="10"/>
  <c r="H256" i="10"/>
  <c r="AA209" i="10"/>
  <c r="AB209" i="10" s="1"/>
  <c r="F214" i="10"/>
  <c r="G214" i="10" s="1"/>
  <c r="I226" i="10"/>
  <c r="J256" i="10"/>
  <c r="O147" i="10"/>
  <c r="O208" i="10"/>
  <c r="N208" i="10"/>
  <c r="P208" i="10" s="1"/>
  <c r="Q208" i="10" s="1"/>
  <c r="R208" i="10" s="1"/>
  <c r="X208" i="10"/>
  <c r="Y208" i="10" s="1"/>
  <c r="Z208" i="10" s="1"/>
  <c r="J260" i="10"/>
  <c r="P260" i="10" s="1"/>
  <c r="Q260" i="10" s="1"/>
  <c r="R260" i="10" s="1"/>
  <c r="I260" i="10"/>
  <c r="O260" i="10" s="1"/>
  <c r="J193" i="10"/>
  <c r="I193" i="10"/>
  <c r="I206" i="10"/>
  <c r="H206" i="10"/>
  <c r="N206" i="10" s="1"/>
  <c r="J206" i="10"/>
  <c r="J210" i="10"/>
  <c r="J232" i="10"/>
  <c r="I232" i="10"/>
  <c r="O232" i="10" s="1"/>
  <c r="I237" i="10"/>
  <c r="O237" i="10" s="1"/>
  <c r="H237" i="10"/>
  <c r="J237" i="10" s="1"/>
  <c r="I243" i="10"/>
  <c r="O243" i="10" s="1"/>
  <c r="H243" i="10"/>
  <c r="F224" i="10"/>
  <c r="G224" i="10" s="1"/>
  <c r="M224" i="10"/>
  <c r="M250" i="10"/>
  <c r="F250" i="10"/>
  <c r="G250" i="10" s="1"/>
  <c r="I208" i="10"/>
  <c r="I219" i="10"/>
  <c r="H219" i="10"/>
  <c r="J219" i="10"/>
  <c r="X226" i="10"/>
  <c r="Y226" i="10" s="1"/>
  <c r="Z226" i="10" s="1"/>
  <c r="X232" i="10"/>
  <c r="Y232" i="10" s="1"/>
  <c r="Z232" i="10" s="1"/>
  <c r="P237" i="10"/>
  <c r="Q237" i="10" s="1"/>
  <c r="R237" i="10" s="1"/>
  <c r="N237" i="10"/>
  <c r="AA237" i="10"/>
  <c r="AB237" i="10" s="1"/>
  <c r="X254" i="10"/>
  <c r="Y254" i="10" s="1"/>
  <c r="Z254" i="10" s="1"/>
  <c r="N254" i="10"/>
  <c r="O254" i="10"/>
  <c r="O182" i="10"/>
  <c r="O206" i="10"/>
  <c r="J208" i="10"/>
  <c r="N232" i="10"/>
  <c r="S237" i="10"/>
  <c r="T237" i="10" s="1"/>
  <c r="F162" i="10"/>
  <c r="G162" i="10" s="1"/>
  <c r="H173" i="10"/>
  <c r="I173" i="10"/>
  <c r="X204" i="10"/>
  <c r="Y204" i="10" s="1"/>
  <c r="Z204" i="10" s="1"/>
  <c r="N204" i="10"/>
  <c r="U237" i="10"/>
  <c r="V237" i="10" s="1"/>
  <c r="S217" i="10"/>
  <c r="T217" i="10" s="1"/>
  <c r="AA217" i="10" s="1"/>
  <c r="AB217" i="10" s="1"/>
  <c r="M241" i="10"/>
  <c r="F241" i="10"/>
  <c r="G241" i="10" s="1"/>
  <c r="P149" i="10"/>
  <c r="Q149" i="10" s="1"/>
  <c r="R149" i="10" s="1"/>
  <c r="P158" i="10"/>
  <c r="Q158" i="10" s="1"/>
  <c r="R158" i="10" s="1"/>
  <c r="X158" i="10"/>
  <c r="Y158" i="10" s="1"/>
  <c r="Z158" i="10" s="1"/>
  <c r="F181" i="10"/>
  <c r="G181" i="10" s="1"/>
  <c r="M181" i="10"/>
  <c r="M197" i="10"/>
  <c r="F197" i="10"/>
  <c r="G197" i="10" s="1"/>
  <c r="AA225" i="10"/>
  <c r="AB225" i="10" s="1"/>
  <c r="X225" i="10"/>
  <c r="Y225" i="10" s="1"/>
  <c r="Z225" i="10" s="1"/>
  <c r="P225" i="10"/>
  <c r="Q225" i="10" s="1"/>
  <c r="R225" i="10" s="1"/>
  <c r="F230" i="10"/>
  <c r="G230" i="10" s="1"/>
  <c r="I233" i="10"/>
  <c r="O233" i="10" s="1"/>
  <c r="H233" i="10"/>
  <c r="N233" i="10" s="1"/>
  <c r="F116" i="10"/>
  <c r="G116" i="10" s="1"/>
  <c r="F133" i="10"/>
  <c r="G133" i="10" s="1"/>
  <c r="X147" i="10"/>
  <c r="Y147" i="10" s="1"/>
  <c r="Z147" i="10" s="1"/>
  <c r="F149" i="10"/>
  <c r="G149" i="10" s="1"/>
  <c r="N158" i="10"/>
  <c r="F192" i="10"/>
  <c r="X206" i="10"/>
  <c r="Y206" i="10" s="1"/>
  <c r="Z206" i="10" s="1"/>
  <c r="J211" i="10"/>
  <c r="I211" i="10"/>
  <c r="F225" i="10"/>
  <c r="G225" i="10" s="1"/>
  <c r="F238" i="10"/>
  <c r="X227" i="10"/>
  <c r="Y227" i="10" s="1"/>
  <c r="Z227" i="10" s="1"/>
  <c r="N227" i="10"/>
  <c r="O227" i="10"/>
  <c r="P227" i="10" s="1"/>
  <c r="Q227" i="10" s="1"/>
  <c r="R227" i="10" s="1"/>
  <c r="F245" i="10"/>
  <c r="G245" i="10" s="1"/>
  <c r="O219" i="10"/>
  <c r="N219" i="10"/>
  <c r="X219" i="10"/>
  <c r="Y219" i="10" s="1"/>
  <c r="Z219" i="10" s="1"/>
  <c r="P219" i="10"/>
  <c r="Q219" i="10" s="1"/>
  <c r="R219" i="10" s="1"/>
  <c r="J248" i="10"/>
  <c r="I248" i="10"/>
  <c r="O248" i="10" s="1"/>
  <c r="I255" i="10"/>
  <c r="O255" i="10" s="1"/>
  <c r="H255" i="10"/>
  <c r="J255" i="10"/>
  <c r="AA185" i="10"/>
  <c r="AB185" i="10" s="1"/>
  <c r="P185" i="10"/>
  <c r="Q185" i="10" s="1"/>
  <c r="R185" i="10" s="1"/>
  <c r="O226" i="10"/>
  <c r="F184" i="10"/>
  <c r="G184" i="10" s="1"/>
  <c r="M222" i="10"/>
  <c r="H244" i="10"/>
  <c r="I244" i="10"/>
  <c r="O244" i="10" s="1"/>
  <c r="J254" i="10"/>
  <c r="P254" i="10" s="1"/>
  <c r="Q254" i="10" s="1"/>
  <c r="R254" i="10" s="1"/>
  <c r="I261" i="10"/>
  <c r="H261" i="10"/>
  <c r="M247" i="10"/>
  <c r="F247" i="10"/>
  <c r="G247" i="10" s="1"/>
  <c r="M251" i="10"/>
  <c r="F251" i="10"/>
  <c r="G251" i="10" s="1"/>
  <c r="H257" i="10"/>
  <c r="N257" i="10" s="1"/>
  <c r="J257" i="10"/>
  <c r="I259" i="10"/>
  <c r="H259" i="10"/>
  <c r="J259" i="10"/>
  <c r="O259" i="10"/>
  <c r="X259" i="10"/>
  <c r="Y259" i="10" s="1"/>
  <c r="Z259" i="10" s="1"/>
  <c r="X261" i="10"/>
  <c r="Y261" i="10" s="1"/>
  <c r="Z261" i="10" s="1"/>
  <c r="S261" i="10"/>
  <c r="T261" i="10" s="1"/>
  <c r="P261" i="10"/>
  <c r="Q261" i="10" s="1"/>
  <c r="R261" i="10" s="1"/>
  <c r="AA261" i="10"/>
  <c r="AB261" i="10" s="1"/>
  <c r="M216" i="10"/>
  <c r="F216" i="10"/>
  <c r="G216" i="10" s="1"/>
  <c r="J249" i="10"/>
  <c r="X257" i="10"/>
  <c r="Y257" i="10" s="1"/>
  <c r="Z257" i="10" s="1"/>
  <c r="S257" i="10"/>
  <c r="T257" i="10" s="1"/>
  <c r="O257" i="10"/>
  <c r="N259" i="10"/>
  <c r="O261" i="10"/>
  <c r="P257" i="10"/>
  <c r="Q257" i="10" s="1"/>
  <c r="R257" i="10" s="1"/>
  <c r="F196" i="10"/>
  <c r="G196" i="10" s="1"/>
  <c r="O234" i="10"/>
  <c r="N234" i="10"/>
  <c r="M221" i="10"/>
  <c r="N260" i="10"/>
  <c r="M229" i="10"/>
  <c r="F229" i="10"/>
  <c r="G229" i="10" s="1"/>
  <c r="S213" i="10"/>
  <c r="T213" i="10" s="1"/>
  <c r="AA213" i="10"/>
  <c r="AB213" i="10" s="1"/>
  <c r="O213" i="10"/>
  <c r="X260" i="10"/>
  <c r="Y260" i="10" s="1"/>
  <c r="Z260" i="10" s="1"/>
  <c r="F236" i="10"/>
  <c r="G236" i="10" s="1"/>
  <c r="F258" i="10"/>
  <c r="R4" i="10" l="1"/>
  <c r="E8" i="8"/>
  <c r="B12" i="9" s="1"/>
  <c r="R8" i="7"/>
  <c r="M8" i="8" s="1"/>
  <c r="R20" i="7"/>
  <c r="M20" i="8" s="1"/>
  <c r="E20" i="8"/>
  <c r="B46" i="9" s="1"/>
  <c r="R38" i="10"/>
  <c r="F13" i="8"/>
  <c r="C17" i="9" s="1"/>
  <c r="S13" i="7"/>
  <c r="N13" i="8" s="1"/>
  <c r="S8" i="7"/>
  <c r="N8" i="8" s="1"/>
  <c r="F8" i="8"/>
  <c r="C12" i="9" s="1"/>
  <c r="R17" i="7"/>
  <c r="E17" i="8"/>
  <c r="B43" i="9" s="1"/>
  <c r="R44" i="10"/>
  <c r="B67" i="9"/>
  <c r="K52" i="11"/>
  <c r="AB53" i="10"/>
  <c r="K52" i="12" s="1"/>
  <c r="G14" i="8"/>
  <c r="D18" i="9" s="1"/>
  <c r="O14" i="8"/>
  <c r="D35" i="9" s="1"/>
  <c r="F14" i="8"/>
  <c r="C18" i="9" s="1"/>
  <c r="E14" i="8"/>
  <c r="B18" i="9" s="1"/>
  <c r="AB14" i="8"/>
  <c r="N14" i="8"/>
  <c r="C35" i="9" s="1"/>
  <c r="M14" i="8"/>
  <c r="B35" i="9" s="1"/>
  <c r="X14" i="8"/>
  <c r="P14" i="8"/>
  <c r="H14" i="8"/>
  <c r="R34" i="10"/>
  <c r="C62" i="9"/>
  <c r="I149" i="10"/>
  <c r="O149" i="10" s="1"/>
  <c r="H149" i="10"/>
  <c r="N149" i="10" s="1"/>
  <c r="J149" i="10"/>
  <c r="R129" i="10"/>
  <c r="J185" i="10"/>
  <c r="H170" i="10"/>
  <c r="N170" i="10" s="1"/>
  <c r="P170" i="10" s="1"/>
  <c r="Q170" i="10" s="1"/>
  <c r="R170" i="10" s="1"/>
  <c r="I170" i="10"/>
  <c r="O170" i="10" s="1"/>
  <c r="H117" i="10"/>
  <c r="N117" i="10" s="1"/>
  <c r="I117" i="10"/>
  <c r="O117" i="10" s="1"/>
  <c r="I105" i="10"/>
  <c r="O105" i="10" s="1"/>
  <c r="H105" i="10"/>
  <c r="N105" i="10" s="1"/>
  <c r="R46" i="10"/>
  <c r="N127" i="10"/>
  <c r="P127" i="10" s="1"/>
  <c r="Q127" i="10" s="1"/>
  <c r="R127" i="10" s="1"/>
  <c r="C33" i="9"/>
  <c r="N68" i="10"/>
  <c r="P68" i="10" s="1"/>
  <c r="Q68" i="10" s="1"/>
  <c r="R68" i="10" s="1"/>
  <c r="U13" i="10"/>
  <c r="X13" i="10"/>
  <c r="Y13" i="10" s="1"/>
  <c r="P13" i="10"/>
  <c r="Q13" i="10" s="1"/>
  <c r="S13" i="10"/>
  <c r="AA13" i="10"/>
  <c r="T10" i="8"/>
  <c r="L10" i="8"/>
  <c r="AB8" i="8"/>
  <c r="X8" i="8"/>
  <c r="T8" i="8"/>
  <c r="P8" i="8"/>
  <c r="H8" i="8"/>
  <c r="G8" i="8"/>
  <c r="D12" i="9" s="1"/>
  <c r="T8" i="7"/>
  <c r="O8" i="8" s="1"/>
  <c r="J16" i="7"/>
  <c r="N16" i="7" s="1"/>
  <c r="R16" i="7" s="1"/>
  <c r="M16" i="8" s="1"/>
  <c r="D29" i="6"/>
  <c r="N9" i="8"/>
  <c r="C30" i="9" s="1"/>
  <c r="X9" i="8"/>
  <c r="O9" i="8"/>
  <c r="D30" i="9" s="1"/>
  <c r="M9" i="8"/>
  <c r="B30" i="9" s="1"/>
  <c r="P9" i="8"/>
  <c r="I196" i="10"/>
  <c r="O196" i="10" s="1"/>
  <c r="H196" i="10"/>
  <c r="X170" i="10"/>
  <c r="Y170" i="10" s="1"/>
  <c r="Z170" i="10" s="1"/>
  <c r="J112" i="10"/>
  <c r="H112" i="10"/>
  <c r="I112" i="10"/>
  <c r="O112" i="10" s="1"/>
  <c r="H18" i="8"/>
  <c r="D23" i="9"/>
  <c r="X55" i="10"/>
  <c r="Y55" i="10" s="1"/>
  <c r="Z55" i="10" s="1"/>
  <c r="AA55" i="10" s="1"/>
  <c r="AB55" i="10" s="1"/>
  <c r="N43" i="10"/>
  <c r="P43" i="10" s="1"/>
  <c r="Q43" i="10" s="1"/>
  <c r="J43" i="10"/>
  <c r="D63" i="6"/>
  <c r="P39" i="10"/>
  <c r="Q39" i="10" s="1"/>
  <c r="N39" i="10"/>
  <c r="O39" i="10"/>
  <c r="X39" i="10"/>
  <c r="Y39" i="10" s="1"/>
  <c r="P107" i="10"/>
  <c r="Q107" i="10" s="1"/>
  <c r="R107" i="10" s="1"/>
  <c r="U107" i="10" s="1"/>
  <c r="V107" i="10" s="1"/>
  <c r="X107" i="10"/>
  <c r="Y107" i="10" s="1"/>
  <c r="Z107" i="10" s="1"/>
  <c r="O107" i="10"/>
  <c r="N107" i="10"/>
  <c r="S107" i="10"/>
  <c r="T107" i="10" s="1"/>
  <c r="AA107" i="10" s="1"/>
  <c r="AB107" i="10" s="1"/>
  <c r="G11" i="8"/>
  <c r="D15" i="9" s="1"/>
  <c r="T11" i="7"/>
  <c r="O11" i="8" s="1"/>
  <c r="C64" i="9"/>
  <c r="D6" i="4"/>
  <c r="N6" i="2"/>
  <c r="B10" i="6"/>
  <c r="H6" i="4"/>
  <c r="O6" i="2"/>
  <c r="C10" i="6"/>
  <c r="H125" i="10"/>
  <c r="N125" i="10" s="1"/>
  <c r="I125" i="10"/>
  <c r="O125" i="10" s="1"/>
  <c r="J25" i="10"/>
  <c r="AA65" i="10"/>
  <c r="AB65" i="10" s="1"/>
  <c r="S65" i="10"/>
  <c r="T65" i="10" s="1"/>
  <c r="X65" i="10"/>
  <c r="Y65" i="10" s="1"/>
  <c r="Z65" i="10" s="1"/>
  <c r="U65" i="10"/>
  <c r="V65" i="10" s="1"/>
  <c r="P65" i="10"/>
  <c r="Q65" i="10" s="1"/>
  <c r="R65" i="10" s="1"/>
  <c r="I15" i="4"/>
  <c r="G41" i="6"/>
  <c r="J15" i="8"/>
  <c r="G41" i="9" s="1"/>
  <c r="O15" i="3"/>
  <c r="K16" i="3"/>
  <c r="D10" i="6"/>
  <c r="L6" i="4"/>
  <c r="P6" i="2"/>
  <c r="H207" i="10"/>
  <c r="J207" i="10" s="1"/>
  <c r="I207" i="10"/>
  <c r="T14" i="8"/>
  <c r="L14" i="8"/>
  <c r="I39" i="10"/>
  <c r="J39" i="10"/>
  <c r="H39" i="10"/>
  <c r="Z46" i="10"/>
  <c r="G183" i="10"/>
  <c r="X183" i="10"/>
  <c r="Y183" i="10" s="1"/>
  <c r="Z183" i="10" s="1"/>
  <c r="I251" i="10"/>
  <c r="O251" i="10" s="1"/>
  <c r="H251" i="10"/>
  <c r="P251" i="10" s="1"/>
  <c r="Q251" i="10" s="1"/>
  <c r="R251" i="10" s="1"/>
  <c r="J251" i="10"/>
  <c r="I241" i="10"/>
  <c r="O241" i="10" s="1"/>
  <c r="H241" i="10"/>
  <c r="N241" i="10" s="1"/>
  <c r="S205" i="10"/>
  <c r="T205" i="10" s="1"/>
  <c r="P205" i="10"/>
  <c r="Q205" i="10" s="1"/>
  <c r="R205" i="10" s="1"/>
  <c r="X205" i="10"/>
  <c r="Y205" i="10" s="1"/>
  <c r="Z205" i="10" s="1"/>
  <c r="AA205" i="10"/>
  <c r="AB205" i="10" s="1"/>
  <c r="O205" i="10"/>
  <c r="N205" i="10"/>
  <c r="U205" i="10"/>
  <c r="V205" i="10" s="1"/>
  <c r="J174" i="10"/>
  <c r="N251" i="10"/>
  <c r="X251" i="10"/>
  <c r="Y251" i="10" s="1"/>
  <c r="Z251" i="10" s="1"/>
  <c r="J116" i="10"/>
  <c r="I116" i="10"/>
  <c r="O116" i="10" s="1"/>
  <c r="H116" i="10"/>
  <c r="N171" i="10"/>
  <c r="P171" i="10" s="1"/>
  <c r="Q171" i="10" s="1"/>
  <c r="R171" i="10" s="1"/>
  <c r="I65" i="10"/>
  <c r="O65" i="10" s="1"/>
  <c r="H65" i="10"/>
  <c r="N65" i="10" s="1"/>
  <c r="P124" i="10"/>
  <c r="Q124" i="10" s="1"/>
  <c r="R124" i="10" s="1"/>
  <c r="I3" i="10"/>
  <c r="H3" i="10"/>
  <c r="J3" i="10" s="1"/>
  <c r="H247" i="10"/>
  <c r="J247" i="10" s="1"/>
  <c r="I247" i="10"/>
  <c r="I250" i="10"/>
  <c r="H250" i="10"/>
  <c r="J250" i="10" s="1"/>
  <c r="J226" i="10"/>
  <c r="P226" i="10" s="1"/>
  <c r="Q226" i="10" s="1"/>
  <c r="R226" i="10" s="1"/>
  <c r="X112" i="10"/>
  <c r="Y112" i="10" s="1"/>
  <c r="Z112" i="10" s="1"/>
  <c r="G78" i="10"/>
  <c r="X78" i="10"/>
  <c r="Y78" i="10" s="1"/>
  <c r="Z78" i="10" s="1"/>
  <c r="I159" i="10"/>
  <c r="O159" i="10" s="1"/>
  <c r="H159" i="10"/>
  <c r="N159" i="10" s="1"/>
  <c r="J171" i="10"/>
  <c r="P76" i="10"/>
  <c r="Q76" i="10" s="1"/>
  <c r="R76" i="10" s="1"/>
  <c r="N76" i="10"/>
  <c r="J76" i="10"/>
  <c r="N66" i="10"/>
  <c r="P66" i="10"/>
  <c r="Q66" i="10" s="1"/>
  <c r="R66" i="10" s="1"/>
  <c r="J164" i="10"/>
  <c r="P164" i="10"/>
  <c r="Q164" i="10" s="1"/>
  <c r="R164" i="10" s="1"/>
  <c r="I2" i="2"/>
  <c r="M2" i="2"/>
  <c r="G2" i="2"/>
  <c r="K2" i="2"/>
  <c r="R13" i="7"/>
  <c r="M13" i="8" s="1"/>
  <c r="O247" i="10"/>
  <c r="X247" i="10"/>
  <c r="Y247" i="10" s="1"/>
  <c r="Z247" i="10" s="1"/>
  <c r="N247" i="10"/>
  <c r="O250" i="10"/>
  <c r="X250" i="10"/>
  <c r="Y250" i="10" s="1"/>
  <c r="Z250" i="10" s="1"/>
  <c r="N250" i="10"/>
  <c r="I218" i="10"/>
  <c r="H218" i="10"/>
  <c r="J218" i="10" s="1"/>
  <c r="P218" i="10" s="1"/>
  <c r="Q218" i="10" s="1"/>
  <c r="R218" i="10" s="1"/>
  <c r="X159" i="10"/>
  <c r="Y159" i="10" s="1"/>
  <c r="Z159" i="10" s="1"/>
  <c r="AA159" i="10" s="1"/>
  <c r="AB159" i="10" s="1"/>
  <c r="S159" i="10"/>
  <c r="T159" i="10" s="1"/>
  <c r="T21" i="10"/>
  <c r="P62" i="10"/>
  <c r="Q62" i="10" s="1"/>
  <c r="R62" i="10" s="1"/>
  <c r="N54" i="10"/>
  <c r="P54" i="10" s="1"/>
  <c r="Q54" i="10" s="1"/>
  <c r="R54" i="10" s="1"/>
  <c r="U54" i="10" s="1"/>
  <c r="V54" i="10" s="1"/>
  <c r="J54" i="10"/>
  <c r="D28" i="6"/>
  <c r="B52" i="6"/>
  <c r="N26" i="2"/>
  <c r="D26" i="4"/>
  <c r="Q6" i="2"/>
  <c r="P6" i="4"/>
  <c r="R6" i="4" s="1"/>
  <c r="S6" i="4" s="1"/>
  <c r="P179" i="10"/>
  <c r="Q179" i="10" s="1"/>
  <c r="R179" i="10" s="1"/>
  <c r="N179" i="10"/>
  <c r="J92" i="10"/>
  <c r="R7" i="10"/>
  <c r="J261" i="10"/>
  <c r="N261" i="10"/>
  <c r="N224" i="10"/>
  <c r="P224" i="10"/>
  <c r="Q224" i="10" s="1"/>
  <c r="R224" i="10" s="1"/>
  <c r="X224" i="10"/>
  <c r="Y224" i="10" s="1"/>
  <c r="Z224" i="10" s="1"/>
  <c r="O224" i="10"/>
  <c r="J167" i="10"/>
  <c r="P167" i="10"/>
  <c r="Q167" i="10" s="1"/>
  <c r="R167" i="10" s="1"/>
  <c r="I200" i="10"/>
  <c r="H200" i="10"/>
  <c r="J200" i="10" s="1"/>
  <c r="H49" i="10"/>
  <c r="N49" i="10" s="1"/>
  <c r="I49" i="10"/>
  <c r="O49" i="10" s="1"/>
  <c r="G152" i="10"/>
  <c r="X152" i="10"/>
  <c r="Y152" i="10" s="1"/>
  <c r="Z152" i="10" s="1"/>
  <c r="J66" i="10"/>
  <c r="R16" i="10"/>
  <c r="C52" i="6"/>
  <c r="O26" i="2"/>
  <c r="H26" i="4"/>
  <c r="J133" i="10"/>
  <c r="H133" i="10"/>
  <c r="N133" i="10" s="1"/>
  <c r="I133" i="10"/>
  <c r="O133" i="10" s="1"/>
  <c r="X241" i="10"/>
  <c r="Y241" i="10" s="1"/>
  <c r="Z241" i="10" s="1"/>
  <c r="S241" i="10"/>
  <c r="T241" i="10" s="1"/>
  <c r="U241" i="10"/>
  <c r="V241" i="10" s="1"/>
  <c r="P241" i="10"/>
  <c r="Q241" i="10" s="1"/>
  <c r="R241" i="10" s="1"/>
  <c r="AA241" i="10"/>
  <c r="AB241" i="10" s="1"/>
  <c r="I205" i="10"/>
  <c r="H205" i="10"/>
  <c r="J205" i="10"/>
  <c r="G258" i="10"/>
  <c r="X258" i="10"/>
  <c r="Y258" i="10" s="1"/>
  <c r="Z258" i="10" s="1"/>
  <c r="X230" i="10"/>
  <c r="Y230" i="10" s="1"/>
  <c r="Z230" i="10" s="1"/>
  <c r="H224" i="10"/>
  <c r="I224" i="10"/>
  <c r="J224" i="10"/>
  <c r="J217" i="10"/>
  <c r="P217" i="10" s="1"/>
  <c r="Q217" i="10" s="1"/>
  <c r="R217" i="10" s="1"/>
  <c r="U217" i="10" s="1"/>
  <c r="V217" i="10" s="1"/>
  <c r="N217" i="10"/>
  <c r="N174" i="10"/>
  <c r="P174" i="10" s="1"/>
  <c r="Q174" i="10" s="1"/>
  <c r="R174" i="10" s="1"/>
  <c r="X47" i="10"/>
  <c r="Y47" i="10" s="1"/>
  <c r="N47" i="10"/>
  <c r="P47" i="10" s="1"/>
  <c r="Q47" i="10" s="1"/>
  <c r="O47" i="10"/>
  <c r="N190" i="10"/>
  <c r="P190" i="10" s="1"/>
  <c r="Q190" i="10" s="1"/>
  <c r="R190" i="10" s="1"/>
  <c r="N167" i="10"/>
  <c r="G12" i="10"/>
  <c r="X12" i="10"/>
  <c r="Y12" i="10" s="1"/>
  <c r="U57" i="10"/>
  <c r="V57" i="10" s="1"/>
  <c r="S5" i="7"/>
  <c r="N5" i="8" s="1"/>
  <c r="F5" i="8"/>
  <c r="C9" i="9" s="1"/>
  <c r="Z21" i="10"/>
  <c r="Z56" i="10"/>
  <c r="H6" i="12"/>
  <c r="AA108" i="10"/>
  <c r="AB108" i="10" s="1"/>
  <c r="B15" i="12"/>
  <c r="Z38" i="10"/>
  <c r="Q16" i="2"/>
  <c r="E59" i="6" s="1"/>
  <c r="P16" i="4"/>
  <c r="E42" i="6"/>
  <c r="AA57" i="10"/>
  <c r="AB57" i="10" s="1"/>
  <c r="G143" i="10"/>
  <c r="X143" i="10"/>
  <c r="Y143" i="10" s="1"/>
  <c r="Z143" i="10" s="1"/>
  <c r="N194" i="10"/>
  <c r="P194" i="10" s="1"/>
  <c r="Q194" i="10" s="1"/>
  <c r="R194" i="10" s="1"/>
  <c r="Z40" i="10"/>
  <c r="J2" i="8"/>
  <c r="G6" i="9" s="1"/>
  <c r="O2" i="3"/>
  <c r="G6" i="6"/>
  <c r="I2" i="4"/>
  <c r="K3" i="3"/>
  <c r="C24" i="6"/>
  <c r="J230" i="10"/>
  <c r="I230" i="10"/>
  <c r="O230" i="10" s="1"/>
  <c r="H230" i="10"/>
  <c r="G100" i="10"/>
  <c r="X100" i="10"/>
  <c r="Y100" i="10" s="1"/>
  <c r="Z100" i="10" s="1"/>
  <c r="P169" i="10"/>
  <c r="Q169" i="10" s="1"/>
  <c r="R169" i="10" s="1"/>
  <c r="J169" i="10"/>
  <c r="R32" i="10"/>
  <c r="H198" i="10"/>
  <c r="I198" i="10"/>
  <c r="O198" i="10" s="1"/>
  <c r="R15" i="10"/>
  <c r="E16" i="8"/>
  <c r="B42" i="9" s="1"/>
  <c r="F16" i="8"/>
  <c r="C42" i="9" s="1"/>
  <c r="N16" i="8"/>
  <c r="C59" i="9" s="1"/>
  <c r="S4" i="10"/>
  <c r="K2" i="8"/>
  <c r="H6" i="9" s="1"/>
  <c r="M2" i="4"/>
  <c r="H6" i="6"/>
  <c r="P2" i="3"/>
  <c r="B28" i="9"/>
  <c r="AA160" i="10"/>
  <c r="AB160" i="10" s="1"/>
  <c r="N4" i="2"/>
  <c r="D4" i="4"/>
  <c r="B8" i="6"/>
  <c r="C28" i="6"/>
  <c r="L18" i="8"/>
  <c r="X18" i="8"/>
  <c r="T18" i="8"/>
  <c r="P18" i="8"/>
  <c r="Q2" i="4"/>
  <c r="Q2" i="3"/>
  <c r="I6" i="6"/>
  <c r="S5" i="10"/>
  <c r="S57" i="10"/>
  <c r="T57" i="10" s="1"/>
  <c r="L2" i="8"/>
  <c r="I6" i="9" s="1"/>
  <c r="O222" i="10"/>
  <c r="N222" i="10"/>
  <c r="P222" i="10" s="1"/>
  <c r="Q222" i="10" s="1"/>
  <c r="R222" i="10" s="1"/>
  <c r="X222" i="10"/>
  <c r="Y222" i="10" s="1"/>
  <c r="Z222" i="10" s="1"/>
  <c r="P126" i="10"/>
  <c r="Q126" i="10" s="1"/>
  <c r="R126" i="10" s="1"/>
  <c r="X126" i="10"/>
  <c r="Y126" i="10" s="1"/>
  <c r="Z126" i="10" s="1"/>
  <c r="N126" i="10"/>
  <c r="G146" i="10"/>
  <c r="X146" i="10"/>
  <c r="Y146" i="10" s="1"/>
  <c r="Z146" i="10" s="1"/>
  <c r="X246" i="10"/>
  <c r="Y246" i="10" s="1"/>
  <c r="Z246" i="10" s="1"/>
  <c r="H135" i="10"/>
  <c r="N135" i="10" s="1"/>
  <c r="I135" i="10"/>
  <c r="O135" i="10" s="1"/>
  <c r="J102" i="10"/>
  <c r="I102" i="10"/>
  <c r="P102" i="10" s="1"/>
  <c r="Q102" i="10" s="1"/>
  <c r="R102" i="10" s="1"/>
  <c r="H102" i="10"/>
  <c r="X35" i="10"/>
  <c r="Y35" i="10" s="1"/>
  <c r="T13" i="7"/>
  <c r="O13" i="8" s="1"/>
  <c r="G13" i="8"/>
  <c r="D17" i="9" s="1"/>
  <c r="Z9" i="10"/>
  <c r="G9" i="8"/>
  <c r="D13" i="9" s="1"/>
  <c r="I26" i="10"/>
  <c r="H26" i="10"/>
  <c r="J26" i="10" s="1"/>
  <c r="Z34" i="10"/>
  <c r="E41" i="6"/>
  <c r="P15" i="4"/>
  <c r="Q15" i="2"/>
  <c r="E58" i="6" s="1"/>
  <c r="H4" i="4"/>
  <c r="O4" i="2"/>
  <c r="C8" i="6"/>
  <c r="J55" i="10"/>
  <c r="I55" i="10"/>
  <c r="O55" i="10" s="1"/>
  <c r="H55" i="10"/>
  <c r="J126" i="10"/>
  <c r="H126" i="10"/>
  <c r="I126" i="10"/>
  <c r="O126" i="10" s="1"/>
  <c r="J186" i="10"/>
  <c r="N186" i="10"/>
  <c r="Z22" i="10"/>
  <c r="J118" i="10"/>
  <c r="I118" i="10"/>
  <c r="O118" i="10" s="1"/>
  <c r="H118" i="10"/>
  <c r="H35" i="10"/>
  <c r="N35" i="10" s="1"/>
  <c r="I35" i="10"/>
  <c r="O35" i="10" s="1"/>
  <c r="AB9" i="8"/>
  <c r="J30" i="10"/>
  <c r="I30" i="10"/>
  <c r="O30" i="10" s="1"/>
  <c r="H30" i="10"/>
  <c r="L4" i="4"/>
  <c r="D8" i="6"/>
  <c r="P4" i="2"/>
  <c r="H229" i="10"/>
  <c r="J229" i="10" s="1"/>
  <c r="I229" i="10"/>
  <c r="J233" i="10"/>
  <c r="P204" i="10"/>
  <c r="Q204" i="10" s="1"/>
  <c r="R204" i="10" s="1"/>
  <c r="I142" i="10"/>
  <c r="O142" i="10" s="1"/>
  <c r="H142" i="10"/>
  <c r="J142" i="10"/>
  <c r="X242" i="10"/>
  <c r="Y242" i="10" s="1"/>
  <c r="Z242" i="10" s="1"/>
  <c r="O242" i="10"/>
  <c r="J157" i="10"/>
  <c r="X135" i="10"/>
  <c r="Y135" i="10" s="1"/>
  <c r="Z135" i="10" s="1"/>
  <c r="H137" i="10"/>
  <c r="J137" i="10" s="1"/>
  <c r="I137" i="10"/>
  <c r="J5" i="7"/>
  <c r="N5" i="7" s="1"/>
  <c r="H9" i="8"/>
  <c r="F11" i="8"/>
  <c r="C15" i="9" s="1"/>
  <c r="S11" i="7"/>
  <c r="N11" i="8" s="1"/>
  <c r="H18" i="12"/>
  <c r="Z52" i="10"/>
  <c r="L21" i="4"/>
  <c r="D47" i="6"/>
  <c r="P21" i="2"/>
  <c r="B62" i="9"/>
  <c r="P75" i="10"/>
  <c r="Q75" i="10" s="1"/>
  <c r="R75" i="10" s="1"/>
  <c r="G9" i="2"/>
  <c r="E58" i="9"/>
  <c r="K25" i="2"/>
  <c r="Z37" i="10"/>
  <c r="K14" i="11" s="1"/>
  <c r="B7" i="12"/>
  <c r="Z6" i="10"/>
  <c r="I216" i="10"/>
  <c r="H216" i="10"/>
  <c r="J216" i="10" s="1"/>
  <c r="J244" i="10"/>
  <c r="P244" i="10" s="1"/>
  <c r="Q244" i="10" s="1"/>
  <c r="R244" i="10" s="1"/>
  <c r="N244" i="10"/>
  <c r="X196" i="10"/>
  <c r="Y196" i="10" s="1"/>
  <c r="Z196" i="10" s="1"/>
  <c r="P163" i="10"/>
  <c r="Q163" i="10" s="1"/>
  <c r="R163" i="10" s="1"/>
  <c r="O163" i="10"/>
  <c r="K28" i="12"/>
  <c r="T25" i="10"/>
  <c r="I188" i="10"/>
  <c r="O188" i="10" s="1"/>
  <c r="H188" i="10"/>
  <c r="J188" i="10" s="1"/>
  <c r="N154" i="10"/>
  <c r="P154" i="10" s="1"/>
  <c r="Q154" i="10" s="1"/>
  <c r="R154" i="10" s="1"/>
  <c r="S29" i="10"/>
  <c r="P29" i="10"/>
  <c r="Q29" i="10" s="1"/>
  <c r="X29" i="10"/>
  <c r="Y29" i="10" s="1"/>
  <c r="U29" i="10"/>
  <c r="AA29" i="10"/>
  <c r="R9" i="10"/>
  <c r="N229" i="10"/>
  <c r="P229" i="10"/>
  <c r="Q229" i="10" s="1"/>
  <c r="R229" i="10" s="1"/>
  <c r="O229" i="10"/>
  <c r="S229" i="10"/>
  <c r="T229" i="10" s="1"/>
  <c r="X229" i="10"/>
  <c r="Y229" i="10" s="1"/>
  <c r="Z229" i="10" s="1"/>
  <c r="U229" i="10"/>
  <c r="V229" i="10" s="1"/>
  <c r="AA229" i="10"/>
  <c r="AB229" i="10" s="1"/>
  <c r="I201" i="10"/>
  <c r="O201" i="10" s="1"/>
  <c r="J201" i="10"/>
  <c r="H201" i="10"/>
  <c r="H25" i="4"/>
  <c r="O25" i="2"/>
  <c r="C51" i="6"/>
  <c r="X89" i="10"/>
  <c r="Y89" i="10" s="1"/>
  <c r="Z89" i="10" s="1"/>
  <c r="U89" i="10"/>
  <c r="S89" i="10"/>
  <c r="AA89" i="10"/>
  <c r="AB89" i="10" s="1"/>
  <c r="P89" i="10"/>
  <c r="Q89" i="10" s="1"/>
  <c r="R89" i="10" s="1"/>
  <c r="K19" i="2"/>
  <c r="I19" i="2"/>
  <c r="E21" i="8"/>
  <c r="B47" i="9" s="1"/>
  <c r="R21" i="7"/>
  <c r="M21" i="8" s="1"/>
  <c r="D33" i="9"/>
  <c r="G4" i="8"/>
  <c r="D8" i="9" s="1"/>
  <c r="F4" i="8"/>
  <c r="C8" i="9" s="1"/>
  <c r="AB4" i="8"/>
  <c r="M4" i="8"/>
  <c r="B25" i="9" s="1"/>
  <c r="H4" i="8"/>
  <c r="E4" i="8"/>
  <c r="B8" i="9" s="1"/>
  <c r="X4" i="8"/>
  <c r="P25" i="4"/>
  <c r="R25" i="4" s="1"/>
  <c r="S25" i="4" s="1"/>
  <c r="Q25" i="2"/>
  <c r="J173" i="10"/>
  <c r="N173" i="10"/>
  <c r="N243" i="10"/>
  <c r="J243" i="10"/>
  <c r="P243" i="10" s="1"/>
  <c r="Q243" i="10" s="1"/>
  <c r="R243" i="10" s="1"/>
  <c r="Q11" i="4"/>
  <c r="Q11" i="3"/>
  <c r="N226" i="10"/>
  <c r="I225" i="10"/>
  <c r="O225" i="10" s="1"/>
  <c r="H225" i="10"/>
  <c r="N225" i="10" s="1"/>
  <c r="J225" i="10"/>
  <c r="AA109" i="10"/>
  <c r="AB109" i="10" s="1"/>
  <c r="P137" i="10"/>
  <c r="Q137" i="10" s="1"/>
  <c r="R137" i="10" s="1"/>
  <c r="AA137" i="10"/>
  <c r="X137" i="10"/>
  <c r="Y137" i="10" s="1"/>
  <c r="S137" i="10"/>
  <c r="T137" i="10" s="1"/>
  <c r="U137" i="10"/>
  <c r="O137" i="10"/>
  <c r="H139" i="10"/>
  <c r="I139" i="10"/>
  <c r="R18" i="10"/>
  <c r="AB17" i="10"/>
  <c r="I89" i="10"/>
  <c r="O89" i="10" s="1"/>
  <c r="H89" i="10"/>
  <c r="N89" i="10" s="1"/>
  <c r="J197" i="10"/>
  <c r="I197" i="10"/>
  <c r="O197" i="10" s="1"/>
  <c r="H197" i="10"/>
  <c r="S201" i="10"/>
  <c r="T201" i="10" s="1"/>
  <c r="X201" i="10"/>
  <c r="Y201" i="10" s="1"/>
  <c r="Z201" i="10" s="1"/>
  <c r="AA201" i="10"/>
  <c r="AB201" i="10" s="1"/>
  <c r="N201" i="10"/>
  <c r="U201" i="10"/>
  <c r="V201" i="10" s="1"/>
  <c r="P201" i="10"/>
  <c r="Q201" i="10" s="1"/>
  <c r="R201" i="10" s="1"/>
  <c r="X116" i="10"/>
  <c r="Y116" i="10" s="1"/>
  <c r="Z116" i="10" s="1"/>
  <c r="I121" i="10"/>
  <c r="O121" i="10" s="1"/>
  <c r="H121" i="10"/>
  <c r="J121" i="10" s="1"/>
  <c r="Z88" i="10"/>
  <c r="H6" i="8"/>
  <c r="G6" i="8"/>
  <c r="D10" i="9" s="1"/>
  <c r="X6" i="8"/>
  <c r="AB6" i="8"/>
  <c r="P6" i="8"/>
  <c r="M6" i="8"/>
  <c r="B27" i="9" s="1"/>
  <c r="N6" i="8"/>
  <c r="C27" i="9" s="1"/>
  <c r="F6" i="8"/>
  <c r="C10" i="9" s="1"/>
  <c r="O6" i="8"/>
  <c r="D27" i="9" s="1"/>
  <c r="E6" i="8"/>
  <c r="B10" i="9" s="1"/>
  <c r="S197" i="10"/>
  <c r="T197" i="10" s="1"/>
  <c r="N197" i="10"/>
  <c r="U197" i="10"/>
  <c r="V197" i="10" s="1"/>
  <c r="X197" i="10"/>
  <c r="Y197" i="10" s="1"/>
  <c r="Z197" i="10" s="1"/>
  <c r="P197" i="10"/>
  <c r="Q197" i="10" s="1"/>
  <c r="R197" i="10" s="1"/>
  <c r="AA197" i="10"/>
  <c r="AB197" i="10" s="1"/>
  <c r="I239" i="10"/>
  <c r="O239" i="10" s="1"/>
  <c r="H239" i="10"/>
  <c r="N187" i="10"/>
  <c r="P187" i="10" s="1"/>
  <c r="Q187" i="10" s="1"/>
  <c r="R187" i="10" s="1"/>
  <c r="J187" i="10"/>
  <c r="N115" i="10"/>
  <c r="P115" i="10" s="1"/>
  <c r="Q115" i="10" s="1"/>
  <c r="R115" i="10" s="1"/>
  <c r="J182" i="10"/>
  <c r="S212" i="10"/>
  <c r="T212" i="10" s="1"/>
  <c r="X212" i="10"/>
  <c r="Y212" i="10" s="1"/>
  <c r="Z212" i="10" s="1"/>
  <c r="AA212" i="10" s="1"/>
  <c r="AB212" i="10" s="1"/>
  <c r="O212" i="10"/>
  <c r="N212" i="10"/>
  <c r="S121" i="10"/>
  <c r="T121" i="10" s="1"/>
  <c r="N121" i="10"/>
  <c r="AA121" i="10"/>
  <c r="AB121" i="10" s="1"/>
  <c r="X121" i="10"/>
  <c r="Y121" i="10" s="1"/>
  <c r="Z121" i="10" s="1"/>
  <c r="U121" i="10"/>
  <c r="V121" i="10" s="1"/>
  <c r="P121" i="10"/>
  <c r="Q121" i="10" s="1"/>
  <c r="R121" i="10" s="1"/>
  <c r="P50" i="10"/>
  <c r="Q50" i="10" s="1"/>
  <c r="E9" i="8"/>
  <c r="B13" i="9" s="1"/>
  <c r="P16" i="8"/>
  <c r="E59" i="9" s="1"/>
  <c r="H16" i="8"/>
  <c r="E42" i="9" s="1"/>
  <c r="AA69" i="10"/>
  <c r="AB69" i="10" s="1"/>
  <c r="X69" i="10"/>
  <c r="Y69" i="10" s="1"/>
  <c r="Z69" i="10" s="1"/>
  <c r="S69" i="10"/>
  <c r="T69" i="10" s="1"/>
  <c r="P69" i="10"/>
  <c r="Q69" i="10" s="1"/>
  <c r="R69" i="10" s="1"/>
  <c r="U69" i="10"/>
  <c r="V69" i="10" s="1"/>
  <c r="D35" i="6"/>
  <c r="P58" i="10"/>
  <c r="Q58" i="10" s="1"/>
  <c r="R58" i="10" s="1"/>
  <c r="N4" i="8"/>
  <c r="C25" i="9" s="1"/>
  <c r="M17" i="7"/>
  <c r="Q17" i="7" s="1"/>
  <c r="U17" i="7" s="1"/>
  <c r="Z30" i="10"/>
  <c r="J246" i="10"/>
  <c r="I246" i="10"/>
  <c r="O246" i="10" s="1"/>
  <c r="H246" i="10"/>
  <c r="G114" i="10"/>
  <c r="X114" i="10"/>
  <c r="Y114" i="10" s="1"/>
  <c r="Z114" i="10" s="1"/>
  <c r="O18" i="10"/>
  <c r="X239" i="10"/>
  <c r="Y239" i="10" s="1"/>
  <c r="Z239" i="10" s="1"/>
  <c r="S211" i="10"/>
  <c r="T211" i="10" s="1"/>
  <c r="AA211" i="10" s="1"/>
  <c r="AB211" i="10" s="1"/>
  <c r="O168" i="10"/>
  <c r="X168" i="10"/>
  <c r="Y168" i="10" s="1"/>
  <c r="Z168" i="10" s="1"/>
  <c r="N92" i="10"/>
  <c r="P92" i="10" s="1"/>
  <c r="Q92" i="10" s="1"/>
  <c r="R92" i="10" s="1"/>
  <c r="I148" i="10"/>
  <c r="O148" i="10" s="1"/>
  <c r="H148" i="10"/>
  <c r="N148" i="10" s="1"/>
  <c r="J148" i="10"/>
  <c r="X74" i="10"/>
  <c r="Y74" i="10" s="1"/>
  <c r="Z74" i="10" s="1"/>
  <c r="B10" i="12"/>
  <c r="Z18" i="10"/>
  <c r="I113" i="10"/>
  <c r="O113" i="10" s="1"/>
  <c r="H113" i="10"/>
  <c r="J113" i="10" s="1"/>
  <c r="L8" i="8"/>
  <c r="E24" i="8"/>
  <c r="B50" i="9" s="1"/>
  <c r="H69" i="10"/>
  <c r="N69" i="10" s="1"/>
  <c r="I69" i="10"/>
  <c r="O69" i="10" s="1"/>
  <c r="T17" i="8"/>
  <c r="I60" i="9" s="1"/>
  <c r="L17" i="8"/>
  <c r="I43" i="9" s="1"/>
  <c r="R11" i="7"/>
  <c r="M11" i="8" s="1"/>
  <c r="E11" i="8"/>
  <c r="B15" i="9" s="1"/>
  <c r="S216" i="10"/>
  <c r="T216" i="10" s="1"/>
  <c r="N216" i="10"/>
  <c r="X216" i="10"/>
  <c r="Y216" i="10" s="1"/>
  <c r="Z216" i="10" s="1"/>
  <c r="AA216" i="10" s="1"/>
  <c r="AB216" i="10" s="1"/>
  <c r="F9" i="8"/>
  <c r="C13" i="9" s="1"/>
  <c r="P248" i="10"/>
  <c r="Q248" i="10" s="1"/>
  <c r="R248" i="10" s="1"/>
  <c r="I242" i="10"/>
  <c r="H242" i="10"/>
  <c r="J242" i="10" s="1"/>
  <c r="Z32" i="10"/>
  <c r="P186" i="10"/>
  <c r="Q186" i="10" s="1"/>
  <c r="R186" i="10" s="1"/>
  <c r="H71" i="10"/>
  <c r="J71" i="10"/>
  <c r="I71" i="10"/>
  <c r="O71" i="10" s="1"/>
  <c r="P259" i="10"/>
  <c r="Q259" i="10" s="1"/>
  <c r="R259" i="10" s="1"/>
  <c r="P182" i="10"/>
  <c r="Q182" i="10" s="1"/>
  <c r="R182" i="10" s="1"/>
  <c r="P232" i="10"/>
  <c r="Q232" i="10" s="1"/>
  <c r="R232" i="10" s="1"/>
  <c r="P160" i="10"/>
  <c r="Q160" i="10" s="1"/>
  <c r="R160" i="10" s="1"/>
  <c r="U160" i="10" s="1"/>
  <c r="V160" i="10" s="1"/>
  <c r="P8" i="10"/>
  <c r="Q8" i="10" s="1"/>
  <c r="P101" i="10"/>
  <c r="Q101" i="10" s="1"/>
  <c r="R101" i="10" s="1"/>
  <c r="S101" i="10"/>
  <c r="T101" i="10" s="1"/>
  <c r="AA101" i="10"/>
  <c r="X101" i="10"/>
  <c r="Y101" i="10" s="1"/>
  <c r="Z101" i="10" s="1"/>
  <c r="U101" i="10"/>
  <c r="B23" i="9"/>
  <c r="L49" i="11"/>
  <c r="V41" i="10"/>
  <c r="L49" i="12" s="1"/>
  <c r="E26" i="8"/>
  <c r="B52" i="9" s="1"/>
  <c r="X26" i="8"/>
  <c r="N26" i="8"/>
  <c r="C69" i="9" s="1"/>
  <c r="P26" i="8"/>
  <c r="F26" i="8"/>
  <c r="C52" i="9" s="1"/>
  <c r="O26" i="8"/>
  <c r="D69" i="9" s="1"/>
  <c r="M26" i="8"/>
  <c r="B69" i="9" s="1"/>
  <c r="E7" i="8"/>
  <c r="B11" i="9" s="1"/>
  <c r="P4" i="8"/>
  <c r="J252" i="10"/>
  <c r="P252" i="10" s="1"/>
  <c r="Q252" i="10" s="1"/>
  <c r="R252" i="10" s="1"/>
  <c r="I252" i="10"/>
  <c r="H252" i="10"/>
  <c r="N155" i="10"/>
  <c r="P155" i="10" s="1"/>
  <c r="Q155" i="10" s="1"/>
  <c r="R155" i="10" s="1"/>
  <c r="O211" i="10"/>
  <c r="P211" i="10" s="1"/>
  <c r="Q211" i="10" s="1"/>
  <c r="R211" i="10" s="1"/>
  <c r="U211" i="10" s="1"/>
  <c r="V211" i="10" s="1"/>
  <c r="X221" i="10"/>
  <c r="Y221" i="10" s="1"/>
  <c r="Z221" i="10" s="1"/>
  <c r="O221" i="10"/>
  <c r="N221" i="10"/>
  <c r="P221" i="10" s="1"/>
  <c r="Q221" i="10" s="1"/>
  <c r="R221" i="10" s="1"/>
  <c r="U221" i="10" s="1"/>
  <c r="V221" i="10" s="1"/>
  <c r="S221" i="10"/>
  <c r="T221" i="10" s="1"/>
  <c r="AA221" i="10" s="1"/>
  <c r="AB221" i="10" s="1"/>
  <c r="P165" i="10"/>
  <c r="Q165" i="10" s="1"/>
  <c r="R165" i="10" s="1"/>
  <c r="U165" i="10" s="1"/>
  <c r="V165" i="10" s="1"/>
  <c r="N165" i="10"/>
  <c r="J165" i="10"/>
  <c r="X148" i="10"/>
  <c r="Y148" i="10" s="1"/>
  <c r="Z148" i="10" s="1"/>
  <c r="N51" i="10"/>
  <c r="P51" i="10"/>
  <c r="Q51" i="10" s="1"/>
  <c r="J51" i="10"/>
  <c r="N255" i="10"/>
  <c r="P255" i="10" s="1"/>
  <c r="Q255" i="10" s="1"/>
  <c r="R255" i="10" s="1"/>
  <c r="G192" i="10"/>
  <c r="X192" i="10"/>
  <c r="Y192" i="10" s="1"/>
  <c r="Z192" i="10" s="1"/>
  <c r="J73" i="10"/>
  <c r="J153" i="10"/>
  <c r="P86" i="10"/>
  <c r="Q86" i="10" s="1"/>
  <c r="R86" i="10" s="1"/>
  <c r="N86" i="10"/>
  <c r="J2" i="10"/>
  <c r="H2" i="10"/>
  <c r="P2" i="10" s="1"/>
  <c r="Q2" i="10" s="1"/>
  <c r="I2" i="10"/>
  <c r="X71" i="10"/>
  <c r="Y71" i="10" s="1"/>
  <c r="Z71" i="10" s="1"/>
  <c r="G27" i="10"/>
  <c r="X27" i="10"/>
  <c r="Y27" i="10" s="1"/>
  <c r="L14" i="12"/>
  <c r="R37" i="10"/>
  <c r="L14" i="11" s="1"/>
  <c r="J81" i="10"/>
  <c r="I81" i="10"/>
  <c r="O81" i="10" s="1"/>
  <c r="H81" i="10"/>
  <c r="N81" i="10" s="1"/>
  <c r="C70" i="9"/>
  <c r="P123" i="10"/>
  <c r="Q123" i="10" s="1"/>
  <c r="R123" i="10" s="1"/>
  <c r="S3" i="10"/>
  <c r="P3" i="10"/>
  <c r="Q3" i="10" s="1"/>
  <c r="O3" i="10"/>
  <c r="X3" i="10"/>
  <c r="Y3" i="10" s="1"/>
  <c r="N3" i="10"/>
  <c r="Q26" i="3"/>
  <c r="Q26" i="4"/>
  <c r="K20" i="7"/>
  <c r="O20" i="7" s="1"/>
  <c r="Z44" i="10"/>
  <c r="H6" i="3"/>
  <c r="F6" i="3"/>
  <c r="J23" i="7"/>
  <c r="N23" i="7" s="1"/>
  <c r="K9" i="2"/>
  <c r="B28" i="6"/>
  <c r="L26" i="4"/>
  <c r="D52" i="6"/>
  <c r="P26" i="2"/>
  <c r="C14" i="6"/>
  <c r="O10" i="2"/>
  <c r="H10" i="4"/>
  <c r="K15" i="12"/>
  <c r="M15" i="12" s="1"/>
  <c r="Z41" i="10"/>
  <c r="K15" i="11" s="1"/>
  <c r="M15" i="11" s="1"/>
  <c r="D27" i="4"/>
  <c r="D13" i="5"/>
  <c r="B53" i="6"/>
  <c r="N27" i="2"/>
  <c r="G22" i="2"/>
  <c r="P147" i="10"/>
  <c r="Q147" i="10" s="1"/>
  <c r="R147" i="10" s="1"/>
  <c r="N147" i="10"/>
  <c r="I9" i="2"/>
  <c r="D60" i="6"/>
  <c r="P26" i="4"/>
  <c r="R26" i="4" s="1"/>
  <c r="S26" i="4" s="1"/>
  <c r="Q26" i="2"/>
  <c r="B14" i="6"/>
  <c r="D10" i="4"/>
  <c r="N10" i="2"/>
  <c r="AB21" i="10"/>
  <c r="P19" i="10"/>
  <c r="Q19" i="10" s="1"/>
  <c r="K48" i="11"/>
  <c r="AB37" i="10"/>
  <c r="K48" i="12" s="1"/>
  <c r="L16" i="7"/>
  <c r="P16" i="7" s="1"/>
  <c r="T16" i="7" s="1"/>
  <c r="O16" i="8" s="1"/>
  <c r="N26" i="10"/>
  <c r="O26" i="10"/>
  <c r="X26" i="10"/>
  <c r="Y26" i="10" s="1"/>
  <c r="K26" i="12"/>
  <c r="T17" i="10"/>
  <c r="AB41" i="10"/>
  <c r="K33" i="12"/>
  <c r="T45" i="10"/>
  <c r="L21" i="8"/>
  <c r="Q20" i="3"/>
  <c r="Q20" i="4"/>
  <c r="H18" i="3"/>
  <c r="F18" i="3"/>
  <c r="E18" i="11"/>
  <c r="P9" i="4"/>
  <c r="R9" i="4" s="1"/>
  <c r="S9" i="4" s="1"/>
  <c r="Q9" i="2"/>
  <c r="D14" i="6"/>
  <c r="P10" i="2"/>
  <c r="L10" i="4"/>
  <c r="C29" i="6"/>
  <c r="I119" i="10"/>
  <c r="H119" i="10"/>
  <c r="J119" i="10" s="1"/>
  <c r="P22" i="8"/>
  <c r="AB22" i="8"/>
  <c r="X22" i="8"/>
  <c r="O22" i="8"/>
  <c r="D65" i="9" s="1"/>
  <c r="N22" i="8"/>
  <c r="C65" i="9" s="1"/>
  <c r="M22" i="8"/>
  <c r="B65" i="9" s="1"/>
  <c r="G22" i="8"/>
  <c r="D48" i="9" s="1"/>
  <c r="F22" i="8"/>
  <c r="C48" i="9" s="1"/>
  <c r="E22" i="8"/>
  <c r="B48" i="9" s="1"/>
  <c r="H22" i="8"/>
  <c r="R17" i="10"/>
  <c r="L50" i="11"/>
  <c r="V45" i="10"/>
  <c r="G6" i="3"/>
  <c r="I22" i="2"/>
  <c r="B44" i="6"/>
  <c r="N18" i="2"/>
  <c r="D18" i="4"/>
  <c r="H7" i="8"/>
  <c r="P10" i="4"/>
  <c r="R10" i="4" s="1"/>
  <c r="S10" i="4" s="1"/>
  <c r="Q10" i="2"/>
  <c r="O207" i="10"/>
  <c r="X207" i="10"/>
  <c r="Y207" i="10" s="1"/>
  <c r="Z207" i="10" s="1"/>
  <c r="N252" i="10"/>
  <c r="O252" i="10"/>
  <c r="X252" i="10"/>
  <c r="Y252" i="10" s="1"/>
  <c r="Z252" i="10" s="1"/>
  <c r="J131" i="10"/>
  <c r="H131" i="10"/>
  <c r="I131" i="10"/>
  <c r="I212" i="10"/>
  <c r="J212" i="10"/>
  <c r="P212" i="10" s="1"/>
  <c r="Q212" i="10" s="1"/>
  <c r="R212" i="10" s="1"/>
  <c r="U212" i="10" s="1"/>
  <c r="V212" i="10" s="1"/>
  <c r="H212" i="10"/>
  <c r="P31" i="10"/>
  <c r="Q31" i="10" s="1"/>
  <c r="O10" i="8"/>
  <c r="D31" i="9" s="1"/>
  <c r="E23" i="9"/>
  <c r="H17" i="8"/>
  <c r="E43" i="9" s="1"/>
  <c r="G17" i="8"/>
  <c r="D43" i="9" s="1"/>
  <c r="P17" i="8"/>
  <c r="E60" i="9" s="1"/>
  <c r="O17" i="8"/>
  <c r="D60" i="9" s="1"/>
  <c r="N17" i="8"/>
  <c r="C60" i="9" s="1"/>
  <c r="F17" i="8"/>
  <c r="C43" i="9" s="1"/>
  <c r="M17" i="8"/>
  <c r="B60" i="9" s="1"/>
  <c r="I162" i="10"/>
  <c r="O162" i="10" s="1"/>
  <c r="H162" i="10"/>
  <c r="N218" i="10"/>
  <c r="O218" i="10"/>
  <c r="X218" i="10"/>
  <c r="Y218" i="10" s="1"/>
  <c r="Z218" i="10" s="1"/>
  <c r="P161" i="10"/>
  <c r="Q161" i="10" s="1"/>
  <c r="R161" i="10" s="1"/>
  <c r="U161" i="10" s="1"/>
  <c r="V161" i="10" s="1"/>
  <c r="P200" i="10"/>
  <c r="Q200" i="10" s="1"/>
  <c r="R200" i="10" s="1"/>
  <c r="O200" i="10"/>
  <c r="N200" i="10"/>
  <c r="X200" i="10"/>
  <c r="Y200" i="10" s="1"/>
  <c r="Z200" i="10" s="1"/>
  <c r="P195" i="10"/>
  <c r="Q195" i="10" s="1"/>
  <c r="R195" i="10" s="1"/>
  <c r="N195" i="10"/>
  <c r="I168" i="10"/>
  <c r="H168" i="10"/>
  <c r="J168" i="10" s="1"/>
  <c r="O131" i="10"/>
  <c r="N131" i="10"/>
  <c r="P131" i="10" s="1"/>
  <c r="Q131" i="10" s="1"/>
  <c r="R131" i="10" s="1"/>
  <c r="X131" i="10"/>
  <c r="Y131" i="10" s="1"/>
  <c r="Z131" i="10" s="1"/>
  <c r="O119" i="10"/>
  <c r="N119" i="10"/>
  <c r="P119" i="10" s="1"/>
  <c r="Q119" i="10" s="1"/>
  <c r="R119" i="10" s="1"/>
  <c r="X119" i="10"/>
  <c r="Y119" i="10" s="1"/>
  <c r="Z119" i="10" s="1"/>
  <c r="J29" i="10"/>
  <c r="I29" i="10"/>
  <c r="O29" i="10" s="1"/>
  <c r="H29" i="10"/>
  <c r="N29" i="10" s="1"/>
  <c r="V21" i="10"/>
  <c r="I13" i="10"/>
  <c r="O13" i="10" s="1"/>
  <c r="H13" i="10"/>
  <c r="N13" i="10" s="1"/>
  <c r="N19" i="10"/>
  <c r="V17" i="10"/>
  <c r="L15" i="12"/>
  <c r="R41" i="10"/>
  <c r="L15" i="11" s="1"/>
  <c r="K50" i="11"/>
  <c r="M50" i="11" s="1"/>
  <c r="AB45" i="10"/>
  <c r="K50" i="12" s="1"/>
  <c r="G21" i="8"/>
  <c r="D47" i="9" s="1"/>
  <c r="O21" i="8"/>
  <c r="P18" i="4"/>
  <c r="R18" i="4" s="1"/>
  <c r="S18" i="4" s="1"/>
  <c r="Q18" i="2"/>
  <c r="I18" i="2"/>
  <c r="J48" i="10"/>
  <c r="T7" i="8"/>
  <c r="I14" i="10"/>
  <c r="O14" i="10" s="1"/>
  <c r="H14" i="10"/>
  <c r="J14" i="10" s="1"/>
  <c r="C49" i="6"/>
  <c r="H23" i="4"/>
  <c r="O23" i="2"/>
  <c r="K24" i="7"/>
  <c r="O24" i="7" s="1"/>
  <c r="P108" i="10"/>
  <c r="Q108" i="10" s="1"/>
  <c r="R108" i="10" s="1"/>
  <c r="U108" i="10" s="1"/>
  <c r="V108" i="10" s="1"/>
  <c r="J108" i="10"/>
  <c r="N20" i="10"/>
  <c r="P20" i="10" s="1"/>
  <c r="Q20" i="10" s="1"/>
  <c r="L32" i="12"/>
  <c r="K32" i="12"/>
  <c r="M32" i="12" s="1"/>
  <c r="T41" i="10"/>
  <c r="C42" i="6"/>
  <c r="O16" i="2"/>
  <c r="H16" i="4"/>
  <c r="P18" i="2"/>
  <c r="D44" i="6"/>
  <c r="L18" i="4"/>
  <c r="I42" i="10"/>
  <c r="H42" i="10"/>
  <c r="N42" i="10" s="1"/>
  <c r="P42" i="10" s="1"/>
  <c r="Q42" i="10" s="1"/>
  <c r="J42" i="10"/>
  <c r="X14" i="10"/>
  <c r="Y14" i="10" s="1"/>
  <c r="I74" i="10"/>
  <c r="O74" i="10" s="1"/>
  <c r="H74" i="10"/>
  <c r="J74" i="10" s="1"/>
  <c r="I101" i="10"/>
  <c r="O101" i="10" s="1"/>
  <c r="H101" i="10"/>
  <c r="N101" i="10" s="1"/>
  <c r="E10" i="12"/>
  <c r="Z19" i="10"/>
  <c r="M10" i="8"/>
  <c r="B31" i="9" s="1"/>
  <c r="R6" i="10"/>
  <c r="B16" i="6"/>
  <c r="D12" i="4"/>
  <c r="N12" i="2"/>
  <c r="N16" i="2"/>
  <c r="B42" i="6"/>
  <c r="D16" i="4"/>
  <c r="I61" i="10"/>
  <c r="H61" i="10"/>
  <c r="J61" i="10" s="1"/>
  <c r="N7" i="8"/>
  <c r="G7" i="8"/>
  <c r="D11" i="9" s="1"/>
  <c r="O42" i="10"/>
  <c r="X42" i="10"/>
  <c r="Y42" i="10" s="1"/>
  <c r="I42" i="6"/>
  <c r="Q16" i="4"/>
  <c r="Q16" i="3"/>
  <c r="L16" i="12"/>
  <c r="R45" i="10"/>
  <c r="L16" i="11" s="1"/>
  <c r="H12" i="4"/>
  <c r="C16" i="6"/>
  <c r="O12" i="2"/>
  <c r="S158" i="10"/>
  <c r="T158" i="10" s="1"/>
  <c r="AA158" i="10" s="1"/>
  <c r="AB158" i="10" s="1"/>
  <c r="E15" i="4"/>
  <c r="F41" i="6"/>
  <c r="I15" i="8"/>
  <c r="F41" i="9" s="1"/>
  <c r="N15" i="3"/>
  <c r="J16" i="3"/>
  <c r="O61" i="10"/>
  <c r="AA61" i="10"/>
  <c r="AB61" i="10" s="1"/>
  <c r="S61" i="10"/>
  <c r="T61" i="10" s="1"/>
  <c r="N61" i="10"/>
  <c r="P61" i="10" s="1"/>
  <c r="Q61" i="10" s="1"/>
  <c r="X61" i="10"/>
  <c r="Y61" i="10" s="1"/>
  <c r="Z61" i="10" s="1"/>
  <c r="X106" i="10"/>
  <c r="Y106" i="10" s="1"/>
  <c r="Z106" i="10" s="1"/>
  <c r="AA106" i="10" s="1"/>
  <c r="AB106" i="10" s="1"/>
  <c r="X7" i="8"/>
  <c r="C35" i="6"/>
  <c r="Z45" i="10"/>
  <c r="K16" i="11" s="1"/>
  <c r="L12" i="4"/>
  <c r="D16" i="6"/>
  <c r="P12" i="2"/>
  <c r="M15" i="8"/>
  <c r="B58" i="9" s="1"/>
  <c r="F7" i="8"/>
  <c r="C11" i="9" s="1"/>
  <c r="C34" i="6"/>
  <c r="AB7" i="8"/>
  <c r="C26" i="6"/>
  <c r="H236" i="10"/>
  <c r="J236" i="10" s="1"/>
  <c r="I236" i="10"/>
  <c r="O236" i="10" s="1"/>
  <c r="H202" i="10"/>
  <c r="I202" i="10"/>
  <c r="J202" i="10"/>
  <c r="N2" i="10"/>
  <c r="S2" i="10"/>
  <c r="X2" i="10"/>
  <c r="Y2" i="10" s="1"/>
  <c r="O2" i="10"/>
  <c r="L18" i="12"/>
  <c r="R53" i="10"/>
  <c r="L18" i="11" s="1"/>
  <c r="K18" i="11"/>
  <c r="M18" i="11" s="1"/>
  <c r="C60" i="6"/>
  <c r="N10" i="10"/>
  <c r="P10" i="10" s="1"/>
  <c r="Q10" i="10" s="1"/>
  <c r="G25" i="2"/>
  <c r="K16" i="2"/>
  <c r="P12" i="4"/>
  <c r="R12" i="4" s="1"/>
  <c r="S12" i="4" s="1"/>
  <c r="Q12" i="2"/>
  <c r="X139" i="10"/>
  <c r="Y139" i="10" s="1"/>
  <c r="Z139" i="10" s="1"/>
  <c r="O139" i="10"/>
  <c r="I184" i="10"/>
  <c r="O184" i="10" s="1"/>
  <c r="H184" i="10"/>
  <c r="I245" i="10"/>
  <c r="O245" i="10" s="1"/>
  <c r="H245" i="10"/>
  <c r="N245" i="10" s="1"/>
  <c r="O202" i="10"/>
  <c r="X202" i="10"/>
  <c r="Y202" i="10" s="1"/>
  <c r="Z202" i="10" s="1"/>
  <c r="N202" i="10"/>
  <c r="P202" i="10" s="1"/>
  <c r="Q202" i="10" s="1"/>
  <c r="U177" i="10"/>
  <c r="V177" i="10" s="1"/>
  <c r="P177" i="10"/>
  <c r="Q177" i="10" s="1"/>
  <c r="R177" i="10" s="1"/>
  <c r="L10" i="11" s="1"/>
  <c r="O177" i="10"/>
  <c r="N177" i="10"/>
  <c r="X177" i="10"/>
  <c r="Y177" i="10" s="1"/>
  <c r="Z177" i="10" s="1"/>
  <c r="AA177" i="10"/>
  <c r="AB177" i="10" s="1"/>
  <c r="S177" i="10"/>
  <c r="T177" i="10" s="1"/>
  <c r="N151" i="10"/>
  <c r="P151" i="10" s="1"/>
  <c r="Q151" i="10" s="1"/>
  <c r="R151" i="10" s="1"/>
  <c r="I83" i="10"/>
  <c r="O83" i="10" s="1"/>
  <c r="H83" i="10"/>
  <c r="P234" i="10"/>
  <c r="Q234" i="10" s="1"/>
  <c r="R234" i="10" s="1"/>
  <c r="N94" i="10"/>
  <c r="P94" i="10" s="1"/>
  <c r="Q94" i="10" s="1"/>
  <c r="R94" i="10" s="1"/>
  <c r="G23" i="8"/>
  <c r="D49" i="9" s="1"/>
  <c r="AB23" i="8"/>
  <c r="N23" i="8"/>
  <c r="C66" i="9" s="1"/>
  <c r="H23" i="8"/>
  <c r="X23" i="8"/>
  <c r="F23" i="8"/>
  <c r="C49" i="9" s="1"/>
  <c r="N10" i="8"/>
  <c r="C31" i="9" s="1"/>
  <c r="L52" i="11"/>
  <c r="V53" i="10"/>
  <c r="L52" i="12" s="1"/>
  <c r="I52" i="10"/>
  <c r="O52" i="10" s="1"/>
  <c r="H52" i="10"/>
  <c r="G25" i="8"/>
  <c r="D51" i="9" s="1"/>
  <c r="O25" i="8"/>
  <c r="M25" i="8"/>
  <c r="B68" i="9" s="1"/>
  <c r="AB25" i="8"/>
  <c r="X25" i="8"/>
  <c r="P25" i="8"/>
  <c r="N25" i="8"/>
  <c r="F25" i="8"/>
  <c r="C51" i="9" s="1"/>
  <c r="E25" i="8"/>
  <c r="B51" i="9" s="1"/>
  <c r="X21" i="8"/>
  <c r="K18" i="12"/>
  <c r="M18" i="12" s="1"/>
  <c r="P48" i="10"/>
  <c r="Q48" i="10" s="1"/>
  <c r="O7" i="8"/>
  <c r="D28" i="9" s="1"/>
  <c r="F12" i="8"/>
  <c r="C16" i="9" s="1"/>
  <c r="H41" i="6"/>
  <c r="K15" i="8"/>
  <c r="H41" i="9" s="1"/>
  <c r="P15" i="3"/>
  <c r="M15" i="4"/>
  <c r="L16" i="3"/>
  <c r="D49" i="6"/>
  <c r="L23" i="4"/>
  <c r="P23" i="2"/>
  <c r="H17" i="3"/>
  <c r="F17" i="3"/>
  <c r="B24" i="6"/>
  <c r="H214" i="10"/>
  <c r="J214" i="10"/>
  <c r="I214" i="10"/>
  <c r="O214" i="10" s="1"/>
  <c r="J215" i="10"/>
  <c r="P215" i="10" s="1"/>
  <c r="Q215" i="10" s="1"/>
  <c r="R215" i="10" s="1"/>
  <c r="J176" i="10"/>
  <c r="I176" i="10"/>
  <c r="O176" i="10" s="1"/>
  <c r="H176" i="10"/>
  <c r="X83" i="10"/>
  <c r="Y83" i="10" s="1"/>
  <c r="Z83" i="10" s="1"/>
  <c r="J111" i="10"/>
  <c r="I111" i="10"/>
  <c r="O111" i="10" s="1"/>
  <c r="H111" i="10"/>
  <c r="J234" i="10"/>
  <c r="J94" i="10"/>
  <c r="L35" i="11"/>
  <c r="K35" i="11"/>
  <c r="M35" i="11" s="1"/>
  <c r="J46" i="10"/>
  <c r="F3" i="3"/>
  <c r="I3" i="3"/>
  <c r="M3" i="3" s="1"/>
  <c r="H3" i="3"/>
  <c r="L3" i="3" s="1"/>
  <c r="Q8" i="4"/>
  <c r="Q8" i="3"/>
  <c r="I41" i="6"/>
  <c r="Q15" i="3"/>
  <c r="Q15" i="4"/>
  <c r="G19" i="2"/>
  <c r="D67" i="6"/>
  <c r="G17" i="3"/>
  <c r="G134" i="10"/>
  <c r="X134" i="10"/>
  <c r="Y134" i="10" s="1"/>
  <c r="Z134" i="10" s="1"/>
  <c r="E16" i="12"/>
  <c r="Z43" i="10"/>
  <c r="K35" i="12"/>
  <c r="M35" i="12" s="1"/>
  <c r="J40" i="10"/>
  <c r="I40" i="10"/>
  <c r="O40" i="10" s="1"/>
  <c r="H40" i="10"/>
  <c r="Z17" i="10"/>
  <c r="I23" i="10"/>
  <c r="H23" i="10"/>
  <c r="J23" i="10" s="1"/>
  <c r="Q14" i="4"/>
  <c r="Q14" i="3"/>
  <c r="K22" i="2"/>
  <c r="X11" i="10"/>
  <c r="Y11" i="10" s="1"/>
  <c r="N11" i="10"/>
  <c r="X28" i="10"/>
  <c r="Y28" i="10" s="1"/>
  <c r="R5" i="10"/>
  <c r="H11" i="11"/>
  <c r="S169" i="10"/>
  <c r="T169" i="10" s="1"/>
  <c r="AA169" i="10" s="1"/>
  <c r="AB169" i="10" s="1"/>
  <c r="I43" i="6"/>
  <c r="Q17" i="4"/>
  <c r="Q17" i="3"/>
  <c r="I60" i="6" s="1"/>
  <c r="D20" i="4"/>
  <c r="B46" i="6"/>
  <c r="N20" i="2"/>
  <c r="N140" i="10"/>
  <c r="P140" i="10" s="1"/>
  <c r="Q140" i="10" s="1"/>
  <c r="R140" i="10" s="1"/>
  <c r="N240" i="10"/>
  <c r="X240" i="10"/>
  <c r="Y240" i="10" s="1"/>
  <c r="Z240" i="10" s="1"/>
  <c r="P180" i="10"/>
  <c r="Q180" i="10" s="1"/>
  <c r="R180" i="10" s="1"/>
  <c r="X180" i="10"/>
  <c r="Y180" i="10" s="1"/>
  <c r="Z180" i="10" s="1"/>
  <c r="N180" i="10"/>
  <c r="J140" i="10"/>
  <c r="I144" i="10"/>
  <c r="O144" i="10" s="1"/>
  <c r="H144" i="10"/>
  <c r="J144" i="10"/>
  <c r="X96" i="10"/>
  <c r="Y96" i="10" s="1"/>
  <c r="Z96" i="10" s="1"/>
  <c r="P80" i="10"/>
  <c r="Q80" i="10" s="1"/>
  <c r="R80" i="10" s="1"/>
  <c r="P36" i="10"/>
  <c r="Q36" i="10" s="1"/>
  <c r="P24" i="10"/>
  <c r="Q24" i="10" s="1"/>
  <c r="H106" i="10"/>
  <c r="J106" i="10"/>
  <c r="I106" i="10"/>
  <c r="O106" i="10" s="1"/>
  <c r="L5" i="7"/>
  <c r="P5" i="7" s="1"/>
  <c r="H63" i="10"/>
  <c r="N63" i="10" s="1"/>
  <c r="I63" i="10"/>
  <c r="J87" i="10"/>
  <c r="I87" i="10"/>
  <c r="O87" i="10" s="1"/>
  <c r="H87" i="10"/>
  <c r="L35" i="12"/>
  <c r="L24" i="7"/>
  <c r="P24" i="7" s="1"/>
  <c r="D62" i="9"/>
  <c r="I27" i="2"/>
  <c r="K27" i="2"/>
  <c r="H10" i="8"/>
  <c r="G10" i="8"/>
  <c r="D14" i="9" s="1"/>
  <c r="X10" i="8"/>
  <c r="O23" i="10"/>
  <c r="N23" i="10"/>
  <c r="P23" i="10" s="1"/>
  <c r="Q23" i="10" s="1"/>
  <c r="X23" i="10"/>
  <c r="Y23" i="10" s="1"/>
  <c r="B67" i="6"/>
  <c r="E7" i="6"/>
  <c r="P3" i="4"/>
  <c r="Q3" i="2"/>
  <c r="E24" i="6" s="1"/>
  <c r="J11" i="10"/>
  <c r="I11" i="10"/>
  <c r="O11" i="10" s="1"/>
  <c r="H11" i="10"/>
  <c r="H17" i="12"/>
  <c r="Z48" i="10"/>
  <c r="B49" i="6"/>
  <c r="D23" i="4"/>
  <c r="N23" i="2"/>
  <c r="B35" i="6"/>
  <c r="C63" i="6"/>
  <c r="D34" i="6"/>
  <c r="E9" i="12"/>
  <c r="Z15" i="10"/>
  <c r="X228" i="10"/>
  <c r="Y228" i="10" s="1"/>
  <c r="O228" i="10"/>
  <c r="N228" i="10"/>
  <c r="P228" i="10"/>
  <c r="Q228" i="10" s="1"/>
  <c r="R228" i="10" s="1"/>
  <c r="L30" i="12"/>
  <c r="T33" i="10"/>
  <c r="H15" i="8"/>
  <c r="E41" i="9" s="1"/>
  <c r="I120" i="10"/>
  <c r="H120" i="10"/>
  <c r="J120" i="10" s="1"/>
  <c r="H7" i="11"/>
  <c r="F27" i="8"/>
  <c r="C53" i="9" s="1"/>
  <c r="D7" i="6"/>
  <c r="L3" i="4"/>
  <c r="P3" i="2"/>
  <c r="F21" i="8"/>
  <c r="C47" i="9" s="1"/>
  <c r="C32" i="6"/>
  <c r="K6" i="12"/>
  <c r="Z5" i="10"/>
  <c r="D15" i="4"/>
  <c r="B41" i="6"/>
  <c r="N15" i="2"/>
  <c r="B17" i="6"/>
  <c r="N13" i="2"/>
  <c r="D13" i="4"/>
  <c r="I96" i="10"/>
  <c r="O96" i="10" s="1"/>
  <c r="H96" i="10"/>
  <c r="J96" i="10"/>
  <c r="T49" i="10"/>
  <c r="X184" i="10"/>
  <c r="Y184" i="10" s="1"/>
  <c r="Z184" i="10" s="1"/>
  <c r="X181" i="10"/>
  <c r="Y181" i="10" s="1"/>
  <c r="S181" i="10"/>
  <c r="T181" i="10" s="1"/>
  <c r="O181" i="10"/>
  <c r="N181" i="10"/>
  <c r="U181" i="10"/>
  <c r="V181" i="10" s="1"/>
  <c r="L45" i="12" s="1"/>
  <c r="P181" i="10"/>
  <c r="Q181" i="10" s="1"/>
  <c r="R181" i="10" s="1"/>
  <c r="AA181" i="10"/>
  <c r="J178" i="10"/>
  <c r="I178" i="10"/>
  <c r="P178" i="10" s="1"/>
  <c r="Q178" i="10" s="1"/>
  <c r="R178" i="10" s="1"/>
  <c r="H178" i="10"/>
  <c r="H240" i="10"/>
  <c r="J240" i="10" s="1"/>
  <c r="I240" i="10"/>
  <c r="O240" i="10" s="1"/>
  <c r="I180" i="10"/>
  <c r="O180" i="10" s="1"/>
  <c r="H180" i="10"/>
  <c r="J180" i="10" s="1"/>
  <c r="N130" i="10"/>
  <c r="P130" i="10" s="1"/>
  <c r="Q130" i="10" s="1"/>
  <c r="R130" i="10" s="1"/>
  <c r="H132" i="10"/>
  <c r="I132" i="10"/>
  <c r="O132" i="10" s="1"/>
  <c r="P122" i="10"/>
  <c r="Q122" i="10" s="1"/>
  <c r="R122" i="10" s="1"/>
  <c r="I28" i="10"/>
  <c r="O28" i="10" s="1"/>
  <c r="H28" i="10"/>
  <c r="J28" i="10"/>
  <c r="P60" i="10"/>
  <c r="Q60" i="10" s="1"/>
  <c r="R60" i="10" s="1"/>
  <c r="O63" i="10"/>
  <c r="X63" i="10"/>
  <c r="Y63" i="10" s="1"/>
  <c r="Z63" i="10" s="1"/>
  <c r="X111" i="10"/>
  <c r="Y111" i="10" s="1"/>
  <c r="X236" i="10"/>
  <c r="Y236" i="10" s="1"/>
  <c r="Z236" i="10" s="1"/>
  <c r="I181" i="10"/>
  <c r="H181" i="10"/>
  <c r="J181" i="10" s="1"/>
  <c r="N178" i="10"/>
  <c r="X178" i="10"/>
  <c r="Y178" i="10" s="1"/>
  <c r="Z178" i="10" s="1"/>
  <c r="O178" i="10"/>
  <c r="N136" i="10"/>
  <c r="P136" i="10" s="1"/>
  <c r="Q136" i="10" s="1"/>
  <c r="J130" i="10"/>
  <c r="X144" i="10"/>
  <c r="Y144" i="10" s="1"/>
  <c r="Z144" i="10" s="1"/>
  <c r="J60" i="10"/>
  <c r="N213" i="10"/>
  <c r="P213" i="10" s="1"/>
  <c r="Q213" i="10" s="1"/>
  <c r="Z31" i="10"/>
  <c r="I79" i="10"/>
  <c r="O79" i="10" s="1"/>
  <c r="H79" i="10"/>
  <c r="J79" i="10" s="1"/>
  <c r="J27" i="7"/>
  <c r="N27" i="7" s="1"/>
  <c r="Z50" i="10"/>
  <c r="O120" i="10"/>
  <c r="N120" i="10"/>
  <c r="P120" i="10" s="1"/>
  <c r="Q120" i="10" s="1"/>
  <c r="X120" i="10"/>
  <c r="Y120" i="10" s="1"/>
  <c r="E10" i="8"/>
  <c r="B14" i="9" s="1"/>
  <c r="G21" i="2"/>
  <c r="G27" i="8"/>
  <c r="D53" i="9" s="1"/>
  <c r="AB21" i="8"/>
  <c r="L20" i="7"/>
  <c r="P20" i="7" s="1"/>
  <c r="G12" i="8"/>
  <c r="D16" i="9" s="1"/>
  <c r="H25" i="8"/>
  <c r="C41" i="6"/>
  <c r="H15" i="4"/>
  <c r="O15" i="2"/>
  <c r="N102" i="10"/>
  <c r="X102" i="10"/>
  <c r="Y102" i="10" s="1"/>
  <c r="Z102" i="10" s="1"/>
  <c r="N91" i="10"/>
  <c r="P91" i="10" s="1"/>
  <c r="Q91" i="10" s="1"/>
  <c r="R91" i="10" s="1"/>
  <c r="G238" i="10"/>
  <c r="X238" i="10"/>
  <c r="Y238" i="10" s="1"/>
  <c r="Z238" i="10" s="1"/>
  <c r="P206" i="10"/>
  <c r="Q206" i="10" s="1"/>
  <c r="R206" i="10" s="1"/>
  <c r="P138" i="10"/>
  <c r="Q138" i="10" s="1"/>
  <c r="R138" i="10" s="1"/>
  <c r="H128" i="10"/>
  <c r="I128" i="10"/>
  <c r="O128" i="10" s="1"/>
  <c r="X132" i="10"/>
  <c r="Y132" i="10" s="1"/>
  <c r="Z132" i="10" s="1"/>
  <c r="R49" i="10"/>
  <c r="K17" i="12"/>
  <c r="Z49" i="10"/>
  <c r="K17" i="11" s="1"/>
  <c r="N31" i="10"/>
  <c r="P67" i="10"/>
  <c r="Q67" i="10" s="1"/>
  <c r="R67" i="10" s="1"/>
  <c r="L13" i="12"/>
  <c r="R33" i="10"/>
  <c r="L13" i="11" s="1"/>
  <c r="G15" i="8"/>
  <c r="D41" i="9" s="1"/>
  <c r="P3" i="8"/>
  <c r="E24" i="9" s="1"/>
  <c r="O3" i="8"/>
  <c r="N3" i="8"/>
  <c r="M3" i="8"/>
  <c r="B24" i="9" s="1"/>
  <c r="G3" i="8"/>
  <c r="D7" i="9" s="1"/>
  <c r="F3" i="8"/>
  <c r="C7" i="9" s="1"/>
  <c r="E3" i="8"/>
  <c r="B7" i="9" s="1"/>
  <c r="I21" i="2"/>
  <c r="I2" i="8"/>
  <c r="F6" i="9" s="1"/>
  <c r="N2" i="3"/>
  <c r="F6" i="6"/>
  <c r="E2" i="4"/>
  <c r="J3" i="3"/>
  <c r="T20" i="8"/>
  <c r="X20" i="8"/>
  <c r="Z10" i="10"/>
  <c r="L15" i="4"/>
  <c r="D41" i="6"/>
  <c r="P15" i="2"/>
  <c r="D32" i="6"/>
  <c r="P22" i="10"/>
  <c r="Q22" i="10" s="1"/>
  <c r="B59" i="9" l="1"/>
  <c r="R120" i="10"/>
  <c r="I9" i="12"/>
  <c r="F17" i="12"/>
  <c r="R47" i="10"/>
  <c r="R42" i="10"/>
  <c r="R61" i="10"/>
  <c r="U61" i="10" s="1"/>
  <c r="V61" i="10" s="1"/>
  <c r="H7" i="6"/>
  <c r="K3" i="8"/>
  <c r="H7" i="9" s="1"/>
  <c r="P3" i="3"/>
  <c r="N3" i="4" s="1"/>
  <c r="S8" i="10"/>
  <c r="L4" i="3"/>
  <c r="M3" i="4"/>
  <c r="S60" i="10"/>
  <c r="T60" i="10" s="1"/>
  <c r="AA60" i="10" s="1"/>
  <c r="AB60" i="10" s="1"/>
  <c r="S112" i="10"/>
  <c r="T112" i="10" s="1"/>
  <c r="R202" i="10"/>
  <c r="C17" i="12"/>
  <c r="R2" i="10"/>
  <c r="R10" i="10"/>
  <c r="R213" i="10"/>
  <c r="U213" i="10" s="1"/>
  <c r="V213" i="10" s="1"/>
  <c r="L6" i="12"/>
  <c r="R20" i="10"/>
  <c r="F11" i="12"/>
  <c r="R23" i="10"/>
  <c r="D59" i="9"/>
  <c r="R136" i="10"/>
  <c r="I13" i="12"/>
  <c r="D64" i="9"/>
  <c r="N28" i="10"/>
  <c r="P28" i="10"/>
  <c r="Q28" i="10" s="1"/>
  <c r="N207" i="10"/>
  <c r="H16" i="12"/>
  <c r="R8" i="10"/>
  <c r="N74" i="10"/>
  <c r="P74" i="10" s="1"/>
  <c r="Q74" i="10" s="1"/>
  <c r="AB137" i="10"/>
  <c r="K47" i="12" s="1"/>
  <c r="K47" i="11"/>
  <c r="N128" i="10"/>
  <c r="P128" i="10" s="1"/>
  <c r="Q128" i="10" s="1"/>
  <c r="T20" i="7"/>
  <c r="O20" i="8" s="1"/>
  <c r="G20" i="8"/>
  <c r="D46" i="9" s="1"/>
  <c r="R3" i="4"/>
  <c r="O18" i="2"/>
  <c r="C44" i="6"/>
  <c r="H18" i="4"/>
  <c r="B12" i="12"/>
  <c r="Z26" i="10"/>
  <c r="J128" i="10"/>
  <c r="P63" i="10"/>
  <c r="Q63" i="10" s="1"/>
  <c r="R63" i="10" s="1"/>
  <c r="AB181" i="10"/>
  <c r="K45" i="12" s="1"/>
  <c r="M45" i="12" s="1"/>
  <c r="K45" i="11"/>
  <c r="Z228" i="10"/>
  <c r="H10" i="12"/>
  <c r="K9" i="12"/>
  <c r="M9" i="12" s="1"/>
  <c r="S9" i="10"/>
  <c r="I7" i="6"/>
  <c r="Q3" i="3"/>
  <c r="Q3" i="4"/>
  <c r="L3" i="8"/>
  <c r="I7" i="9" s="1"/>
  <c r="S113" i="10"/>
  <c r="T113" i="10" s="1"/>
  <c r="AA113" i="10" s="1"/>
  <c r="AB113" i="10" s="1"/>
  <c r="D61" i="6"/>
  <c r="L9" i="12"/>
  <c r="N22" i="2"/>
  <c r="D22" i="4"/>
  <c r="B48" i="6"/>
  <c r="E14" i="12"/>
  <c r="Z35" i="10"/>
  <c r="U158" i="10"/>
  <c r="V158" i="10" s="1"/>
  <c r="H100" i="10"/>
  <c r="I100" i="10"/>
  <c r="O100" i="10" s="1"/>
  <c r="R16" i="4"/>
  <c r="P250" i="10"/>
  <c r="Q250" i="10" s="1"/>
  <c r="R250" i="10" s="1"/>
  <c r="E13" i="12"/>
  <c r="K6" i="11"/>
  <c r="AA5" i="10"/>
  <c r="H27" i="10"/>
  <c r="J27" i="10" s="1"/>
  <c r="I27" i="10"/>
  <c r="O27" i="10" s="1"/>
  <c r="M6" i="12"/>
  <c r="K9" i="11"/>
  <c r="N236" i="10"/>
  <c r="P236" i="10"/>
  <c r="Q236" i="10" s="1"/>
  <c r="R236" i="10" s="1"/>
  <c r="L9" i="11"/>
  <c r="S20" i="7"/>
  <c r="N20" i="8" s="1"/>
  <c r="F20" i="8"/>
  <c r="C46" i="9" s="1"/>
  <c r="R22" i="10"/>
  <c r="J63" i="10"/>
  <c r="N40" i="10"/>
  <c r="P40" i="10" s="1"/>
  <c r="Q40" i="10" s="1"/>
  <c r="E10" i="11"/>
  <c r="X17" i="8"/>
  <c r="D31" i="6"/>
  <c r="P26" i="10"/>
  <c r="Q26" i="10" s="1"/>
  <c r="B70" i="6"/>
  <c r="R50" i="10"/>
  <c r="P35" i="10"/>
  <c r="Q35" i="10" s="1"/>
  <c r="P230" i="10"/>
  <c r="Q230" i="10" s="1"/>
  <c r="R230" i="10" s="1"/>
  <c r="N230" i="10"/>
  <c r="J65" i="10"/>
  <c r="D29" i="9"/>
  <c r="C24" i="9"/>
  <c r="P16" i="2"/>
  <c r="D42" i="6"/>
  <c r="L16" i="4"/>
  <c r="B32" i="9"/>
  <c r="I114" i="10"/>
  <c r="O114" i="10" s="1"/>
  <c r="H114" i="10"/>
  <c r="K28" i="11"/>
  <c r="M28" i="11" s="1"/>
  <c r="L28" i="11"/>
  <c r="N9" i="2"/>
  <c r="D9" i="4"/>
  <c r="B13" i="6"/>
  <c r="N30" i="10"/>
  <c r="P30" i="10"/>
  <c r="Q30" i="10" s="1"/>
  <c r="B15" i="11"/>
  <c r="C17" i="11"/>
  <c r="D24" i="6"/>
  <c r="E11" i="12"/>
  <c r="G11" i="12" s="1"/>
  <c r="Z23" i="10"/>
  <c r="T5" i="7"/>
  <c r="O5" i="8" s="1"/>
  <c r="G5" i="8"/>
  <c r="D9" i="9" s="1"/>
  <c r="P214" i="10"/>
  <c r="Q214" i="10" s="1"/>
  <c r="R214" i="10" s="1"/>
  <c r="N214" i="10"/>
  <c r="C68" i="9"/>
  <c r="N25" i="2"/>
  <c r="B51" i="6"/>
  <c r="D25" i="4"/>
  <c r="J101" i="10"/>
  <c r="P207" i="10"/>
  <c r="Q207" i="10" s="1"/>
  <c r="R207" i="10" s="1"/>
  <c r="L28" i="12"/>
  <c r="P135" i="10"/>
  <c r="Q135" i="10" s="1"/>
  <c r="R135" i="10" s="1"/>
  <c r="C25" i="6"/>
  <c r="E17" i="12"/>
  <c r="G17" i="12" s="1"/>
  <c r="Z47" i="10"/>
  <c r="J125" i="10"/>
  <c r="E15" i="12"/>
  <c r="Z39" i="10"/>
  <c r="C34" i="9"/>
  <c r="J159" i="10"/>
  <c r="D27" i="6"/>
  <c r="N196" i="10"/>
  <c r="P196" i="10"/>
  <c r="Q196" i="10" s="1"/>
  <c r="R196" i="10" s="1"/>
  <c r="E9" i="11"/>
  <c r="R3" i="10"/>
  <c r="G7" i="6"/>
  <c r="S59" i="10"/>
  <c r="T59" i="10" s="1"/>
  <c r="J3" i="8"/>
  <c r="G7" i="9" s="1"/>
  <c r="I3" i="4"/>
  <c r="K4" i="3"/>
  <c r="O3" i="3"/>
  <c r="S111" i="10"/>
  <c r="T111" i="10" s="1"/>
  <c r="S7" i="10"/>
  <c r="H6" i="11"/>
  <c r="AA56" i="10"/>
  <c r="AB56" i="10" s="1"/>
  <c r="C69" i="6"/>
  <c r="L27" i="11"/>
  <c r="K27" i="11"/>
  <c r="R39" i="10"/>
  <c r="R15" i="4"/>
  <c r="R24" i="10"/>
  <c r="R19" i="10"/>
  <c r="C31" i="6"/>
  <c r="E23" i="12"/>
  <c r="G23" i="12" s="1"/>
  <c r="F23" i="12"/>
  <c r="T3" i="10"/>
  <c r="H13" i="11"/>
  <c r="H14" i="12"/>
  <c r="K43" i="12"/>
  <c r="J35" i="10"/>
  <c r="B14" i="11"/>
  <c r="J135" i="10"/>
  <c r="L27" i="12"/>
  <c r="H78" i="10"/>
  <c r="I78" i="10"/>
  <c r="O78" i="10" s="1"/>
  <c r="J78" i="10"/>
  <c r="J241" i="10"/>
  <c r="B27" i="6"/>
  <c r="J196" i="10"/>
  <c r="B13" i="11"/>
  <c r="H13" i="12"/>
  <c r="K43" i="11"/>
  <c r="M43" i="11" s="1"/>
  <c r="B64" i="9"/>
  <c r="H18" i="11"/>
  <c r="N242" i="10"/>
  <c r="P242" i="10" s="1"/>
  <c r="Q242" i="10" s="1"/>
  <c r="N118" i="10"/>
  <c r="P118" i="10" s="1"/>
  <c r="Q118" i="10" s="1"/>
  <c r="R118" i="10" s="1"/>
  <c r="B14" i="12"/>
  <c r="K10" i="11"/>
  <c r="M10" i="11" s="1"/>
  <c r="I9" i="11"/>
  <c r="K27" i="12"/>
  <c r="M27" i="12" s="1"/>
  <c r="AA112" i="10"/>
  <c r="AB112" i="10" s="1"/>
  <c r="N116" i="10"/>
  <c r="P116" i="10" s="1"/>
  <c r="Q116" i="10" s="1"/>
  <c r="R116" i="10" s="1"/>
  <c r="I16" i="4"/>
  <c r="J16" i="8"/>
  <c r="G42" i="9" s="1"/>
  <c r="K17" i="3"/>
  <c r="G42" i="6"/>
  <c r="O16" i="3"/>
  <c r="S163" i="10"/>
  <c r="T163" i="10" s="1"/>
  <c r="AA163" i="10" s="1"/>
  <c r="AB163" i="10" s="1"/>
  <c r="S215" i="10"/>
  <c r="T215" i="10" s="1"/>
  <c r="AA215" i="10" s="1"/>
  <c r="AB215" i="10" s="1"/>
  <c r="J117" i="10"/>
  <c r="J89" i="10"/>
  <c r="S162" i="10"/>
  <c r="T162" i="10" s="1"/>
  <c r="AA162" i="10" s="1"/>
  <c r="AB162" i="10" s="1"/>
  <c r="I16" i="8"/>
  <c r="F42" i="9" s="1"/>
  <c r="J17" i="3"/>
  <c r="N16" i="3"/>
  <c r="F42" i="6"/>
  <c r="E16" i="4"/>
  <c r="S214" i="10"/>
  <c r="T214" i="10" s="1"/>
  <c r="AA214" i="10" s="1"/>
  <c r="AB214" i="10" s="1"/>
  <c r="C28" i="9"/>
  <c r="L34" i="12"/>
  <c r="B66" i="6"/>
  <c r="P240" i="10"/>
  <c r="Q240" i="10" s="1"/>
  <c r="R240" i="10" s="1"/>
  <c r="P11" i="10"/>
  <c r="Q11" i="10" s="1"/>
  <c r="N83" i="10"/>
  <c r="P83" i="10" s="1"/>
  <c r="Q83" i="10" s="1"/>
  <c r="J245" i="10"/>
  <c r="L43" i="12"/>
  <c r="K44" i="11"/>
  <c r="D69" i="6"/>
  <c r="L10" i="12"/>
  <c r="N168" i="10"/>
  <c r="P168" i="10" s="1"/>
  <c r="Q168" i="10" s="1"/>
  <c r="R168" i="10" s="1"/>
  <c r="U58" i="10"/>
  <c r="V58" i="10" s="1"/>
  <c r="C10" i="11"/>
  <c r="R2" i="8"/>
  <c r="G23" i="6"/>
  <c r="K10" i="12"/>
  <c r="M10" i="12" s="1"/>
  <c r="P247" i="10"/>
  <c r="Q247" i="10" s="1"/>
  <c r="R247" i="10" s="1"/>
  <c r="R15" i="8"/>
  <c r="G58" i="6"/>
  <c r="J16" i="4"/>
  <c r="C59" i="6"/>
  <c r="D66" i="6"/>
  <c r="K44" i="12"/>
  <c r="J192" i="10"/>
  <c r="I192" i="10"/>
  <c r="O192" i="10" s="1"/>
  <c r="H192" i="10"/>
  <c r="K42" i="11"/>
  <c r="AB13" i="10"/>
  <c r="K42" i="12" s="1"/>
  <c r="N71" i="10"/>
  <c r="P71" i="10" s="1"/>
  <c r="Q71" i="10" s="1"/>
  <c r="B25" i="6"/>
  <c r="H12" i="12"/>
  <c r="Z28" i="10"/>
  <c r="Q15" i="8"/>
  <c r="F58" i="6"/>
  <c r="F7" i="6"/>
  <c r="I3" i="8"/>
  <c r="F7" i="9" s="1"/>
  <c r="E3" i="4"/>
  <c r="J4" i="3"/>
  <c r="N3" i="3"/>
  <c r="S58" i="10"/>
  <c r="T58" i="10" s="1"/>
  <c r="AA58" i="10" s="1"/>
  <c r="AB58" i="10" s="1"/>
  <c r="S110" i="10"/>
  <c r="T110" i="10" s="1"/>
  <c r="S6" i="10"/>
  <c r="O102" i="10"/>
  <c r="L43" i="11"/>
  <c r="P162" i="10"/>
  <c r="Q162" i="10" s="1"/>
  <c r="N162" i="10"/>
  <c r="B31" i="6"/>
  <c r="C10" i="12"/>
  <c r="H14" i="11"/>
  <c r="N96" i="10"/>
  <c r="P96" i="10" s="1"/>
  <c r="Q96" i="10" s="1"/>
  <c r="E8" i="12"/>
  <c r="Z11" i="10"/>
  <c r="B45" i="6"/>
  <c r="D19" i="4"/>
  <c r="N19" i="2"/>
  <c r="K16" i="8"/>
  <c r="H42" i="9" s="1"/>
  <c r="L17" i="3"/>
  <c r="M16" i="4"/>
  <c r="H42" i="6"/>
  <c r="P16" i="3"/>
  <c r="S164" i="10"/>
  <c r="T164" i="10" s="1"/>
  <c r="AA164" i="10" s="1"/>
  <c r="AB164" i="10" s="1"/>
  <c r="N52" i="10"/>
  <c r="P52" i="10"/>
  <c r="Q52" i="10" s="1"/>
  <c r="J83" i="10"/>
  <c r="B6" i="12"/>
  <c r="Z2" i="10"/>
  <c r="B9" i="12"/>
  <c r="Z14" i="10"/>
  <c r="S24" i="7"/>
  <c r="N24" i="8" s="1"/>
  <c r="F24" i="8"/>
  <c r="C50" i="9" s="1"/>
  <c r="J162" i="10"/>
  <c r="K33" i="11"/>
  <c r="M33" i="11" s="1"/>
  <c r="L33" i="11"/>
  <c r="D45" i="6"/>
  <c r="P19" i="2"/>
  <c r="L19" i="4"/>
  <c r="F9" i="12"/>
  <c r="G9" i="12" s="1"/>
  <c r="H15" i="11"/>
  <c r="C26" i="9"/>
  <c r="P159" i="10"/>
  <c r="Q159" i="10" s="1"/>
  <c r="R159" i="10" s="1"/>
  <c r="U159" i="10" s="1"/>
  <c r="V159" i="10" s="1"/>
  <c r="D32" i="9"/>
  <c r="F16" i="12"/>
  <c r="G16" i="12" s="1"/>
  <c r="R43" i="10"/>
  <c r="L25" i="12"/>
  <c r="K25" i="12"/>
  <c r="M25" i="12" s="1"/>
  <c r="T13" i="10"/>
  <c r="B63" i="9"/>
  <c r="M50" i="12"/>
  <c r="E6" i="12"/>
  <c r="Z3" i="10"/>
  <c r="C27" i="6"/>
  <c r="J239" i="10"/>
  <c r="P239" i="10" s="1"/>
  <c r="Q239" i="10" s="1"/>
  <c r="R239" i="10" s="1"/>
  <c r="B8" i="12"/>
  <c r="N132" i="10"/>
  <c r="P132" i="10" s="1"/>
  <c r="Q132" i="10" s="1"/>
  <c r="R132" i="10" s="1"/>
  <c r="J132" i="10"/>
  <c r="N184" i="10"/>
  <c r="P184" i="10" s="1"/>
  <c r="Q184" i="10" s="1"/>
  <c r="R184" i="10" s="1"/>
  <c r="C32" i="9"/>
  <c r="H23" i="6"/>
  <c r="S2" i="8"/>
  <c r="F9" i="11"/>
  <c r="H11" i="12"/>
  <c r="L27" i="4"/>
  <c r="E13" i="5"/>
  <c r="D53" i="6"/>
  <c r="P27" i="2"/>
  <c r="J184" i="10"/>
  <c r="C66" i="6"/>
  <c r="E18" i="12"/>
  <c r="G18" i="12" s="1"/>
  <c r="F18" i="12"/>
  <c r="R51" i="10"/>
  <c r="V101" i="10"/>
  <c r="L51" i="12" s="1"/>
  <c r="L51" i="11"/>
  <c r="K46" i="11"/>
  <c r="AB29" i="10"/>
  <c r="K46" i="12" s="1"/>
  <c r="N246" i="10"/>
  <c r="P246" i="10" s="1"/>
  <c r="Q246" i="10" s="1"/>
  <c r="R246" i="10" s="1"/>
  <c r="L23" i="12"/>
  <c r="K23" i="12"/>
  <c r="M23" i="12" s="1"/>
  <c r="T5" i="10"/>
  <c r="H15" i="12"/>
  <c r="H258" i="10"/>
  <c r="I258" i="10"/>
  <c r="O258" i="10" s="1"/>
  <c r="I152" i="10"/>
  <c r="O152" i="10" s="1"/>
  <c r="H152" i="10"/>
  <c r="J152" i="10"/>
  <c r="B34" i="9"/>
  <c r="J183" i="10"/>
  <c r="I183" i="10"/>
  <c r="O183" i="10" s="1"/>
  <c r="H183" i="10"/>
  <c r="J170" i="10"/>
  <c r="M28" i="12"/>
  <c r="I238" i="10"/>
  <c r="O238" i="10" s="1"/>
  <c r="H238" i="10"/>
  <c r="J238" i="10" s="1"/>
  <c r="D64" i="6"/>
  <c r="M48" i="11"/>
  <c r="J69" i="10"/>
  <c r="L30" i="11"/>
  <c r="K30" i="11"/>
  <c r="M30" i="11" s="1"/>
  <c r="H17" i="11"/>
  <c r="C53" i="6"/>
  <c r="H27" i="4"/>
  <c r="O27" i="2"/>
  <c r="P22" i="2"/>
  <c r="D48" i="6"/>
  <c r="L22" i="4"/>
  <c r="I58" i="6"/>
  <c r="T15" i="8"/>
  <c r="N111" i="10"/>
  <c r="P111" i="10"/>
  <c r="Q111" i="10" s="1"/>
  <c r="S15" i="8"/>
  <c r="H58" i="6"/>
  <c r="J52" i="10"/>
  <c r="N139" i="10"/>
  <c r="P139" i="10" s="1"/>
  <c r="Q139" i="10" s="1"/>
  <c r="R139" i="10" s="1"/>
  <c r="D33" i="6"/>
  <c r="C33" i="6"/>
  <c r="N14" i="10"/>
  <c r="P14" i="10" s="1"/>
  <c r="Q14" i="10" s="1"/>
  <c r="L33" i="12"/>
  <c r="M33" i="12" s="1"/>
  <c r="B10" i="11"/>
  <c r="D10" i="11" s="1"/>
  <c r="J139" i="10"/>
  <c r="N142" i="10"/>
  <c r="P142" i="10" s="1"/>
  <c r="Q142" i="10" s="1"/>
  <c r="B11" i="11"/>
  <c r="K7" i="11"/>
  <c r="N198" i="10"/>
  <c r="P198" i="10"/>
  <c r="Q198" i="10" s="1"/>
  <c r="R198" i="10" s="1"/>
  <c r="H8" i="12"/>
  <c r="Z12" i="10"/>
  <c r="D6" i="6"/>
  <c r="L2" i="4"/>
  <c r="P2" i="2"/>
  <c r="L8" i="12"/>
  <c r="R13" i="10"/>
  <c r="L8" i="11" s="1"/>
  <c r="C29" i="9"/>
  <c r="B29" i="9"/>
  <c r="B47" i="6"/>
  <c r="D21" i="4"/>
  <c r="N21" i="2"/>
  <c r="D58" i="6"/>
  <c r="N15" i="4"/>
  <c r="B8" i="11"/>
  <c r="B13" i="12"/>
  <c r="K34" i="11"/>
  <c r="L34" i="11"/>
  <c r="R36" i="10"/>
  <c r="H134" i="10"/>
  <c r="J134" i="10" s="1"/>
  <c r="I134" i="10"/>
  <c r="O134" i="10" s="1"/>
  <c r="D68" i="9"/>
  <c r="L45" i="11"/>
  <c r="R31" i="10"/>
  <c r="N113" i="10"/>
  <c r="P113" i="10" s="1"/>
  <c r="Q113" i="10" s="1"/>
  <c r="C45" i="6"/>
  <c r="O19" i="2"/>
  <c r="H19" i="4"/>
  <c r="B18" i="11"/>
  <c r="Q2" i="8"/>
  <c r="F23" i="6"/>
  <c r="M17" i="11"/>
  <c r="B18" i="12"/>
  <c r="R17" i="4"/>
  <c r="R27" i="7"/>
  <c r="M27" i="8" s="1"/>
  <c r="E27" i="8"/>
  <c r="B53" i="9" s="1"/>
  <c r="B34" i="6"/>
  <c r="K30" i="12"/>
  <c r="M30" i="12" s="1"/>
  <c r="H7" i="12"/>
  <c r="B23" i="12"/>
  <c r="D23" i="12" s="1"/>
  <c r="C23" i="12"/>
  <c r="T2" i="10"/>
  <c r="B59" i="6"/>
  <c r="J13" i="10"/>
  <c r="B61" i="6"/>
  <c r="K49" i="12"/>
  <c r="M49" i="12" s="1"/>
  <c r="D13" i="6"/>
  <c r="L9" i="4"/>
  <c r="P9" i="2"/>
  <c r="P148" i="10"/>
  <c r="Q148" i="10" s="1"/>
  <c r="R148" i="10" s="1"/>
  <c r="AB101" i="10"/>
  <c r="K51" i="12" s="1"/>
  <c r="M51" i="12" s="1"/>
  <c r="K51" i="11"/>
  <c r="M51" i="11" s="1"/>
  <c r="O216" i="10"/>
  <c r="P216" i="10" s="1"/>
  <c r="Q216" i="10" s="1"/>
  <c r="R216" i="10" s="1"/>
  <c r="U216" i="10" s="1"/>
  <c r="V216" i="10" s="1"/>
  <c r="D10" i="12"/>
  <c r="N137" i="10"/>
  <c r="R5" i="7"/>
  <c r="M5" i="8" s="1"/>
  <c r="E5" i="8"/>
  <c r="B9" i="9" s="1"/>
  <c r="B11" i="12"/>
  <c r="K7" i="12"/>
  <c r="T2" i="8"/>
  <c r="I23" i="6"/>
  <c r="H23" i="12"/>
  <c r="J23" i="12" s="1"/>
  <c r="I23" i="12"/>
  <c r="T4" i="10"/>
  <c r="J198" i="10"/>
  <c r="I12" i="10"/>
  <c r="O12" i="10" s="1"/>
  <c r="H12" i="10"/>
  <c r="J12" i="10" s="1"/>
  <c r="J49" i="10"/>
  <c r="B6" i="6"/>
  <c r="N2" i="2"/>
  <c r="D2" i="4"/>
  <c r="K8" i="12"/>
  <c r="M8" i="12" s="1"/>
  <c r="Z13" i="10"/>
  <c r="K8" i="11" s="1"/>
  <c r="M8" i="11" s="1"/>
  <c r="L11" i="12"/>
  <c r="U60" i="10"/>
  <c r="V60" i="10" s="1"/>
  <c r="L32" i="11"/>
  <c r="K32" i="11"/>
  <c r="M32" i="11" s="1"/>
  <c r="G16" i="8"/>
  <c r="D42" i="9" s="1"/>
  <c r="K34" i="12"/>
  <c r="L17" i="11"/>
  <c r="J15" i="4"/>
  <c r="C58" i="6"/>
  <c r="B33" i="6"/>
  <c r="L44" i="12"/>
  <c r="K49" i="11"/>
  <c r="M49" i="11" s="1"/>
  <c r="R23" i="7"/>
  <c r="M23" i="8" s="1"/>
  <c r="E23" i="8"/>
  <c r="B49" i="9" s="1"/>
  <c r="L46" i="11"/>
  <c r="V29" i="10"/>
  <c r="L46" i="12" s="1"/>
  <c r="B7" i="11"/>
  <c r="P2" i="4"/>
  <c r="E6" i="6"/>
  <c r="Q2" i="2"/>
  <c r="E23" i="6" s="1"/>
  <c r="B17" i="11"/>
  <c r="D17" i="11" s="1"/>
  <c r="L11" i="11"/>
  <c r="B16" i="12"/>
  <c r="Z42" i="10"/>
  <c r="Z120" i="10"/>
  <c r="H9" i="12"/>
  <c r="J9" i="12" s="1"/>
  <c r="E16" i="11"/>
  <c r="Z181" i="10"/>
  <c r="K11" i="11" s="1"/>
  <c r="M11" i="11" s="1"/>
  <c r="K11" i="12"/>
  <c r="L17" i="12"/>
  <c r="M17" i="12" s="1"/>
  <c r="N79" i="10"/>
  <c r="P79" i="10"/>
  <c r="Q79" i="10" s="1"/>
  <c r="R79" i="10" s="1"/>
  <c r="B58" i="6"/>
  <c r="F15" i="4"/>
  <c r="B63" i="6"/>
  <c r="C48" i="6"/>
  <c r="H22" i="4"/>
  <c r="O22" i="2"/>
  <c r="L26" i="11"/>
  <c r="K26" i="11"/>
  <c r="N239" i="10"/>
  <c r="V137" i="10"/>
  <c r="L47" i="12" s="1"/>
  <c r="L47" i="11"/>
  <c r="T89" i="10"/>
  <c r="L31" i="12"/>
  <c r="K31" i="12"/>
  <c r="M31" i="12" s="1"/>
  <c r="K12" i="12"/>
  <c r="M12" i="12" s="1"/>
  <c r="Z29" i="10"/>
  <c r="K12" i="11" s="1"/>
  <c r="M12" i="11" s="1"/>
  <c r="D34" i="9"/>
  <c r="I146" i="10"/>
  <c r="O146" i="10" s="1"/>
  <c r="H146" i="10"/>
  <c r="I143" i="10"/>
  <c r="O143" i="10" s="1"/>
  <c r="H143" i="10"/>
  <c r="J143" i="10" s="1"/>
  <c r="C6" i="6"/>
  <c r="H2" i="4"/>
  <c r="O2" i="2"/>
  <c r="B17" i="12"/>
  <c r="D17" i="12" s="1"/>
  <c r="V13" i="10"/>
  <c r="L42" i="12" s="1"/>
  <c r="M52" i="12"/>
  <c r="J105" i="10"/>
  <c r="N106" i="10"/>
  <c r="P106" i="10" s="1"/>
  <c r="Q106" i="10" s="1"/>
  <c r="C47" i="6"/>
  <c r="H21" i="4"/>
  <c r="O21" i="2"/>
  <c r="M16" i="11"/>
  <c r="N176" i="10"/>
  <c r="P176" i="10" s="1"/>
  <c r="Q176" i="10" s="1"/>
  <c r="C13" i="6"/>
  <c r="H9" i="4"/>
  <c r="O9" i="2"/>
  <c r="V89" i="10"/>
  <c r="L48" i="12" s="1"/>
  <c r="M48" i="12" s="1"/>
  <c r="L48" i="11"/>
  <c r="L12" i="12"/>
  <c r="R29" i="10"/>
  <c r="L12" i="11" s="1"/>
  <c r="M14" i="11"/>
  <c r="M52" i="11"/>
  <c r="D24" i="9"/>
  <c r="Z111" i="10"/>
  <c r="E7" i="12"/>
  <c r="T24" i="7"/>
  <c r="O24" i="8" s="1"/>
  <c r="G24" i="8"/>
  <c r="D50" i="9" s="1"/>
  <c r="L44" i="11"/>
  <c r="N144" i="10"/>
  <c r="P144" i="10" s="1"/>
  <c r="Q144" i="10" s="1"/>
  <c r="R144" i="10" s="1"/>
  <c r="K16" i="12"/>
  <c r="M16" i="12" s="1"/>
  <c r="E13" i="11"/>
  <c r="P87" i="10"/>
  <c r="Q87" i="10" s="1"/>
  <c r="R87" i="10" s="1"/>
  <c r="N87" i="10"/>
  <c r="R48" i="10"/>
  <c r="I59" i="6"/>
  <c r="T16" i="8"/>
  <c r="L50" i="12"/>
  <c r="L26" i="12"/>
  <c r="M26" i="12" s="1"/>
  <c r="H16" i="11"/>
  <c r="E12" i="12"/>
  <c r="Z27" i="10"/>
  <c r="Z137" i="10"/>
  <c r="K13" i="11" s="1"/>
  <c r="M13" i="11" s="1"/>
  <c r="K13" i="12"/>
  <c r="M13" i="12" s="1"/>
  <c r="L29" i="12"/>
  <c r="K29" i="12"/>
  <c r="M29" i="12" s="1"/>
  <c r="T29" i="10"/>
  <c r="K14" i="12"/>
  <c r="M14" i="12" s="1"/>
  <c r="N112" i="10"/>
  <c r="P112" i="10" s="1"/>
  <c r="Q112" i="10" s="1"/>
  <c r="I6" i="11"/>
  <c r="U4" i="10"/>
  <c r="P25" i="2"/>
  <c r="D51" i="6"/>
  <c r="L25" i="4"/>
  <c r="U169" i="10"/>
  <c r="V169" i="10" s="1"/>
  <c r="I6" i="12"/>
  <c r="J6" i="12" s="1"/>
  <c r="C68" i="6"/>
  <c r="N188" i="10"/>
  <c r="P188" i="10"/>
  <c r="Q188" i="10" s="1"/>
  <c r="R188" i="10" s="1"/>
  <c r="D25" i="6"/>
  <c r="N55" i="10"/>
  <c r="P55" i="10" s="1"/>
  <c r="Q55" i="10" s="1"/>
  <c r="B69" i="6"/>
  <c r="I15" i="12" l="1"/>
  <c r="R40" i="10"/>
  <c r="R113" i="10"/>
  <c r="U113" i="10" s="1"/>
  <c r="V113" i="10" s="1"/>
  <c r="L7" i="12"/>
  <c r="R128" i="10"/>
  <c r="I11" i="12"/>
  <c r="R71" i="10"/>
  <c r="F10" i="12"/>
  <c r="G10" i="12" s="1"/>
  <c r="O3" i="4"/>
  <c r="L24" i="6" s="1"/>
  <c r="L7" i="6"/>
  <c r="R106" i="10"/>
  <c r="U106" i="10" s="1"/>
  <c r="V106" i="10" s="1"/>
  <c r="C6" i="12"/>
  <c r="R112" i="10"/>
  <c r="U112" i="10" s="1"/>
  <c r="V112" i="10" s="1"/>
  <c r="I7" i="12"/>
  <c r="R96" i="10"/>
  <c r="I16" i="12"/>
  <c r="R74" i="10"/>
  <c r="C11" i="12"/>
  <c r="R83" i="10"/>
  <c r="F13" i="12"/>
  <c r="G13" i="12" s="1"/>
  <c r="R176" i="10"/>
  <c r="I10" i="12"/>
  <c r="C9" i="12"/>
  <c r="D9" i="12" s="1"/>
  <c r="R14" i="10"/>
  <c r="R142" i="10"/>
  <c r="C15" i="12"/>
  <c r="D15" i="12" s="1"/>
  <c r="R242" i="10"/>
  <c r="C14" i="12"/>
  <c r="R55" i="10"/>
  <c r="U55" i="10" s="1"/>
  <c r="V55" i="10" s="1"/>
  <c r="F6" i="12"/>
  <c r="S17" i="4"/>
  <c r="M60" i="6" s="1"/>
  <c r="M43" i="6"/>
  <c r="J15" i="12"/>
  <c r="G6" i="12"/>
  <c r="F10" i="11"/>
  <c r="D63" i="9"/>
  <c r="K40" i="11"/>
  <c r="AB5" i="10"/>
  <c r="K40" i="12" s="1"/>
  <c r="F2" i="4"/>
  <c r="B23" i="6"/>
  <c r="D30" i="6"/>
  <c r="H12" i="11"/>
  <c r="G23" i="9"/>
  <c r="V2" i="8"/>
  <c r="I11" i="11"/>
  <c r="J11" i="11" s="1"/>
  <c r="M47" i="11"/>
  <c r="G24" i="6"/>
  <c r="R3" i="8"/>
  <c r="J3" i="4"/>
  <c r="F11" i="11"/>
  <c r="M11" i="12"/>
  <c r="U3" i="10"/>
  <c r="I24" i="6"/>
  <c r="T3" i="8"/>
  <c r="M47" i="12"/>
  <c r="K23" i="11"/>
  <c r="L23" i="11"/>
  <c r="Q16" i="8"/>
  <c r="F59" i="6"/>
  <c r="M42" i="6"/>
  <c r="S16" i="4"/>
  <c r="M59" i="6" s="1"/>
  <c r="I10" i="11"/>
  <c r="M46" i="11"/>
  <c r="N17" i="3"/>
  <c r="F43" i="6"/>
  <c r="E17" i="4"/>
  <c r="I17" i="8"/>
  <c r="F43" i="9" s="1"/>
  <c r="J18" i="3"/>
  <c r="S166" i="10"/>
  <c r="T166" i="10" s="1"/>
  <c r="S218" i="10"/>
  <c r="T218" i="10" s="1"/>
  <c r="P78" i="10"/>
  <c r="Q78" i="10" s="1"/>
  <c r="R78" i="10" s="1"/>
  <c r="N78" i="10"/>
  <c r="M41" i="6"/>
  <c r="S15" i="4"/>
  <c r="M58" i="6" s="1"/>
  <c r="C11" i="11"/>
  <c r="L24" i="12"/>
  <c r="K24" i="12"/>
  <c r="M24" i="12" s="1"/>
  <c r="T9" i="10"/>
  <c r="I7" i="11"/>
  <c r="J7" i="11" s="1"/>
  <c r="E6" i="11"/>
  <c r="AA3" i="10"/>
  <c r="G9" i="11"/>
  <c r="N100" i="10"/>
  <c r="P100" i="10" s="1"/>
  <c r="Q100" i="10" s="1"/>
  <c r="D67" i="9"/>
  <c r="U59" i="10"/>
  <c r="V59" i="10" s="1"/>
  <c r="AA59" i="10"/>
  <c r="AB59" i="10" s="1"/>
  <c r="C6" i="11"/>
  <c r="U2" i="10"/>
  <c r="B9" i="11"/>
  <c r="R30" i="10"/>
  <c r="J100" i="10"/>
  <c r="J10" i="12"/>
  <c r="J16" i="12"/>
  <c r="L31" i="11"/>
  <c r="K31" i="11"/>
  <c r="M31" i="11" s="1"/>
  <c r="H9" i="11"/>
  <c r="J9" i="11" s="1"/>
  <c r="F16" i="11"/>
  <c r="L42" i="11"/>
  <c r="M42" i="11" s="1"/>
  <c r="D68" i="6"/>
  <c r="U164" i="10"/>
  <c r="V164" i="10" s="1"/>
  <c r="M42" i="12"/>
  <c r="H10" i="11"/>
  <c r="F17" i="11"/>
  <c r="B62" i="6"/>
  <c r="G58" i="9"/>
  <c r="V15" i="8"/>
  <c r="P134" i="10"/>
  <c r="Q134" i="10" s="1"/>
  <c r="R134" i="10" s="1"/>
  <c r="N134" i="10"/>
  <c r="M46" i="12"/>
  <c r="M34" i="11"/>
  <c r="H58" i="9"/>
  <c r="W15" i="8"/>
  <c r="L7" i="11"/>
  <c r="R111" i="10"/>
  <c r="F7" i="12"/>
  <c r="I40" i="11"/>
  <c r="V4" i="10"/>
  <c r="I40" i="12" s="1"/>
  <c r="J2" i="4"/>
  <c r="C23" i="6"/>
  <c r="B16" i="11"/>
  <c r="I23" i="11"/>
  <c r="H23" i="11"/>
  <c r="AA4" i="10"/>
  <c r="B6" i="11"/>
  <c r="D6" i="11" s="1"/>
  <c r="AA2" i="10"/>
  <c r="B68" i="6"/>
  <c r="C63" i="9"/>
  <c r="E14" i="11"/>
  <c r="M45" i="11"/>
  <c r="E12" i="11"/>
  <c r="N258" i="10"/>
  <c r="P258" i="10" s="1"/>
  <c r="Q258" i="10" s="1"/>
  <c r="G10" i="11"/>
  <c r="L25" i="11"/>
  <c r="K25" i="11"/>
  <c r="D14" i="12"/>
  <c r="M26" i="11"/>
  <c r="F16" i="4"/>
  <c r="C62" i="6"/>
  <c r="U163" i="10"/>
  <c r="V163" i="10" s="1"/>
  <c r="I58" i="9"/>
  <c r="X15" i="8"/>
  <c r="N183" i="10"/>
  <c r="P183" i="10" s="1"/>
  <c r="Q183" i="10" s="1"/>
  <c r="R183" i="10" s="1"/>
  <c r="F18" i="11"/>
  <c r="G18" i="11" s="1"/>
  <c r="D6" i="12"/>
  <c r="F14" i="12"/>
  <c r="G14" i="12" s="1"/>
  <c r="R35" i="10"/>
  <c r="I12" i="12"/>
  <c r="J12" i="12" s="1"/>
  <c r="R28" i="10"/>
  <c r="B70" i="9"/>
  <c r="J258" i="10"/>
  <c r="D62" i="6"/>
  <c r="AA111" i="10"/>
  <c r="AB111" i="10" s="1"/>
  <c r="E7" i="11"/>
  <c r="E8" i="11"/>
  <c r="F58" i="9"/>
  <c r="U15" i="8"/>
  <c r="H8" i="11"/>
  <c r="C67" i="9"/>
  <c r="K41" i="6"/>
  <c r="K15" i="4"/>
  <c r="K58" i="6" s="1"/>
  <c r="C23" i="11"/>
  <c r="B23" i="11"/>
  <c r="D23" i="11" s="1"/>
  <c r="L41" i="6"/>
  <c r="O15" i="4"/>
  <c r="L58" i="6" s="1"/>
  <c r="M7" i="11"/>
  <c r="R162" i="10"/>
  <c r="C7" i="12"/>
  <c r="D7" i="12" s="1"/>
  <c r="N192" i="10"/>
  <c r="P192" i="10"/>
  <c r="Q192" i="10" s="1"/>
  <c r="M44" i="11"/>
  <c r="M43" i="12"/>
  <c r="M27" i="11"/>
  <c r="B30" i="6"/>
  <c r="U63" i="10"/>
  <c r="V63" i="10" s="1"/>
  <c r="N146" i="10"/>
  <c r="P146" i="10" s="1"/>
  <c r="Q146" i="10" s="1"/>
  <c r="E17" i="11"/>
  <c r="M7" i="6"/>
  <c r="S3" i="4"/>
  <c r="M24" i="6" s="1"/>
  <c r="J11" i="12"/>
  <c r="N16" i="4"/>
  <c r="D59" i="6"/>
  <c r="N2" i="4"/>
  <c r="D23" i="6"/>
  <c r="H23" i="9"/>
  <c r="W2" i="8"/>
  <c r="N12" i="10"/>
  <c r="P12" i="10" s="1"/>
  <c r="Q12" i="10" s="1"/>
  <c r="C65" i="6"/>
  <c r="I18" i="12"/>
  <c r="J18" i="12" s="1"/>
  <c r="R52" i="10"/>
  <c r="E11" i="11"/>
  <c r="G11" i="11" s="1"/>
  <c r="G7" i="12"/>
  <c r="M34" i="12"/>
  <c r="I23" i="9"/>
  <c r="X2" i="8"/>
  <c r="D11" i="11"/>
  <c r="M9" i="11"/>
  <c r="U215" i="10"/>
  <c r="V215" i="10" s="1"/>
  <c r="H24" i="6"/>
  <c r="S3" i="8"/>
  <c r="G16" i="11"/>
  <c r="B66" i="9"/>
  <c r="F23" i="9"/>
  <c r="U2" i="8"/>
  <c r="I59" i="9"/>
  <c r="X16" i="8"/>
  <c r="M44" i="12"/>
  <c r="U214" i="10"/>
  <c r="V214" i="10" s="1"/>
  <c r="N114" i="10"/>
  <c r="P114" i="10" s="1"/>
  <c r="Q114" i="10" s="1"/>
  <c r="B12" i="11"/>
  <c r="I4" i="4"/>
  <c r="K5" i="3"/>
  <c r="J4" i="8"/>
  <c r="G8" i="9" s="1"/>
  <c r="O4" i="3"/>
  <c r="G8" i="6"/>
  <c r="S115" i="10"/>
  <c r="T115" i="10" s="1"/>
  <c r="S11" i="10"/>
  <c r="S63" i="10"/>
  <c r="T63" i="10" s="1"/>
  <c r="AA63" i="10" s="1"/>
  <c r="AB63" i="10" s="1"/>
  <c r="C24" i="12"/>
  <c r="B24" i="12"/>
  <c r="T6" i="10"/>
  <c r="D11" i="12"/>
  <c r="C70" i="6"/>
  <c r="H59" i="6"/>
  <c r="S16" i="8"/>
  <c r="U110" i="10"/>
  <c r="V110" i="10" s="1"/>
  <c r="AA110" i="10"/>
  <c r="AB110" i="10" s="1"/>
  <c r="R16" i="8"/>
  <c r="G59" i="6"/>
  <c r="U5" i="10"/>
  <c r="M60" i="9"/>
  <c r="AB17" i="8"/>
  <c r="M43" i="9" s="1"/>
  <c r="C64" i="6"/>
  <c r="N238" i="10"/>
  <c r="P238" i="10" s="1"/>
  <c r="Q238" i="10" s="1"/>
  <c r="M7" i="12"/>
  <c r="B64" i="6"/>
  <c r="N152" i="10"/>
  <c r="P152" i="10" s="1"/>
  <c r="Q152" i="10" s="1"/>
  <c r="R152" i="10" s="1"/>
  <c r="F8" i="12"/>
  <c r="G8" i="12" s="1"/>
  <c r="R11" i="10"/>
  <c r="J13" i="12"/>
  <c r="F23" i="11"/>
  <c r="E23" i="11"/>
  <c r="G23" i="11" s="1"/>
  <c r="J6" i="11"/>
  <c r="E15" i="11"/>
  <c r="L6" i="11"/>
  <c r="M6" i="11" s="1"/>
  <c r="J114" i="10"/>
  <c r="L29" i="11"/>
  <c r="K29" i="11"/>
  <c r="C30" i="6"/>
  <c r="N143" i="10"/>
  <c r="P143" i="10" s="1"/>
  <c r="Q143" i="10" s="1"/>
  <c r="J7" i="12"/>
  <c r="F13" i="11"/>
  <c r="G13" i="11" s="1"/>
  <c r="D65" i="6"/>
  <c r="I13" i="11"/>
  <c r="J13" i="11" s="1"/>
  <c r="R2" i="4"/>
  <c r="B26" i="9"/>
  <c r="Q3" i="8"/>
  <c r="F24" i="6"/>
  <c r="F3" i="4"/>
  <c r="G43" i="6"/>
  <c r="I17" i="4"/>
  <c r="J17" i="8"/>
  <c r="G43" i="9" s="1"/>
  <c r="K18" i="3"/>
  <c r="O17" i="3"/>
  <c r="S219" i="10"/>
  <c r="T219" i="10" s="1"/>
  <c r="S167" i="10"/>
  <c r="T167" i="10" s="1"/>
  <c r="F24" i="12"/>
  <c r="E24" i="12"/>
  <c r="G24" i="12" s="1"/>
  <c r="T7" i="10"/>
  <c r="C12" i="12"/>
  <c r="D12" i="12" s="1"/>
  <c r="R26" i="10"/>
  <c r="N27" i="10"/>
  <c r="P27" i="10"/>
  <c r="Q27" i="10" s="1"/>
  <c r="B65" i="6"/>
  <c r="S116" i="10"/>
  <c r="T116" i="10" s="1"/>
  <c r="AA116" i="10" s="1"/>
  <c r="AB116" i="10" s="1"/>
  <c r="M4" i="4"/>
  <c r="S12" i="10"/>
  <c r="K4" i="8"/>
  <c r="H8" i="9" s="1"/>
  <c r="L5" i="3"/>
  <c r="P4" i="3"/>
  <c r="H8" i="6"/>
  <c r="S64" i="10"/>
  <c r="T64" i="10" s="1"/>
  <c r="J146" i="10"/>
  <c r="G15" i="4"/>
  <c r="J58" i="6" s="1"/>
  <c r="J41" i="6"/>
  <c r="D70" i="6"/>
  <c r="K17" i="8"/>
  <c r="H43" i="9" s="1"/>
  <c r="H43" i="6"/>
  <c r="L18" i="3"/>
  <c r="M17" i="4"/>
  <c r="P17" i="3"/>
  <c r="S220" i="10"/>
  <c r="T220" i="10" s="1"/>
  <c r="S168" i="10"/>
  <c r="T168" i="10" s="1"/>
  <c r="AA168" i="10" s="1"/>
  <c r="AB168" i="10" s="1"/>
  <c r="S114" i="10"/>
  <c r="T114" i="10" s="1"/>
  <c r="AA114" i="10" s="1"/>
  <c r="AB114" i="10" s="1"/>
  <c r="J5" i="3"/>
  <c r="E4" i="4"/>
  <c r="I4" i="8"/>
  <c r="F8" i="9" s="1"/>
  <c r="N4" i="3"/>
  <c r="F8" i="6"/>
  <c r="S10" i="10"/>
  <c r="S62" i="10"/>
  <c r="T62" i="10" s="1"/>
  <c r="K42" i="6"/>
  <c r="K16" i="4"/>
  <c r="K59" i="6" s="1"/>
  <c r="D26" i="9"/>
  <c r="C61" i="6"/>
  <c r="I24" i="12"/>
  <c r="H24" i="12"/>
  <c r="J24" i="12" s="1"/>
  <c r="T8" i="10"/>
  <c r="U8" i="10" s="1"/>
  <c r="R146" i="10" l="1"/>
  <c r="C16" i="12"/>
  <c r="D16" i="12" s="1"/>
  <c r="I41" i="11"/>
  <c r="V8" i="10"/>
  <c r="I41" i="12" s="1"/>
  <c r="R258" i="10"/>
  <c r="C18" i="12"/>
  <c r="D18" i="12" s="1"/>
  <c r="R238" i="10"/>
  <c r="C13" i="12"/>
  <c r="D13" i="12" s="1"/>
  <c r="I8" i="12"/>
  <c r="J8" i="12" s="1"/>
  <c r="R12" i="10"/>
  <c r="R100" i="10"/>
  <c r="I17" i="12"/>
  <c r="J17" i="12" s="1"/>
  <c r="R143" i="10"/>
  <c r="F15" i="12"/>
  <c r="G15" i="12" s="1"/>
  <c r="R114" i="10"/>
  <c r="C8" i="12"/>
  <c r="D8" i="12" s="1"/>
  <c r="I16" i="11"/>
  <c r="J16" i="11" s="1"/>
  <c r="G6" i="11"/>
  <c r="K58" i="9"/>
  <c r="Z15" i="8"/>
  <c r="K41" i="9" s="1"/>
  <c r="F24" i="9"/>
  <c r="U3" i="8"/>
  <c r="H59" i="9"/>
  <c r="W16" i="8"/>
  <c r="G17" i="11"/>
  <c r="H40" i="11"/>
  <c r="J40" i="11" s="1"/>
  <c r="AB4" i="10"/>
  <c r="H40" i="12" s="1"/>
  <c r="J40" i="12" s="1"/>
  <c r="S118" i="10"/>
  <c r="T118" i="10" s="1"/>
  <c r="S66" i="10"/>
  <c r="T66" i="10" s="1"/>
  <c r="F9" i="6"/>
  <c r="I5" i="8"/>
  <c r="F9" i="9" s="1"/>
  <c r="N5" i="3"/>
  <c r="J6" i="3"/>
  <c r="E5" i="4"/>
  <c r="S14" i="10"/>
  <c r="M25" i="11"/>
  <c r="J23" i="11"/>
  <c r="C13" i="11"/>
  <c r="D13" i="11" s="1"/>
  <c r="L24" i="11"/>
  <c r="K24" i="11"/>
  <c r="M24" i="11" s="1"/>
  <c r="AA9" i="10"/>
  <c r="U9" i="10"/>
  <c r="S2" i="4"/>
  <c r="M23" i="6" s="1"/>
  <c r="M6" i="6"/>
  <c r="F8" i="11"/>
  <c r="M59" i="9"/>
  <c r="AB16" i="8"/>
  <c r="M42" i="9" s="1"/>
  <c r="I18" i="11"/>
  <c r="J18" i="11" s="1"/>
  <c r="U168" i="10"/>
  <c r="V168" i="10" s="1"/>
  <c r="K23" i="9"/>
  <c r="Z2" i="8"/>
  <c r="K6" i="9" s="1"/>
  <c r="S17" i="8"/>
  <c r="H60" i="6"/>
  <c r="N17" i="4"/>
  <c r="C12" i="11"/>
  <c r="D12" i="11" s="1"/>
  <c r="B24" i="11"/>
  <c r="C24" i="11"/>
  <c r="U6" i="10"/>
  <c r="AA6" i="10"/>
  <c r="F14" i="11"/>
  <c r="G14" i="11" s="1"/>
  <c r="J10" i="11"/>
  <c r="M23" i="11"/>
  <c r="Q4" i="8"/>
  <c r="F25" i="6"/>
  <c r="F4" i="4"/>
  <c r="D24" i="12"/>
  <c r="K2" i="4"/>
  <c r="K23" i="6" s="1"/>
  <c r="K6" i="6"/>
  <c r="I25" i="12"/>
  <c r="H25" i="12"/>
  <c r="J25" i="12" s="1"/>
  <c r="T12" i="10"/>
  <c r="I24" i="9"/>
  <c r="X3" i="8"/>
  <c r="C14" i="11"/>
  <c r="D14" i="11" s="1"/>
  <c r="I24" i="11"/>
  <c r="H24" i="11"/>
  <c r="J24" i="11" s="1"/>
  <c r="AA8" i="10"/>
  <c r="F12" i="12"/>
  <c r="G12" i="12" s="1"/>
  <c r="R27" i="10"/>
  <c r="C40" i="11"/>
  <c r="V2" i="10"/>
  <c r="C40" i="12" s="1"/>
  <c r="U111" i="10"/>
  <c r="V111" i="10" s="1"/>
  <c r="F7" i="11"/>
  <c r="F40" i="11"/>
  <c r="V3" i="10"/>
  <c r="F40" i="12" s="1"/>
  <c r="F59" i="9"/>
  <c r="U16" i="8"/>
  <c r="F25" i="12"/>
  <c r="E25" i="12"/>
  <c r="G25" i="12" s="1"/>
  <c r="T11" i="10"/>
  <c r="AA167" i="10"/>
  <c r="AB167" i="10" s="1"/>
  <c r="U167" i="10"/>
  <c r="V167" i="10" s="1"/>
  <c r="AA115" i="10"/>
  <c r="AB115" i="10" s="1"/>
  <c r="U115" i="10"/>
  <c r="V115" i="10" s="1"/>
  <c r="H24" i="9"/>
  <c r="W3" i="8"/>
  <c r="L23" i="9"/>
  <c r="AA2" i="8"/>
  <c r="L6" i="9" s="1"/>
  <c r="J58" i="9"/>
  <c r="Y15" i="8"/>
  <c r="J41" i="9" s="1"/>
  <c r="AA218" i="10"/>
  <c r="AB218" i="10" s="1"/>
  <c r="U218" i="10"/>
  <c r="V218" i="10" s="1"/>
  <c r="F6" i="11"/>
  <c r="C15" i="11"/>
  <c r="D15" i="11" s="1"/>
  <c r="U116" i="10"/>
  <c r="V116" i="10" s="1"/>
  <c r="U219" i="10"/>
  <c r="V219" i="10" s="1"/>
  <c r="AA219" i="10"/>
  <c r="AB219" i="10" s="1"/>
  <c r="M58" i="9"/>
  <c r="AB15" i="8"/>
  <c r="M41" i="9" s="1"/>
  <c r="U166" i="10"/>
  <c r="V166" i="10" s="1"/>
  <c r="AA166" i="10"/>
  <c r="AB166" i="10" s="1"/>
  <c r="J6" i="6"/>
  <c r="G2" i="4"/>
  <c r="J23" i="6" s="1"/>
  <c r="C9" i="11"/>
  <c r="D9" i="11" s="1"/>
  <c r="J23" i="9"/>
  <c r="Y2" i="8"/>
  <c r="J6" i="9" s="1"/>
  <c r="P18" i="3"/>
  <c r="M18" i="4"/>
  <c r="H44" i="6"/>
  <c r="L19" i="3"/>
  <c r="K18" i="8"/>
  <c r="H44" i="9" s="1"/>
  <c r="S172" i="10"/>
  <c r="T172" i="10" s="1"/>
  <c r="S224" i="10"/>
  <c r="T224" i="10" s="1"/>
  <c r="F24" i="11"/>
  <c r="E24" i="11"/>
  <c r="G24" i="11" s="1"/>
  <c r="AA7" i="10"/>
  <c r="U7" i="10"/>
  <c r="R17" i="8"/>
  <c r="G60" i="6"/>
  <c r="J17" i="4"/>
  <c r="M29" i="11"/>
  <c r="G25" i="6"/>
  <c r="R4" i="8"/>
  <c r="J4" i="4"/>
  <c r="L58" i="9"/>
  <c r="AA15" i="8"/>
  <c r="L41" i="9" s="1"/>
  <c r="N18" i="3"/>
  <c r="F44" i="6"/>
  <c r="I18" i="8"/>
  <c r="F44" i="9" s="1"/>
  <c r="E18" i="4"/>
  <c r="J19" i="3"/>
  <c r="S222" i="10"/>
  <c r="T222" i="10" s="1"/>
  <c r="S170" i="10"/>
  <c r="T170" i="10" s="1"/>
  <c r="O2" i="4"/>
  <c r="L23" i="6" s="1"/>
  <c r="L6" i="6"/>
  <c r="R192" i="10"/>
  <c r="I14" i="12"/>
  <c r="J14" i="12" s="1"/>
  <c r="M40" i="11"/>
  <c r="O18" i="3"/>
  <c r="G44" i="6"/>
  <c r="K19" i="3"/>
  <c r="J18" i="8"/>
  <c r="G44" i="9" s="1"/>
  <c r="I18" i="4"/>
  <c r="S171" i="10"/>
  <c r="T171" i="10" s="1"/>
  <c r="S223" i="10"/>
  <c r="T223" i="10" s="1"/>
  <c r="G9" i="6"/>
  <c r="J5" i="8"/>
  <c r="G9" i="9" s="1"/>
  <c r="S15" i="10"/>
  <c r="I5" i="4"/>
  <c r="K6" i="3"/>
  <c r="O5" i="3"/>
  <c r="S67" i="10"/>
  <c r="T67" i="10" s="1"/>
  <c r="S119" i="10"/>
  <c r="T119" i="10" s="1"/>
  <c r="G7" i="11"/>
  <c r="G8" i="11"/>
  <c r="K7" i="6"/>
  <c r="K3" i="4"/>
  <c r="K24" i="6" s="1"/>
  <c r="I12" i="11"/>
  <c r="J12" i="11" s="1"/>
  <c r="U220" i="10"/>
  <c r="V220" i="10" s="1"/>
  <c r="AA220" i="10"/>
  <c r="AB220" i="10" s="1"/>
  <c r="U64" i="10"/>
  <c r="V64" i="10" s="1"/>
  <c r="AA64" i="10"/>
  <c r="AB64" i="10" s="1"/>
  <c r="AA62" i="10"/>
  <c r="AB62" i="10" s="1"/>
  <c r="U62" i="10"/>
  <c r="V62" i="10" s="1"/>
  <c r="S4" i="8"/>
  <c r="H25" i="6"/>
  <c r="N4" i="4"/>
  <c r="L40" i="11"/>
  <c r="V5" i="10"/>
  <c r="L40" i="12" s="1"/>
  <c r="M40" i="12" s="1"/>
  <c r="U162" i="10"/>
  <c r="V162" i="10" s="1"/>
  <c r="C7" i="11"/>
  <c r="D7" i="11" s="1"/>
  <c r="G16" i="4"/>
  <c r="J59" i="6" s="1"/>
  <c r="J42" i="6"/>
  <c r="Q17" i="8"/>
  <c r="F60" i="6"/>
  <c r="F17" i="4"/>
  <c r="G24" i="9"/>
  <c r="V3" i="8"/>
  <c r="I15" i="11"/>
  <c r="J15" i="11" s="1"/>
  <c r="M23" i="9"/>
  <c r="AB2" i="8"/>
  <c r="M6" i="9" s="1"/>
  <c r="L42" i="6"/>
  <c r="O16" i="4"/>
  <c r="L59" i="6" s="1"/>
  <c r="C25" i="12"/>
  <c r="B25" i="12"/>
  <c r="D25" i="12" s="1"/>
  <c r="T10" i="10"/>
  <c r="S16" i="10"/>
  <c r="K5" i="8"/>
  <c r="H9" i="9" s="1"/>
  <c r="M5" i="4"/>
  <c r="H9" i="6"/>
  <c r="L6" i="3"/>
  <c r="P5" i="3"/>
  <c r="S68" i="10"/>
  <c r="T68" i="10" s="1"/>
  <c r="S120" i="10"/>
  <c r="T120" i="10" s="1"/>
  <c r="G3" i="4"/>
  <c r="J24" i="6" s="1"/>
  <c r="J7" i="6"/>
  <c r="G59" i="9"/>
  <c r="V16" i="8"/>
  <c r="B40" i="11"/>
  <c r="D40" i="11" s="1"/>
  <c r="AB2" i="10"/>
  <c r="B40" i="12" s="1"/>
  <c r="D40" i="12" s="1"/>
  <c r="E40" i="11"/>
  <c r="AB3" i="10"/>
  <c r="E40" i="12" s="1"/>
  <c r="G40" i="12" s="1"/>
  <c r="AA171" i="10" l="1"/>
  <c r="AB171" i="10" s="1"/>
  <c r="U171" i="10"/>
  <c r="V171" i="10" s="1"/>
  <c r="D24" i="11"/>
  <c r="G40" i="11"/>
  <c r="G25" i="9"/>
  <c r="V4" i="8"/>
  <c r="F25" i="11"/>
  <c r="E25" i="11"/>
  <c r="AA11" i="10"/>
  <c r="M24" i="9"/>
  <c r="AB3" i="8"/>
  <c r="M7" i="9" s="1"/>
  <c r="L43" i="6"/>
  <c r="O17" i="4"/>
  <c r="L60" i="6" s="1"/>
  <c r="U114" i="10"/>
  <c r="V114" i="10" s="1"/>
  <c r="C8" i="11"/>
  <c r="D8" i="11" s="1"/>
  <c r="AA223" i="10"/>
  <c r="AB223" i="10" s="1"/>
  <c r="U223" i="10"/>
  <c r="V223" i="10" s="1"/>
  <c r="C26" i="12"/>
  <c r="B26" i="12"/>
  <c r="T14" i="10"/>
  <c r="I25" i="11"/>
  <c r="H25" i="11"/>
  <c r="AA12" i="10"/>
  <c r="H60" i="9"/>
  <c r="W17" i="8"/>
  <c r="F15" i="11"/>
  <c r="G15" i="11" s="1"/>
  <c r="F41" i="11"/>
  <c r="V7" i="10"/>
  <c r="F41" i="12" s="1"/>
  <c r="F26" i="6"/>
  <c r="Q5" i="8"/>
  <c r="F5" i="4"/>
  <c r="I17" i="11"/>
  <c r="J17" i="11" s="1"/>
  <c r="J43" i="6"/>
  <c r="G17" i="4"/>
  <c r="J60" i="6" s="1"/>
  <c r="I14" i="11"/>
  <c r="J14" i="11" s="1"/>
  <c r="E41" i="11"/>
  <c r="G41" i="11" s="1"/>
  <c r="AB7" i="10"/>
  <c r="E41" i="12" s="1"/>
  <c r="G41" i="12" s="1"/>
  <c r="I8" i="11"/>
  <c r="J8" i="11" s="1"/>
  <c r="U12" i="10"/>
  <c r="J59" i="9"/>
  <c r="Y16" i="8"/>
  <c r="J42" i="9" s="1"/>
  <c r="AA66" i="10"/>
  <c r="AB66" i="10" s="1"/>
  <c r="U66" i="10"/>
  <c r="V66" i="10" s="1"/>
  <c r="AA118" i="10"/>
  <c r="AB118" i="10" s="1"/>
  <c r="U118" i="10"/>
  <c r="V118" i="10" s="1"/>
  <c r="AA224" i="10"/>
  <c r="AB224" i="10" s="1"/>
  <c r="U224" i="10"/>
  <c r="V224" i="10" s="1"/>
  <c r="G4" i="4"/>
  <c r="J25" i="6" s="1"/>
  <c r="J8" i="6"/>
  <c r="K17" i="4"/>
  <c r="K60" i="6" s="1"/>
  <c r="K43" i="6"/>
  <c r="H10" i="6"/>
  <c r="P6" i="3"/>
  <c r="S20" i="10"/>
  <c r="K6" i="8"/>
  <c r="H10" i="9" s="1"/>
  <c r="L7" i="3"/>
  <c r="M6" i="4"/>
  <c r="S72" i="10"/>
  <c r="T72" i="10" s="1"/>
  <c r="S124" i="10"/>
  <c r="T124" i="10" s="1"/>
  <c r="AA119" i="10"/>
  <c r="AB119" i="10" s="1"/>
  <c r="U119" i="10"/>
  <c r="V119" i="10" s="1"/>
  <c r="U172" i="10"/>
  <c r="V172" i="10" s="1"/>
  <c r="AA172" i="10"/>
  <c r="AB172" i="10" s="1"/>
  <c r="AA67" i="10"/>
  <c r="AB67" i="10" s="1"/>
  <c r="U67" i="10"/>
  <c r="V67" i="10" s="1"/>
  <c r="AA170" i="10"/>
  <c r="AB170" i="10" s="1"/>
  <c r="U170" i="10"/>
  <c r="V170" i="10" s="1"/>
  <c r="R5" i="8"/>
  <c r="G26" i="6"/>
  <c r="J5" i="4"/>
  <c r="U222" i="10"/>
  <c r="V222" i="10" s="1"/>
  <c r="AA222" i="10"/>
  <c r="AB222" i="10" s="1"/>
  <c r="H45" i="6"/>
  <c r="L20" i="3"/>
  <c r="K19" i="8"/>
  <c r="H45" i="9" s="1"/>
  <c r="M19" i="4"/>
  <c r="P19" i="3"/>
  <c r="S176" i="10"/>
  <c r="T176" i="10" s="1"/>
  <c r="S228" i="10"/>
  <c r="T228" i="10" s="1"/>
  <c r="F25" i="9"/>
  <c r="U4" i="8"/>
  <c r="U11" i="10"/>
  <c r="C18" i="11"/>
  <c r="D18" i="11" s="1"/>
  <c r="C41" i="11"/>
  <c r="V6" i="10"/>
  <c r="C41" i="12" s="1"/>
  <c r="G10" i="6"/>
  <c r="O6" i="3"/>
  <c r="J6" i="8"/>
  <c r="G10" i="9" s="1"/>
  <c r="K7" i="3"/>
  <c r="I6" i="4"/>
  <c r="S71" i="10"/>
  <c r="T71" i="10" s="1"/>
  <c r="S123" i="10"/>
  <c r="T123" i="10" s="1"/>
  <c r="S19" i="10"/>
  <c r="E19" i="4"/>
  <c r="J20" i="3"/>
  <c r="F45" i="6"/>
  <c r="I19" i="8"/>
  <c r="F45" i="9" s="1"/>
  <c r="N19" i="3"/>
  <c r="S226" i="10"/>
  <c r="T226" i="10" s="1"/>
  <c r="S174" i="10"/>
  <c r="T174" i="10" s="1"/>
  <c r="L59" i="9"/>
  <c r="AA16" i="8"/>
  <c r="L42" i="9" s="1"/>
  <c r="AA68" i="10"/>
  <c r="AB68" i="10" s="1"/>
  <c r="U68" i="10"/>
  <c r="V68" i="10" s="1"/>
  <c r="H26" i="6"/>
  <c r="S5" i="8"/>
  <c r="N5" i="4"/>
  <c r="I26" i="12"/>
  <c r="H26" i="12"/>
  <c r="T16" i="10"/>
  <c r="F12" i="11"/>
  <c r="G12" i="11" s="1"/>
  <c r="K59" i="9"/>
  <c r="Z16" i="8"/>
  <c r="K42" i="9" s="1"/>
  <c r="G61" i="6"/>
  <c r="R18" i="8"/>
  <c r="J18" i="4"/>
  <c r="E6" i="4"/>
  <c r="F10" i="6"/>
  <c r="N6" i="3"/>
  <c r="I6" i="8"/>
  <c r="F10" i="9" s="1"/>
  <c r="J7" i="3"/>
  <c r="S18" i="10"/>
  <c r="S70" i="10"/>
  <c r="T70" i="10" s="1"/>
  <c r="S122" i="10"/>
  <c r="T122" i="10" s="1"/>
  <c r="F26" i="12"/>
  <c r="E26" i="12"/>
  <c r="T15" i="10"/>
  <c r="H61" i="6"/>
  <c r="S18" i="8"/>
  <c r="N18" i="4"/>
  <c r="J24" i="9"/>
  <c r="Y3" i="8"/>
  <c r="J7" i="9" s="1"/>
  <c r="L41" i="11"/>
  <c r="V9" i="10"/>
  <c r="L41" i="12" s="1"/>
  <c r="K4" i="4"/>
  <c r="K25" i="6" s="1"/>
  <c r="K8" i="6"/>
  <c r="S227" i="10"/>
  <c r="T227" i="10" s="1"/>
  <c r="S175" i="10"/>
  <c r="T175" i="10" s="1"/>
  <c r="G45" i="6"/>
  <c r="J19" i="8"/>
  <c r="G45" i="9" s="1"/>
  <c r="K20" i="3"/>
  <c r="I19" i="4"/>
  <c r="O19" i="3"/>
  <c r="K24" i="9"/>
  <c r="Z3" i="8"/>
  <c r="K7" i="9" s="1"/>
  <c r="G60" i="9"/>
  <c r="V17" i="8"/>
  <c r="U120" i="10"/>
  <c r="V120" i="10" s="1"/>
  <c r="AA120" i="10"/>
  <c r="AB120" i="10" s="1"/>
  <c r="F60" i="9"/>
  <c r="U17" i="8"/>
  <c r="C25" i="11"/>
  <c r="B25" i="11"/>
  <c r="D25" i="11" s="1"/>
  <c r="AA10" i="10"/>
  <c r="U10" i="10"/>
  <c r="L8" i="6"/>
  <c r="O4" i="4"/>
  <c r="L25" i="6" s="1"/>
  <c r="H25" i="9"/>
  <c r="W4" i="8"/>
  <c r="F61" i="6"/>
  <c r="Q18" i="8"/>
  <c r="F18" i="4"/>
  <c r="L24" i="9"/>
  <c r="AA3" i="8"/>
  <c r="L7" i="9" s="1"/>
  <c r="H41" i="11"/>
  <c r="J41" i="11" s="1"/>
  <c r="AB8" i="10"/>
  <c r="H41" i="12" s="1"/>
  <c r="J41" i="12" s="1"/>
  <c r="B41" i="11"/>
  <c r="D41" i="11" s="1"/>
  <c r="AB6" i="10"/>
  <c r="B41" i="12" s="1"/>
  <c r="D41" i="12" s="1"/>
  <c r="K41" i="11"/>
  <c r="M41" i="11" s="1"/>
  <c r="AB9" i="10"/>
  <c r="K41" i="12" s="1"/>
  <c r="M41" i="12" s="1"/>
  <c r="C16" i="11"/>
  <c r="D16" i="11" s="1"/>
  <c r="G26" i="12" l="1"/>
  <c r="AA122" i="10"/>
  <c r="AB122" i="10" s="1"/>
  <c r="U122" i="10"/>
  <c r="V122" i="10" s="1"/>
  <c r="F42" i="11"/>
  <c r="V11" i="10"/>
  <c r="F42" i="12" s="1"/>
  <c r="I42" i="11"/>
  <c r="V12" i="10"/>
  <c r="I42" i="12" s="1"/>
  <c r="C26" i="11"/>
  <c r="B26" i="11"/>
  <c r="D26" i="11" s="1"/>
  <c r="AA14" i="10"/>
  <c r="U14" i="10"/>
  <c r="J25" i="9"/>
  <c r="Y4" i="8"/>
  <c r="J8" i="9" s="1"/>
  <c r="AA124" i="10"/>
  <c r="AB124" i="10" s="1"/>
  <c r="U124" i="10"/>
  <c r="V124" i="10" s="1"/>
  <c r="D26" i="12"/>
  <c r="AA226" i="10"/>
  <c r="AB226" i="10" s="1"/>
  <c r="U226" i="10"/>
  <c r="V226" i="10" s="1"/>
  <c r="K60" i="9"/>
  <c r="Z17" i="8"/>
  <c r="K43" i="9" s="1"/>
  <c r="H62" i="6"/>
  <c r="S19" i="8"/>
  <c r="N19" i="4"/>
  <c r="U228" i="10"/>
  <c r="V228" i="10" s="1"/>
  <c r="AA228" i="10"/>
  <c r="AB228" i="10" s="1"/>
  <c r="F61" i="9"/>
  <c r="U18" i="8"/>
  <c r="S6" i="8"/>
  <c r="H27" i="6"/>
  <c r="N6" i="4"/>
  <c r="R19" i="8"/>
  <c r="G62" i="6"/>
  <c r="J19" i="4"/>
  <c r="Q6" i="8"/>
  <c r="F27" i="6"/>
  <c r="F6" i="4"/>
  <c r="Q19" i="8"/>
  <c r="F62" i="6"/>
  <c r="F19" i="4"/>
  <c r="H27" i="12"/>
  <c r="J27" i="12" s="1"/>
  <c r="I27" i="12"/>
  <c r="T20" i="10"/>
  <c r="AA175" i="10"/>
  <c r="AB175" i="10" s="1"/>
  <c r="U175" i="10"/>
  <c r="V175" i="10" s="1"/>
  <c r="U227" i="10"/>
  <c r="V227" i="10" s="1"/>
  <c r="AA227" i="10"/>
  <c r="AB227" i="10" s="1"/>
  <c r="G61" i="9"/>
  <c r="V18" i="8"/>
  <c r="K20" i="8"/>
  <c r="H46" i="9" s="1"/>
  <c r="M20" i="4"/>
  <c r="P20" i="3"/>
  <c r="H46" i="6"/>
  <c r="L21" i="3"/>
  <c r="S232" i="10"/>
  <c r="T232" i="10" s="1"/>
  <c r="S180" i="10"/>
  <c r="T180" i="10" s="1"/>
  <c r="L25" i="9"/>
  <c r="AA4" i="8"/>
  <c r="L8" i="9" s="1"/>
  <c r="F27" i="12"/>
  <c r="E27" i="12"/>
  <c r="G27" i="12" s="1"/>
  <c r="T19" i="10"/>
  <c r="G5" i="4"/>
  <c r="J26" i="6" s="1"/>
  <c r="J9" i="6"/>
  <c r="K18" i="4"/>
  <c r="K61" i="6" s="1"/>
  <c r="K44" i="6"/>
  <c r="I20" i="8"/>
  <c r="F46" i="9" s="1"/>
  <c r="E20" i="4"/>
  <c r="F46" i="6"/>
  <c r="N20" i="3"/>
  <c r="J21" i="3"/>
  <c r="S230" i="10"/>
  <c r="T230" i="10" s="1"/>
  <c r="S178" i="10"/>
  <c r="T178" i="10" s="1"/>
  <c r="AA123" i="10"/>
  <c r="AB123" i="10" s="1"/>
  <c r="U123" i="10"/>
  <c r="V123" i="10" s="1"/>
  <c r="F26" i="9"/>
  <c r="U5" i="8"/>
  <c r="E42" i="11"/>
  <c r="G42" i="11" s="1"/>
  <c r="AB11" i="10"/>
  <c r="E42" i="12" s="1"/>
  <c r="G42" i="12" s="1"/>
  <c r="AA71" i="10"/>
  <c r="AB71" i="10" s="1"/>
  <c r="U71" i="10"/>
  <c r="V71" i="10" s="1"/>
  <c r="K9" i="6"/>
  <c r="K5" i="4"/>
  <c r="K26" i="6" s="1"/>
  <c r="G25" i="11"/>
  <c r="J44" i="6"/>
  <c r="G18" i="4"/>
  <c r="J61" i="6" s="1"/>
  <c r="K25" i="9"/>
  <c r="Z4" i="8"/>
  <c r="K8" i="9" s="1"/>
  <c r="J25" i="11"/>
  <c r="AA72" i="10"/>
  <c r="AB72" i="10" s="1"/>
  <c r="U72" i="10"/>
  <c r="V72" i="10" s="1"/>
  <c r="H26" i="11"/>
  <c r="I26" i="11"/>
  <c r="AA16" i="10"/>
  <c r="U16" i="10"/>
  <c r="F11" i="6"/>
  <c r="E7" i="4"/>
  <c r="J8" i="3"/>
  <c r="N7" i="3"/>
  <c r="I7" i="8"/>
  <c r="F11" i="9" s="1"/>
  <c r="S22" i="10"/>
  <c r="S74" i="10"/>
  <c r="T74" i="10" s="1"/>
  <c r="S126" i="10"/>
  <c r="T126" i="10" s="1"/>
  <c r="AA176" i="10"/>
  <c r="AB176" i="10" s="1"/>
  <c r="U176" i="10"/>
  <c r="V176" i="10" s="1"/>
  <c r="M7" i="4"/>
  <c r="H11" i="6"/>
  <c r="L8" i="3"/>
  <c r="K7" i="8"/>
  <c r="H11" i="9" s="1"/>
  <c r="P7" i="3"/>
  <c r="S128" i="10"/>
  <c r="T128" i="10" s="1"/>
  <c r="S76" i="10"/>
  <c r="T76" i="10" s="1"/>
  <c r="S24" i="10"/>
  <c r="S179" i="10"/>
  <c r="T179" i="10" s="1"/>
  <c r="O20" i="3"/>
  <c r="J20" i="8"/>
  <c r="G46" i="9" s="1"/>
  <c r="I20" i="4"/>
  <c r="G46" i="6"/>
  <c r="K21" i="3"/>
  <c r="S231" i="10"/>
  <c r="T231" i="10" s="1"/>
  <c r="C42" i="11"/>
  <c r="V10" i="10"/>
  <c r="C42" i="12" s="1"/>
  <c r="O18" i="4"/>
  <c r="L61" i="6" s="1"/>
  <c r="L44" i="6"/>
  <c r="J26" i="12"/>
  <c r="R6" i="8"/>
  <c r="G27" i="6"/>
  <c r="J6" i="4"/>
  <c r="U70" i="10"/>
  <c r="V70" i="10" s="1"/>
  <c r="AA70" i="10"/>
  <c r="AB70" i="10" s="1"/>
  <c r="AA174" i="10"/>
  <c r="AB174" i="10" s="1"/>
  <c r="U174" i="10"/>
  <c r="V174" i="10" s="1"/>
  <c r="S127" i="10"/>
  <c r="T127" i="10" s="1"/>
  <c r="I7" i="4"/>
  <c r="G11" i="6"/>
  <c r="K8" i="3"/>
  <c r="O7" i="3"/>
  <c r="J7" i="8"/>
  <c r="G11" i="9" s="1"/>
  <c r="S75" i="10"/>
  <c r="T75" i="10" s="1"/>
  <c r="S23" i="10"/>
  <c r="G26" i="9"/>
  <c r="V5" i="8"/>
  <c r="H61" i="9"/>
  <c r="W18" i="8"/>
  <c r="L60" i="9"/>
  <c r="AA17" i="8"/>
  <c r="L43" i="9" s="1"/>
  <c r="B42" i="11"/>
  <c r="D42" i="11" s="1"/>
  <c r="AB10" i="10"/>
  <c r="B42" i="12" s="1"/>
  <c r="D42" i="12" s="1"/>
  <c r="J60" i="9"/>
  <c r="Y17" i="8"/>
  <c r="J43" i="9" s="1"/>
  <c r="C27" i="12"/>
  <c r="B27" i="12"/>
  <c r="T18" i="10"/>
  <c r="L9" i="6"/>
  <c r="O5" i="4"/>
  <c r="L26" i="6" s="1"/>
  <c r="F26" i="11"/>
  <c r="E26" i="11"/>
  <c r="U15" i="10"/>
  <c r="AA15" i="10"/>
  <c r="H26" i="9"/>
  <c r="W5" i="8"/>
  <c r="H42" i="11"/>
  <c r="J42" i="11" s="1"/>
  <c r="AB12" i="10"/>
  <c r="H42" i="12" s="1"/>
  <c r="J42" i="12" s="1"/>
  <c r="H27" i="11" l="1"/>
  <c r="J27" i="11" s="1"/>
  <c r="I27" i="11"/>
  <c r="AA20" i="10"/>
  <c r="U20" i="10"/>
  <c r="C27" i="11"/>
  <c r="B27" i="11"/>
  <c r="D27" i="11" s="1"/>
  <c r="AA18" i="10"/>
  <c r="U18" i="10"/>
  <c r="G19" i="4"/>
  <c r="J62" i="6" s="1"/>
  <c r="J45" i="6"/>
  <c r="F27" i="11"/>
  <c r="E27" i="11"/>
  <c r="G27" i="11" s="1"/>
  <c r="AA19" i="10"/>
  <c r="U19" i="10"/>
  <c r="AA76" i="10"/>
  <c r="AB76" i="10" s="1"/>
  <c r="U76" i="10"/>
  <c r="V76" i="10" s="1"/>
  <c r="AA127" i="10"/>
  <c r="AB127" i="10" s="1"/>
  <c r="U127" i="10"/>
  <c r="V127" i="10" s="1"/>
  <c r="F62" i="9"/>
  <c r="U19" i="8"/>
  <c r="J10" i="6"/>
  <c r="G6" i="4"/>
  <c r="J27" i="6" s="1"/>
  <c r="AA126" i="10"/>
  <c r="AB126" i="10" s="1"/>
  <c r="U126" i="10"/>
  <c r="V126" i="10" s="1"/>
  <c r="G27" i="9"/>
  <c r="V6" i="8"/>
  <c r="AA74" i="10"/>
  <c r="AB74" i="10" s="1"/>
  <c r="U74" i="10"/>
  <c r="V74" i="10" s="1"/>
  <c r="F27" i="9"/>
  <c r="U6" i="8"/>
  <c r="C28" i="12"/>
  <c r="B28" i="12"/>
  <c r="D28" i="12" s="1"/>
  <c r="T22" i="10"/>
  <c r="U180" i="10"/>
  <c r="V180" i="10" s="1"/>
  <c r="AA180" i="10"/>
  <c r="AB180" i="10" s="1"/>
  <c r="K45" i="6"/>
  <c r="K19" i="4"/>
  <c r="K62" i="6" s="1"/>
  <c r="C43" i="11"/>
  <c r="V14" i="10"/>
  <c r="C43" i="12" s="1"/>
  <c r="AA232" i="10"/>
  <c r="AB232" i="10" s="1"/>
  <c r="U232" i="10"/>
  <c r="V232" i="10" s="1"/>
  <c r="B43" i="11"/>
  <c r="D43" i="11" s="1"/>
  <c r="AB14" i="10"/>
  <c r="B43" i="12" s="1"/>
  <c r="D43" i="12" s="1"/>
  <c r="D27" i="12"/>
  <c r="J26" i="9"/>
  <c r="Y5" i="8"/>
  <c r="J9" i="9" s="1"/>
  <c r="S184" i="10"/>
  <c r="T184" i="10" s="1"/>
  <c r="L22" i="3"/>
  <c r="M21" i="4"/>
  <c r="P21" i="3"/>
  <c r="K21" i="8"/>
  <c r="H47" i="9" s="1"/>
  <c r="H47" i="6"/>
  <c r="S236" i="10"/>
  <c r="T236" i="10" s="1"/>
  <c r="G62" i="9"/>
  <c r="V19" i="8"/>
  <c r="Q7" i="8"/>
  <c r="F28" i="6"/>
  <c r="F7" i="4"/>
  <c r="K26" i="9"/>
  <c r="Z5" i="8"/>
  <c r="K9" i="9" s="1"/>
  <c r="U231" i="10"/>
  <c r="V231" i="10" s="1"/>
  <c r="AA231" i="10"/>
  <c r="AB231" i="10" s="1"/>
  <c r="S78" i="10"/>
  <c r="T78" i="10" s="1"/>
  <c r="I8" i="8"/>
  <c r="F12" i="9" s="1"/>
  <c r="N8" i="3"/>
  <c r="J9" i="3"/>
  <c r="F12" i="6"/>
  <c r="E8" i="4"/>
  <c r="S130" i="10"/>
  <c r="T130" i="10" s="1"/>
  <c r="S26" i="10"/>
  <c r="L10" i="6"/>
  <c r="O6" i="4"/>
  <c r="L27" i="6" s="1"/>
  <c r="H62" i="9"/>
  <c r="W19" i="8"/>
  <c r="S132" i="10"/>
  <c r="T132" i="10" s="1"/>
  <c r="H12" i="6"/>
  <c r="P8" i="3"/>
  <c r="K8" i="8"/>
  <c r="H12" i="9" s="1"/>
  <c r="L9" i="3"/>
  <c r="M8" i="4"/>
  <c r="S28" i="10"/>
  <c r="S80" i="10"/>
  <c r="T80" i="10" s="1"/>
  <c r="K10" i="6"/>
  <c r="K6" i="4"/>
  <c r="K27" i="6" s="1"/>
  <c r="L61" i="9"/>
  <c r="AA18" i="8"/>
  <c r="L44" i="9" s="1"/>
  <c r="J21" i="8"/>
  <c r="G47" i="9" s="1"/>
  <c r="G47" i="6"/>
  <c r="I21" i="4"/>
  <c r="K22" i="3"/>
  <c r="O21" i="3"/>
  <c r="S183" i="10"/>
  <c r="T183" i="10" s="1"/>
  <c r="S235" i="10"/>
  <c r="T235" i="10" s="1"/>
  <c r="H63" i="6"/>
  <c r="S20" i="8"/>
  <c r="N20" i="4"/>
  <c r="AA128" i="10"/>
  <c r="AB128" i="10" s="1"/>
  <c r="U128" i="10"/>
  <c r="V128" i="10" s="1"/>
  <c r="H27" i="9"/>
  <c r="W6" i="8"/>
  <c r="E28" i="12"/>
  <c r="F28" i="12"/>
  <c r="T23" i="10"/>
  <c r="AA75" i="10"/>
  <c r="AB75" i="10" s="1"/>
  <c r="U75" i="10"/>
  <c r="V75" i="10" s="1"/>
  <c r="I43" i="11"/>
  <c r="V16" i="10"/>
  <c r="I43" i="12" s="1"/>
  <c r="AA178" i="10"/>
  <c r="AB178" i="10" s="1"/>
  <c r="U178" i="10"/>
  <c r="V178" i="10" s="1"/>
  <c r="J61" i="9"/>
  <c r="Y18" i="8"/>
  <c r="J44" i="9" s="1"/>
  <c r="L26" i="9"/>
  <c r="AA5" i="8"/>
  <c r="L9" i="9" s="1"/>
  <c r="AA230" i="10"/>
  <c r="AB230" i="10" s="1"/>
  <c r="U230" i="10"/>
  <c r="V230" i="10" s="1"/>
  <c r="S234" i="10"/>
  <c r="T234" i="10" s="1"/>
  <c r="I21" i="8"/>
  <c r="F47" i="9" s="1"/>
  <c r="F47" i="6"/>
  <c r="J22" i="3"/>
  <c r="N21" i="3"/>
  <c r="E21" i="4"/>
  <c r="S182" i="10"/>
  <c r="T182" i="10" s="1"/>
  <c r="S7" i="8"/>
  <c r="H28" i="6"/>
  <c r="N7" i="4"/>
  <c r="H43" i="11"/>
  <c r="J43" i="11" s="1"/>
  <c r="AB16" i="10"/>
  <c r="H43" i="12" s="1"/>
  <c r="J26" i="11"/>
  <c r="Q20" i="8"/>
  <c r="F63" i="6"/>
  <c r="F20" i="4"/>
  <c r="K61" i="9"/>
  <c r="Z18" i="8"/>
  <c r="K44" i="9" s="1"/>
  <c r="E43" i="11"/>
  <c r="G43" i="11" s="1"/>
  <c r="AB15" i="10"/>
  <c r="E43" i="12" s="1"/>
  <c r="R7" i="8"/>
  <c r="G28" i="6"/>
  <c r="J7" i="4"/>
  <c r="G63" i="6"/>
  <c r="R20" i="8"/>
  <c r="J20" i="4"/>
  <c r="F43" i="11"/>
  <c r="V15" i="10"/>
  <c r="F43" i="12" s="1"/>
  <c r="S27" i="10"/>
  <c r="O8" i="3"/>
  <c r="J8" i="8"/>
  <c r="G12" i="9" s="1"/>
  <c r="K9" i="3"/>
  <c r="I8" i="4"/>
  <c r="G12" i="6"/>
  <c r="S79" i="10"/>
  <c r="T79" i="10" s="1"/>
  <c r="S131" i="10"/>
  <c r="T131" i="10" s="1"/>
  <c r="AA179" i="10"/>
  <c r="AB179" i="10" s="1"/>
  <c r="U179" i="10"/>
  <c r="V179" i="10" s="1"/>
  <c r="G26" i="11"/>
  <c r="I28" i="12"/>
  <c r="H28" i="12"/>
  <c r="J28" i="12" s="1"/>
  <c r="T24" i="10"/>
  <c r="L45" i="6"/>
  <c r="O19" i="4"/>
  <c r="L62" i="6" s="1"/>
  <c r="AA78" i="10" l="1"/>
  <c r="AB78" i="10" s="1"/>
  <c r="U78" i="10"/>
  <c r="V78" i="10" s="1"/>
  <c r="G20" i="4"/>
  <c r="J63" i="6" s="1"/>
  <c r="J46" i="6"/>
  <c r="AA131" i="10"/>
  <c r="AB131" i="10" s="1"/>
  <c r="U131" i="10"/>
  <c r="V131" i="10" s="1"/>
  <c r="F44" i="11"/>
  <c r="V19" i="10"/>
  <c r="F44" i="12" s="1"/>
  <c r="K9" i="8"/>
  <c r="H13" i="9" s="1"/>
  <c r="H13" i="6"/>
  <c r="P9" i="3"/>
  <c r="S32" i="10"/>
  <c r="L10" i="3"/>
  <c r="M9" i="4"/>
  <c r="S84" i="10"/>
  <c r="T84" i="10" s="1"/>
  <c r="S136" i="10"/>
  <c r="T136" i="10" s="1"/>
  <c r="E44" i="11"/>
  <c r="G44" i="11" s="1"/>
  <c r="AB19" i="10"/>
  <c r="E44" i="12" s="1"/>
  <c r="G44" i="12" s="1"/>
  <c r="AA79" i="10"/>
  <c r="AB79" i="10" s="1"/>
  <c r="U79" i="10"/>
  <c r="V79" i="10" s="1"/>
  <c r="J11" i="6"/>
  <c r="G7" i="4"/>
  <c r="J28" i="6" s="1"/>
  <c r="R8" i="8"/>
  <c r="G29" i="6"/>
  <c r="J8" i="4"/>
  <c r="H28" i="9"/>
  <c r="W7" i="8"/>
  <c r="L27" i="9"/>
  <c r="AA6" i="8"/>
  <c r="L10" i="9" s="1"/>
  <c r="J43" i="12"/>
  <c r="F29" i="12"/>
  <c r="E29" i="12"/>
  <c r="T27" i="10"/>
  <c r="F28" i="9"/>
  <c r="U7" i="8"/>
  <c r="G28" i="12"/>
  <c r="AA182" i="10"/>
  <c r="AB182" i="10" s="1"/>
  <c r="U182" i="10"/>
  <c r="V182" i="10" s="1"/>
  <c r="K46" i="6"/>
  <c r="K20" i="4"/>
  <c r="K63" i="6" s="1"/>
  <c r="E22" i="4"/>
  <c r="J23" i="3"/>
  <c r="I22" i="8"/>
  <c r="F48" i="9" s="1"/>
  <c r="N22" i="3"/>
  <c r="F48" i="6"/>
  <c r="S238" i="10"/>
  <c r="T238" i="10" s="1"/>
  <c r="S186" i="10"/>
  <c r="T186" i="10" s="1"/>
  <c r="AA236" i="10"/>
  <c r="AB236" i="10" s="1"/>
  <c r="U236" i="10"/>
  <c r="V236" i="10" s="1"/>
  <c r="G63" i="9"/>
  <c r="V20" i="8"/>
  <c r="O20" i="4"/>
  <c r="L63" i="6" s="1"/>
  <c r="L46" i="6"/>
  <c r="L62" i="9"/>
  <c r="AA19" i="8"/>
  <c r="L45" i="9" s="1"/>
  <c r="J27" i="9"/>
  <c r="Y6" i="8"/>
  <c r="J10" i="9" s="1"/>
  <c r="C44" i="11"/>
  <c r="V18" i="10"/>
  <c r="C44" i="12" s="1"/>
  <c r="H29" i="6"/>
  <c r="S8" i="8"/>
  <c r="N8" i="4"/>
  <c r="K62" i="9"/>
  <c r="Z19" i="8"/>
  <c r="K45" i="9" s="1"/>
  <c r="C28" i="11"/>
  <c r="B28" i="11"/>
  <c r="D28" i="11" s="1"/>
  <c r="AA22" i="10"/>
  <c r="U22" i="10"/>
  <c r="Q21" i="8"/>
  <c r="F64" i="6"/>
  <c r="F21" i="4"/>
  <c r="AA132" i="10"/>
  <c r="AB132" i="10" s="1"/>
  <c r="U132" i="10"/>
  <c r="V132" i="10" s="1"/>
  <c r="H63" i="9"/>
  <c r="W20" i="8"/>
  <c r="B44" i="11"/>
  <c r="AB18" i="10"/>
  <c r="B44" i="12" s="1"/>
  <c r="Q8" i="8"/>
  <c r="F29" i="6"/>
  <c r="F8" i="4"/>
  <c r="F63" i="9"/>
  <c r="U20" i="8"/>
  <c r="J62" i="9"/>
  <c r="Y19" i="8"/>
  <c r="J45" i="9" s="1"/>
  <c r="I29" i="12"/>
  <c r="H29" i="12"/>
  <c r="J29" i="12" s="1"/>
  <c r="T28" i="10"/>
  <c r="AA234" i="10"/>
  <c r="AB234" i="10" s="1"/>
  <c r="U234" i="10"/>
  <c r="V234" i="10" s="1"/>
  <c r="AA235" i="10"/>
  <c r="AB235" i="10" s="1"/>
  <c r="U235" i="10"/>
  <c r="V235" i="10" s="1"/>
  <c r="O7" i="4"/>
  <c r="L28" i="6" s="1"/>
  <c r="L11" i="6"/>
  <c r="K7" i="4"/>
  <c r="K28" i="6" s="1"/>
  <c r="K11" i="6"/>
  <c r="S21" i="8"/>
  <c r="H64" i="6"/>
  <c r="N21" i="4"/>
  <c r="G28" i="9"/>
  <c r="V7" i="8"/>
  <c r="AA183" i="10"/>
  <c r="AB183" i="10" s="1"/>
  <c r="U183" i="10"/>
  <c r="V183" i="10" s="1"/>
  <c r="B29" i="12"/>
  <c r="C29" i="12"/>
  <c r="T26" i="10"/>
  <c r="L23" i="3"/>
  <c r="M22" i="4"/>
  <c r="K22" i="8"/>
  <c r="H48" i="9" s="1"/>
  <c r="P22" i="3"/>
  <c r="H48" i="6"/>
  <c r="S188" i="10"/>
  <c r="T188" i="10" s="1"/>
  <c r="S240" i="10"/>
  <c r="T240" i="10" s="1"/>
  <c r="K27" i="9"/>
  <c r="Z6" i="8"/>
  <c r="K10" i="9" s="1"/>
  <c r="I44" i="11"/>
  <c r="V20" i="10"/>
  <c r="I44" i="12" s="1"/>
  <c r="S82" i="10"/>
  <c r="T82" i="10" s="1"/>
  <c r="I9" i="8"/>
  <c r="F13" i="9" s="1"/>
  <c r="F13" i="6"/>
  <c r="E9" i="4"/>
  <c r="N9" i="3"/>
  <c r="J10" i="3"/>
  <c r="S134" i="10"/>
  <c r="T134" i="10" s="1"/>
  <c r="S30" i="10"/>
  <c r="AA80" i="10"/>
  <c r="AB80" i="10" s="1"/>
  <c r="U80" i="10"/>
  <c r="V80" i="10" s="1"/>
  <c r="G13" i="6"/>
  <c r="J9" i="8"/>
  <c r="G13" i="9" s="1"/>
  <c r="O9" i="3"/>
  <c r="K10" i="3"/>
  <c r="S31" i="10"/>
  <c r="I9" i="4"/>
  <c r="S83" i="10"/>
  <c r="T83" i="10" s="1"/>
  <c r="S135" i="10"/>
  <c r="T135" i="10" s="1"/>
  <c r="E28" i="11"/>
  <c r="F28" i="11"/>
  <c r="U23" i="10"/>
  <c r="AA23" i="10"/>
  <c r="I28" i="11"/>
  <c r="H28" i="11"/>
  <c r="AA24" i="10"/>
  <c r="U24" i="10"/>
  <c r="G43" i="12"/>
  <c r="G64" i="6"/>
  <c r="R21" i="8"/>
  <c r="J21" i="4"/>
  <c r="AA130" i="10"/>
  <c r="AB130" i="10" s="1"/>
  <c r="U130" i="10"/>
  <c r="V130" i="10" s="1"/>
  <c r="AA184" i="10"/>
  <c r="AB184" i="10" s="1"/>
  <c r="U184" i="10"/>
  <c r="V184" i="10" s="1"/>
  <c r="H44" i="11"/>
  <c r="J44" i="11" s="1"/>
  <c r="AB20" i="10"/>
  <c r="H44" i="12" s="1"/>
  <c r="J44" i="12" s="1"/>
  <c r="K23" i="3"/>
  <c r="I22" i="4"/>
  <c r="G48" i="6"/>
  <c r="O22" i="3"/>
  <c r="J22" i="8"/>
  <c r="G48" i="9" s="1"/>
  <c r="S187" i="10"/>
  <c r="T187" i="10" s="1"/>
  <c r="S239" i="10"/>
  <c r="T239" i="10" s="1"/>
  <c r="F30" i="12" l="1"/>
  <c r="E30" i="12"/>
  <c r="T31" i="10"/>
  <c r="J63" i="9"/>
  <c r="Y20" i="8"/>
  <c r="J46" i="9" s="1"/>
  <c r="AA136" i="10"/>
  <c r="AB136" i="10" s="1"/>
  <c r="U136" i="10"/>
  <c r="V136" i="10" s="1"/>
  <c r="AA84" i="10"/>
  <c r="AB84" i="10" s="1"/>
  <c r="U84" i="10"/>
  <c r="V84" i="10" s="1"/>
  <c r="Q22" i="8"/>
  <c r="F65" i="6"/>
  <c r="F22" i="4"/>
  <c r="J28" i="9"/>
  <c r="Y7" i="8"/>
  <c r="J11" i="9" s="1"/>
  <c r="S140" i="10"/>
  <c r="T140" i="10" s="1"/>
  <c r="L11" i="3"/>
  <c r="K10" i="8"/>
  <c r="H14" i="9" s="1"/>
  <c r="M10" i="4"/>
  <c r="H14" i="6"/>
  <c r="P10" i="3"/>
  <c r="S88" i="10"/>
  <c r="T88" i="10" s="1"/>
  <c r="S36" i="10"/>
  <c r="J12" i="6"/>
  <c r="G8" i="4"/>
  <c r="J29" i="6" s="1"/>
  <c r="G64" i="9"/>
  <c r="V21" i="8"/>
  <c r="AA134" i="10"/>
  <c r="AB134" i="10" s="1"/>
  <c r="U134" i="10"/>
  <c r="V134" i="10" s="1"/>
  <c r="S138" i="10"/>
  <c r="T138" i="10" s="1"/>
  <c r="J11" i="3"/>
  <c r="I10" i="8"/>
  <c r="F14" i="9" s="1"/>
  <c r="E10" i="4"/>
  <c r="F14" i="6"/>
  <c r="N10" i="3"/>
  <c r="S86" i="10"/>
  <c r="T86" i="10" s="1"/>
  <c r="S34" i="10"/>
  <c r="K28" i="9"/>
  <c r="Z7" i="8"/>
  <c r="K11" i="9" s="1"/>
  <c r="F29" i="9"/>
  <c r="U8" i="8"/>
  <c r="I30" i="12"/>
  <c r="H30" i="12"/>
  <c r="J30" i="12" s="1"/>
  <c r="T32" i="10"/>
  <c r="S243" i="10"/>
  <c r="T243" i="10" s="1"/>
  <c r="S191" i="10"/>
  <c r="T191" i="10" s="1"/>
  <c r="G49" i="6"/>
  <c r="J23" i="8"/>
  <c r="G49" i="9" s="1"/>
  <c r="O23" i="3"/>
  <c r="K24" i="3"/>
  <c r="I23" i="4"/>
  <c r="S190" i="10"/>
  <c r="T190" i="10" s="1"/>
  <c r="E23" i="4"/>
  <c r="F49" i="6"/>
  <c r="I23" i="8"/>
  <c r="F49" i="9" s="1"/>
  <c r="N23" i="3"/>
  <c r="J24" i="3"/>
  <c r="S242" i="10"/>
  <c r="T242" i="10" s="1"/>
  <c r="D44" i="12"/>
  <c r="E29" i="11"/>
  <c r="F29" i="11"/>
  <c r="AA27" i="10"/>
  <c r="U27" i="10"/>
  <c r="H30" i="6"/>
  <c r="S9" i="8"/>
  <c r="N9" i="4"/>
  <c r="S244" i="10"/>
  <c r="T244" i="10" s="1"/>
  <c r="H49" i="6"/>
  <c r="K23" i="8"/>
  <c r="H49" i="9" s="1"/>
  <c r="P23" i="3"/>
  <c r="L24" i="3"/>
  <c r="M23" i="4"/>
  <c r="S192" i="10"/>
  <c r="T192" i="10" s="1"/>
  <c r="C29" i="11"/>
  <c r="B29" i="11"/>
  <c r="AA26" i="10"/>
  <c r="U26" i="10"/>
  <c r="D44" i="11"/>
  <c r="G29" i="12"/>
  <c r="S22" i="8"/>
  <c r="H65" i="6"/>
  <c r="N22" i="4"/>
  <c r="J10" i="8"/>
  <c r="G14" i="9" s="1"/>
  <c r="K11" i="3"/>
  <c r="G14" i="6"/>
  <c r="O10" i="3"/>
  <c r="I10" i="4"/>
  <c r="S87" i="10"/>
  <c r="T87" i="10" s="1"/>
  <c r="S35" i="10"/>
  <c r="S139" i="10"/>
  <c r="T139" i="10" s="1"/>
  <c r="H29" i="9"/>
  <c r="W8" i="8"/>
  <c r="F30" i="6"/>
  <c r="Q9" i="8"/>
  <c r="F9" i="4"/>
  <c r="I45" i="11"/>
  <c r="V24" i="10"/>
  <c r="I45" i="12" s="1"/>
  <c r="O21" i="4"/>
  <c r="L64" i="6" s="1"/>
  <c r="L47" i="6"/>
  <c r="H45" i="11"/>
  <c r="AB24" i="10"/>
  <c r="H45" i="12" s="1"/>
  <c r="J45" i="12" s="1"/>
  <c r="L63" i="9"/>
  <c r="AA20" i="8"/>
  <c r="L46" i="9" s="1"/>
  <c r="O8" i="4"/>
  <c r="L29" i="6" s="1"/>
  <c r="L12" i="6"/>
  <c r="H64" i="9"/>
  <c r="W21" i="8"/>
  <c r="G30" i="6"/>
  <c r="R9" i="8"/>
  <c r="J9" i="4"/>
  <c r="C30" i="12"/>
  <c r="B30" i="12"/>
  <c r="D30" i="12" s="1"/>
  <c r="T30" i="10"/>
  <c r="K63" i="9"/>
  <c r="Z20" i="8"/>
  <c r="K46" i="9" s="1"/>
  <c r="H29" i="11"/>
  <c r="I29" i="11"/>
  <c r="AA28" i="10"/>
  <c r="U28" i="10"/>
  <c r="J47" i="6"/>
  <c r="G21" i="4"/>
  <c r="J64" i="6" s="1"/>
  <c r="L28" i="9"/>
  <c r="AA7" i="8"/>
  <c r="L11" i="9" s="1"/>
  <c r="J28" i="11"/>
  <c r="AA82" i="10"/>
  <c r="AB82" i="10" s="1"/>
  <c r="U82" i="10"/>
  <c r="V82" i="10" s="1"/>
  <c r="AA187" i="10"/>
  <c r="AB187" i="10" s="1"/>
  <c r="U187" i="10"/>
  <c r="V187" i="10" s="1"/>
  <c r="D29" i="12"/>
  <c r="K47" i="6"/>
  <c r="K21" i="4"/>
  <c r="K64" i="6" s="1"/>
  <c r="G28" i="11"/>
  <c r="F64" i="9"/>
  <c r="U21" i="8"/>
  <c r="AA186" i="10"/>
  <c r="AB186" i="10" s="1"/>
  <c r="U186" i="10"/>
  <c r="V186" i="10" s="1"/>
  <c r="K8" i="4"/>
  <c r="K29" i="6" s="1"/>
  <c r="K12" i="6"/>
  <c r="R22" i="8"/>
  <c r="G65" i="6"/>
  <c r="J22" i="4"/>
  <c r="AA240" i="10"/>
  <c r="AB240" i="10" s="1"/>
  <c r="U240" i="10"/>
  <c r="V240" i="10" s="1"/>
  <c r="C45" i="11"/>
  <c r="V22" i="10"/>
  <c r="C45" i="12" s="1"/>
  <c r="AA238" i="10"/>
  <c r="AB238" i="10" s="1"/>
  <c r="U238" i="10"/>
  <c r="V238" i="10" s="1"/>
  <c r="E45" i="11"/>
  <c r="AB23" i="10"/>
  <c r="E45" i="12" s="1"/>
  <c r="AA239" i="10"/>
  <c r="AB239" i="10" s="1"/>
  <c r="U239" i="10"/>
  <c r="V239" i="10" s="1"/>
  <c r="F45" i="11"/>
  <c r="V23" i="10"/>
  <c r="F45" i="12" s="1"/>
  <c r="AA135" i="10"/>
  <c r="AB135" i="10" s="1"/>
  <c r="U135" i="10"/>
  <c r="V135" i="10" s="1"/>
  <c r="AA83" i="10"/>
  <c r="AB83" i="10" s="1"/>
  <c r="U83" i="10"/>
  <c r="V83" i="10" s="1"/>
  <c r="AA188" i="10"/>
  <c r="AB188" i="10" s="1"/>
  <c r="U188" i="10"/>
  <c r="V188" i="10" s="1"/>
  <c r="B45" i="11"/>
  <c r="AB22" i="10"/>
  <c r="B45" i="12" s="1"/>
  <c r="G29" i="9"/>
  <c r="V8" i="8"/>
  <c r="R10" i="8" l="1"/>
  <c r="G31" i="6"/>
  <c r="J10" i="4"/>
  <c r="J64" i="9"/>
  <c r="Y21" i="8"/>
  <c r="J47" i="9" s="1"/>
  <c r="F46" i="11"/>
  <c r="V27" i="10"/>
  <c r="F46" i="12" s="1"/>
  <c r="G15" i="6"/>
  <c r="J11" i="8"/>
  <c r="G15" i="9" s="1"/>
  <c r="K12" i="3"/>
  <c r="O11" i="3"/>
  <c r="I11" i="4"/>
  <c r="S91" i="10"/>
  <c r="T91" i="10" s="1"/>
  <c r="S143" i="10"/>
  <c r="T143" i="10" s="1"/>
  <c r="S39" i="10"/>
  <c r="S10" i="8"/>
  <c r="H31" i="6"/>
  <c r="N10" i="4"/>
  <c r="J29" i="9"/>
  <c r="Y8" i="8"/>
  <c r="J12" i="9" s="1"/>
  <c r="H15" i="6"/>
  <c r="K11" i="8"/>
  <c r="H15" i="9" s="1"/>
  <c r="L12" i="3"/>
  <c r="M11" i="4"/>
  <c r="P11" i="3"/>
  <c r="S144" i="10"/>
  <c r="T144" i="10" s="1"/>
  <c r="S92" i="10"/>
  <c r="T92" i="10" s="1"/>
  <c r="S40" i="10"/>
  <c r="L64" i="9"/>
  <c r="AA21" i="8"/>
  <c r="L47" i="9" s="1"/>
  <c r="G29" i="11"/>
  <c r="AA140" i="10"/>
  <c r="AB140" i="10" s="1"/>
  <c r="U140" i="10"/>
  <c r="V140" i="10" s="1"/>
  <c r="C31" i="12"/>
  <c r="B31" i="12"/>
  <c r="D31" i="12" s="1"/>
  <c r="T34" i="10"/>
  <c r="U88" i="10"/>
  <c r="V88" i="10" s="1"/>
  <c r="AA88" i="10"/>
  <c r="AB88" i="10" s="1"/>
  <c r="H65" i="9"/>
  <c r="W22" i="8"/>
  <c r="AA242" i="10"/>
  <c r="AB242" i="10" s="1"/>
  <c r="U242" i="10"/>
  <c r="V242" i="10" s="1"/>
  <c r="AA86" i="10"/>
  <c r="AB86" i="10" s="1"/>
  <c r="U86" i="10"/>
  <c r="V86" i="10" s="1"/>
  <c r="AA244" i="10"/>
  <c r="AB244" i="10" s="1"/>
  <c r="U244" i="10"/>
  <c r="V244" i="10" s="1"/>
  <c r="K13" i="6"/>
  <c r="K9" i="4"/>
  <c r="K30" i="6" s="1"/>
  <c r="S194" i="10"/>
  <c r="T194" i="10" s="1"/>
  <c r="F50" i="6"/>
  <c r="I24" i="8"/>
  <c r="F50" i="9" s="1"/>
  <c r="E24" i="4"/>
  <c r="J25" i="3"/>
  <c r="N24" i="3"/>
  <c r="S246" i="10"/>
  <c r="T246" i="10" s="1"/>
  <c r="G22" i="4"/>
  <c r="J65" i="6" s="1"/>
  <c r="J48" i="6"/>
  <c r="F31" i="12"/>
  <c r="E31" i="12"/>
  <c r="G31" i="12" s="1"/>
  <c r="T35" i="10"/>
  <c r="AA87" i="10"/>
  <c r="AB87" i="10" s="1"/>
  <c r="U87" i="10"/>
  <c r="V87" i="10" s="1"/>
  <c r="H30" i="9"/>
  <c r="W9" i="8"/>
  <c r="J45" i="11"/>
  <c r="F66" i="6"/>
  <c r="Q23" i="8"/>
  <c r="F23" i="4"/>
  <c r="H30" i="11"/>
  <c r="I30" i="11"/>
  <c r="U32" i="10"/>
  <c r="AA32" i="10"/>
  <c r="G45" i="11"/>
  <c r="O22" i="4"/>
  <c r="L65" i="6" s="1"/>
  <c r="L48" i="6"/>
  <c r="C46" i="11"/>
  <c r="V26" i="10"/>
  <c r="C46" i="12" s="1"/>
  <c r="F65" i="9"/>
  <c r="U22" i="8"/>
  <c r="Q10" i="8"/>
  <c r="F31" i="6"/>
  <c r="F10" i="4"/>
  <c r="B46" i="11"/>
  <c r="D46" i="11" s="1"/>
  <c r="AB26" i="10"/>
  <c r="B46" i="12" s="1"/>
  <c r="D46" i="12" s="1"/>
  <c r="AA243" i="10"/>
  <c r="AB243" i="10" s="1"/>
  <c r="U243" i="10"/>
  <c r="V243" i="10" s="1"/>
  <c r="E46" i="11"/>
  <c r="G46" i="11" s="1"/>
  <c r="AB27" i="10"/>
  <c r="E46" i="12" s="1"/>
  <c r="G46" i="12" s="1"/>
  <c r="D29" i="11"/>
  <c r="I11" i="8"/>
  <c r="F15" i="9" s="1"/>
  <c r="J12" i="3"/>
  <c r="F15" i="6"/>
  <c r="N11" i="3"/>
  <c r="E11" i="4"/>
  <c r="S90" i="10"/>
  <c r="T90" i="10" s="1"/>
  <c r="S38" i="10"/>
  <c r="S142" i="10"/>
  <c r="T142" i="10" s="1"/>
  <c r="AA190" i="10"/>
  <c r="AB190" i="10" s="1"/>
  <c r="U190" i="10"/>
  <c r="V190" i="10" s="1"/>
  <c r="AA138" i="10"/>
  <c r="AB138" i="10" s="1"/>
  <c r="U138" i="10"/>
  <c r="V138" i="10" s="1"/>
  <c r="D45" i="12"/>
  <c r="G65" i="9"/>
  <c r="V22" i="8"/>
  <c r="G9" i="4"/>
  <c r="J30" i="6" s="1"/>
  <c r="J13" i="6"/>
  <c r="AA192" i="10"/>
  <c r="AB192" i="10" s="1"/>
  <c r="U192" i="10"/>
  <c r="V192" i="10" s="1"/>
  <c r="F30" i="9"/>
  <c r="U9" i="8"/>
  <c r="S195" i="10"/>
  <c r="T195" i="10" s="1"/>
  <c r="K25" i="3"/>
  <c r="J24" i="8"/>
  <c r="G50" i="9" s="1"/>
  <c r="O24" i="3"/>
  <c r="G50" i="6"/>
  <c r="I24" i="4"/>
  <c r="S247" i="10"/>
  <c r="T247" i="10" s="1"/>
  <c r="H31" i="12"/>
  <c r="I31" i="12"/>
  <c r="T36" i="10"/>
  <c r="L13" i="6"/>
  <c r="O9" i="4"/>
  <c r="L30" i="6" s="1"/>
  <c r="G30" i="9"/>
  <c r="V9" i="8"/>
  <c r="I46" i="11"/>
  <c r="V28" i="10"/>
  <c r="I46" i="12" s="1"/>
  <c r="D45" i="11"/>
  <c r="L25" i="3"/>
  <c r="K24" i="8"/>
  <c r="H50" i="9" s="1"/>
  <c r="H50" i="6"/>
  <c r="P24" i="3"/>
  <c r="M24" i="4"/>
  <c r="S248" i="10"/>
  <c r="T248" i="10" s="1"/>
  <c r="S196" i="10"/>
  <c r="T196" i="10" s="1"/>
  <c r="G66" i="6"/>
  <c r="R23" i="8"/>
  <c r="J23" i="4"/>
  <c r="K64" i="9"/>
  <c r="Z21" i="8"/>
  <c r="K47" i="9" s="1"/>
  <c r="G45" i="12"/>
  <c r="K29" i="9"/>
  <c r="Z8" i="8"/>
  <c r="K12" i="9" s="1"/>
  <c r="K48" i="6"/>
  <c r="K22" i="4"/>
  <c r="K65" i="6" s="1"/>
  <c r="H46" i="11"/>
  <c r="AB28" i="10"/>
  <c r="H46" i="12" s="1"/>
  <c r="J29" i="11"/>
  <c r="L29" i="9"/>
  <c r="AA8" i="8"/>
  <c r="L12" i="9" s="1"/>
  <c r="S23" i="8"/>
  <c r="H66" i="6"/>
  <c r="N23" i="4"/>
  <c r="E30" i="11"/>
  <c r="F30" i="11"/>
  <c r="AA31" i="10"/>
  <c r="U31" i="10"/>
  <c r="C30" i="11"/>
  <c r="B30" i="11"/>
  <c r="D30" i="11" s="1"/>
  <c r="AA30" i="10"/>
  <c r="U30" i="10"/>
  <c r="G30" i="12"/>
  <c r="AA139" i="10"/>
  <c r="AB139" i="10" s="1"/>
  <c r="U139" i="10"/>
  <c r="V139" i="10" s="1"/>
  <c r="U191" i="10"/>
  <c r="V191" i="10" s="1"/>
  <c r="AA191" i="10"/>
  <c r="AB191" i="10" s="1"/>
  <c r="K65" i="9" l="1"/>
  <c r="Z22" i="8"/>
  <c r="K48" i="9" s="1"/>
  <c r="J14" i="6"/>
  <c r="G10" i="4"/>
  <c r="J31" i="6" s="1"/>
  <c r="F31" i="11"/>
  <c r="E31" i="11"/>
  <c r="G31" i="11" s="1"/>
  <c r="AA35" i="10"/>
  <c r="U35" i="10"/>
  <c r="H31" i="9"/>
  <c r="W10" i="8"/>
  <c r="L49" i="6"/>
  <c r="O23" i="4"/>
  <c r="L66" i="6" s="1"/>
  <c r="F32" i="12"/>
  <c r="E32" i="12"/>
  <c r="T39" i="10"/>
  <c r="G30" i="11"/>
  <c r="C31" i="11"/>
  <c r="B31" i="11"/>
  <c r="AA34" i="10"/>
  <c r="U34" i="10"/>
  <c r="AA143" i="10"/>
  <c r="AB143" i="10" s="1"/>
  <c r="U143" i="10"/>
  <c r="V143" i="10" s="1"/>
  <c r="J30" i="9"/>
  <c r="Y9" i="8"/>
  <c r="J13" i="9" s="1"/>
  <c r="H51" i="6"/>
  <c r="K25" i="8"/>
  <c r="H51" i="9" s="1"/>
  <c r="M25" i="4"/>
  <c r="L26" i="3"/>
  <c r="P25" i="3"/>
  <c r="S252" i="10"/>
  <c r="T252" i="10" s="1"/>
  <c r="S200" i="10"/>
  <c r="T200" i="10" s="1"/>
  <c r="AA91" i="10"/>
  <c r="AB91" i="10" s="1"/>
  <c r="U91" i="10"/>
  <c r="V91" i="10" s="1"/>
  <c r="K30" i="9"/>
  <c r="Z9" i="8"/>
  <c r="K13" i="9" s="1"/>
  <c r="AA246" i="10"/>
  <c r="AB246" i="10" s="1"/>
  <c r="U246" i="10"/>
  <c r="V246" i="10" s="1"/>
  <c r="R11" i="8"/>
  <c r="G32" i="6"/>
  <c r="J11" i="4"/>
  <c r="L30" i="9"/>
  <c r="AA9" i="8"/>
  <c r="L13" i="9" s="1"/>
  <c r="F67" i="6"/>
  <c r="Q24" i="8"/>
  <c r="F24" i="4"/>
  <c r="G16" i="6"/>
  <c r="I12" i="4"/>
  <c r="J12" i="8"/>
  <c r="G16" i="9" s="1"/>
  <c r="O12" i="3"/>
  <c r="K13" i="3"/>
  <c r="S95" i="10"/>
  <c r="T95" i="10" s="1"/>
  <c r="S43" i="10"/>
  <c r="S147" i="10"/>
  <c r="T147" i="10" s="1"/>
  <c r="J46" i="11"/>
  <c r="AA142" i="10"/>
  <c r="AB142" i="10" s="1"/>
  <c r="U142" i="10"/>
  <c r="V142" i="10" s="1"/>
  <c r="J26" i="3"/>
  <c r="E25" i="4"/>
  <c r="N25" i="3"/>
  <c r="I25" i="8"/>
  <c r="F51" i="9" s="1"/>
  <c r="F51" i="6"/>
  <c r="S198" i="10"/>
  <c r="T198" i="10" s="1"/>
  <c r="S250" i="10"/>
  <c r="T250" i="10" s="1"/>
  <c r="I31" i="11"/>
  <c r="H31" i="11"/>
  <c r="J31" i="11" s="1"/>
  <c r="AA36" i="10"/>
  <c r="U36" i="10"/>
  <c r="J31" i="12"/>
  <c r="C32" i="12"/>
  <c r="B32" i="12"/>
  <c r="D32" i="12" s="1"/>
  <c r="T38" i="10"/>
  <c r="S24" i="8"/>
  <c r="H67" i="6"/>
  <c r="N24" i="4"/>
  <c r="J65" i="9"/>
  <c r="Y22" i="8"/>
  <c r="J48" i="9" s="1"/>
  <c r="O10" i="4"/>
  <c r="L31" i="6" s="1"/>
  <c r="L14" i="6"/>
  <c r="J46" i="12"/>
  <c r="AA247" i="10"/>
  <c r="AB247" i="10" s="1"/>
  <c r="U247" i="10"/>
  <c r="V247" i="10" s="1"/>
  <c r="H47" i="11"/>
  <c r="J47" i="11" s="1"/>
  <c r="AB32" i="10"/>
  <c r="H47" i="12" s="1"/>
  <c r="J47" i="12" s="1"/>
  <c r="H32" i="12"/>
  <c r="J32" i="12" s="1"/>
  <c r="I32" i="12"/>
  <c r="T40" i="10"/>
  <c r="B47" i="11"/>
  <c r="D47" i="11" s="1"/>
  <c r="AB30" i="10"/>
  <c r="B47" i="12" s="1"/>
  <c r="D47" i="12" s="1"/>
  <c r="K49" i="6"/>
  <c r="K23" i="4"/>
  <c r="K66" i="6" s="1"/>
  <c r="F32" i="6"/>
  <c r="Q11" i="8"/>
  <c r="F11" i="4"/>
  <c r="I47" i="11"/>
  <c r="V32" i="10"/>
  <c r="I47" i="12" s="1"/>
  <c r="AA194" i="10"/>
  <c r="AB194" i="10" s="1"/>
  <c r="U194" i="10"/>
  <c r="V194" i="10" s="1"/>
  <c r="AA92" i="10"/>
  <c r="AB92" i="10" s="1"/>
  <c r="U92" i="10"/>
  <c r="V92" i="10" s="1"/>
  <c r="H66" i="9"/>
  <c r="W23" i="8"/>
  <c r="L65" i="9"/>
  <c r="AA22" i="8"/>
  <c r="L48" i="9" s="1"/>
  <c r="AA144" i="10"/>
  <c r="AB144" i="10" s="1"/>
  <c r="U144" i="10"/>
  <c r="V144" i="10" s="1"/>
  <c r="AA90" i="10"/>
  <c r="AB90" i="10" s="1"/>
  <c r="U90" i="10"/>
  <c r="V90" i="10" s="1"/>
  <c r="C47" i="11"/>
  <c r="V30" i="10"/>
  <c r="C47" i="12" s="1"/>
  <c r="J30" i="11"/>
  <c r="H32" i="6"/>
  <c r="S11" i="8"/>
  <c r="N11" i="4"/>
  <c r="K10" i="4"/>
  <c r="K31" i="6" s="1"/>
  <c r="K14" i="6"/>
  <c r="G66" i="9"/>
  <c r="V23" i="8"/>
  <c r="R24" i="8"/>
  <c r="G67" i="6"/>
  <c r="J24" i="4"/>
  <c r="AA196" i="10"/>
  <c r="AB196" i="10" s="1"/>
  <c r="U196" i="10"/>
  <c r="V196" i="10" s="1"/>
  <c r="K26" i="3"/>
  <c r="G51" i="6"/>
  <c r="J25" i="8"/>
  <c r="G51" i="9" s="1"/>
  <c r="I25" i="4"/>
  <c r="O25" i="3"/>
  <c r="S199" i="10"/>
  <c r="T199" i="10" s="1"/>
  <c r="S251" i="10"/>
  <c r="T251" i="10" s="1"/>
  <c r="J49" i="6"/>
  <c r="G23" i="4"/>
  <c r="J66" i="6" s="1"/>
  <c r="F31" i="9"/>
  <c r="U10" i="8"/>
  <c r="S94" i="10"/>
  <c r="T94" i="10" s="1"/>
  <c r="E12" i="4"/>
  <c r="N12" i="3"/>
  <c r="F16" i="6"/>
  <c r="I12" i="8"/>
  <c r="F16" i="9" s="1"/>
  <c r="J13" i="3"/>
  <c r="S146" i="10"/>
  <c r="T146" i="10" s="1"/>
  <c r="S42" i="10"/>
  <c r="F47" i="11"/>
  <c r="V31" i="10"/>
  <c r="F47" i="12" s="1"/>
  <c r="E47" i="11"/>
  <c r="AB31" i="10"/>
  <c r="E47" i="12" s="1"/>
  <c r="G47" i="12" s="1"/>
  <c r="AA248" i="10"/>
  <c r="AB248" i="10" s="1"/>
  <c r="U248" i="10"/>
  <c r="V248" i="10" s="1"/>
  <c r="AA195" i="10"/>
  <c r="AB195" i="10" s="1"/>
  <c r="U195" i="10"/>
  <c r="V195" i="10" s="1"/>
  <c r="F66" i="9"/>
  <c r="U23" i="8"/>
  <c r="K12" i="8"/>
  <c r="H16" i="9" s="1"/>
  <c r="P12" i="3"/>
  <c r="H16" i="6"/>
  <c r="L13" i="3"/>
  <c r="M12" i="4"/>
  <c r="S44" i="10"/>
  <c r="S148" i="10"/>
  <c r="T148" i="10" s="1"/>
  <c r="S96" i="10"/>
  <c r="T96" i="10" s="1"/>
  <c r="G31" i="9"/>
  <c r="V10" i="8"/>
  <c r="K11" i="4" l="1"/>
  <c r="K32" i="6" s="1"/>
  <c r="K15" i="6"/>
  <c r="D31" i="11"/>
  <c r="G32" i="9"/>
  <c r="V11" i="8"/>
  <c r="F68" i="6"/>
  <c r="Q25" i="8"/>
  <c r="F25" i="4"/>
  <c r="F32" i="11"/>
  <c r="E32" i="11"/>
  <c r="G32" i="11" s="1"/>
  <c r="AA39" i="10"/>
  <c r="U39" i="10"/>
  <c r="G32" i="12"/>
  <c r="G47" i="11"/>
  <c r="H32" i="11"/>
  <c r="J32" i="11" s="1"/>
  <c r="I32" i="11"/>
  <c r="AA40" i="10"/>
  <c r="U40" i="10"/>
  <c r="L31" i="9"/>
  <c r="AA10" i="8"/>
  <c r="L14" i="9" s="1"/>
  <c r="B48" i="11"/>
  <c r="D48" i="11" s="1"/>
  <c r="AB34" i="10"/>
  <c r="B48" i="12" s="1"/>
  <c r="D48" i="12" s="1"/>
  <c r="B33" i="12"/>
  <c r="C33" i="12"/>
  <c r="T42" i="10"/>
  <c r="AA147" i="10"/>
  <c r="AB147" i="10" s="1"/>
  <c r="U147" i="10"/>
  <c r="V147" i="10" s="1"/>
  <c r="AA200" i="10"/>
  <c r="AB200" i="10" s="1"/>
  <c r="U200" i="10"/>
  <c r="V200" i="10" s="1"/>
  <c r="K24" i="4"/>
  <c r="K67" i="6" s="1"/>
  <c r="K50" i="6"/>
  <c r="AA146" i="10"/>
  <c r="AB146" i="10" s="1"/>
  <c r="U146" i="10"/>
  <c r="V146" i="10" s="1"/>
  <c r="G67" i="9"/>
  <c r="V24" i="8"/>
  <c r="O24" i="4"/>
  <c r="L67" i="6" s="1"/>
  <c r="L50" i="6"/>
  <c r="E33" i="12"/>
  <c r="G33" i="12" s="1"/>
  <c r="F33" i="12"/>
  <c r="T43" i="10"/>
  <c r="AA252" i="10"/>
  <c r="AB252" i="10" s="1"/>
  <c r="U252" i="10"/>
  <c r="V252" i="10" s="1"/>
  <c r="F48" i="11"/>
  <c r="V35" i="10"/>
  <c r="F48" i="12" s="1"/>
  <c r="C48" i="11"/>
  <c r="V34" i="10"/>
  <c r="C48" i="12" s="1"/>
  <c r="AA95" i="10"/>
  <c r="AB95" i="10" s="1"/>
  <c r="U95" i="10"/>
  <c r="V95" i="10" s="1"/>
  <c r="S25" i="8"/>
  <c r="H68" i="6"/>
  <c r="N25" i="4"/>
  <c r="E48" i="11"/>
  <c r="AB35" i="10"/>
  <c r="E48" i="12" s="1"/>
  <c r="H52" i="6"/>
  <c r="M26" i="4"/>
  <c r="P26" i="3"/>
  <c r="K26" i="8"/>
  <c r="H52" i="9" s="1"/>
  <c r="L27" i="3"/>
  <c r="S256" i="10"/>
  <c r="T256" i="10" s="1"/>
  <c r="S204" i="10"/>
  <c r="T204" i="10" s="1"/>
  <c r="AA251" i="10"/>
  <c r="AB251" i="10" s="1"/>
  <c r="U251" i="10"/>
  <c r="V251" i="10" s="1"/>
  <c r="G33" i="6"/>
  <c r="R12" i="8"/>
  <c r="J12" i="4"/>
  <c r="AA250" i="10"/>
  <c r="AB250" i="10" s="1"/>
  <c r="U250" i="10"/>
  <c r="V250" i="10" s="1"/>
  <c r="G68" i="6"/>
  <c r="R25" i="8"/>
  <c r="J25" i="4"/>
  <c r="G52" i="6"/>
  <c r="J26" i="8"/>
  <c r="G52" i="9" s="1"/>
  <c r="O26" i="3"/>
  <c r="I26" i="4"/>
  <c r="K27" i="3"/>
  <c r="S203" i="10"/>
  <c r="T203" i="10" s="1"/>
  <c r="S255" i="10"/>
  <c r="T255" i="10" s="1"/>
  <c r="K66" i="9"/>
  <c r="Z23" i="8"/>
  <c r="K49" i="9" s="1"/>
  <c r="AA199" i="10"/>
  <c r="AB199" i="10" s="1"/>
  <c r="U199" i="10"/>
  <c r="V199" i="10" s="1"/>
  <c r="C32" i="11"/>
  <c r="B32" i="11"/>
  <c r="D32" i="11" s="1"/>
  <c r="U38" i="10"/>
  <c r="AA38" i="10"/>
  <c r="J66" i="9"/>
  <c r="Y23" i="8"/>
  <c r="J49" i="9" s="1"/>
  <c r="L66" i="9"/>
  <c r="AA23" i="8"/>
  <c r="L49" i="9" s="1"/>
  <c r="N26" i="3"/>
  <c r="I26" i="8"/>
  <c r="F52" i="9" s="1"/>
  <c r="F52" i="6"/>
  <c r="E26" i="4"/>
  <c r="J27" i="3"/>
  <c r="S254" i="10"/>
  <c r="T254" i="10" s="1"/>
  <c r="S202" i="10"/>
  <c r="T202" i="10" s="1"/>
  <c r="S98" i="10"/>
  <c r="T98" i="10" s="1"/>
  <c r="I13" i="8"/>
  <c r="F17" i="9" s="1"/>
  <c r="S46" i="10"/>
  <c r="J14" i="3"/>
  <c r="N13" i="3"/>
  <c r="E13" i="4"/>
  <c r="F17" i="6"/>
  <c r="S150" i="10"/>
  <c r="T150" i="10" s="1"/>
  <c r="S151" i="10"/>
  <c r="T151" i="10" s="1"/>
  <c r="J13" i="8"/>
  <c r="G17" i="9" s="1"/>
  <c r="G17" i="6"/>
  <c r="K14" i="3"/>
  <c r="O13" i="3"/>
  <c r="I13" i="4"/>
  <c r="S99" i="10"/>
  <c r="T99" i="10" s="1"/>
  <c r="S47" i="10"/>
  <c r="G11" i="4"/>
  <c r="J32" i="6" s="1"/>
  <c r="J15" i="6"/>
  <c r="F32" i="9"/>
  <c r="U11" i="8"/>
  <c r="I33" i="12"/>
  <c r="H33" i="12"/>
  <c r="T44" i="10"/>
  <c r="AA94" i="10"/>
  <c r="AB94" i="10" s="1"/>
  <c r="U94" i="10"/>
  <c r="V94" i="10" s="1"/>
  <c r="H32" i="9"/>
  <c r="W11" i="8"/>
  <c r="H48" i="11"/>
  <c r="AB36" i="10"/>
  <c r="H48" i="12" s="1"/>
  <c r="J48" i="12" s="1"/>
  <c r="F67" i="9"/>
  <c r="U24" i="8"/>
  <c r="S12" i="8"/>
  <c r="H33" i="6"/>
  <c r="N12" i="4"/>
  <c r="AA198" i="10"/>
  <c r="AB198" i="10" s="1"/>
  <c r="U198" i="10"/>
  <c r="V198" i="10" s="1"/>
  <c r="K31" i="9"/>
  <c r="Z10" i="8"/>
  <c r="K14" i="9" s="1"/>
  <c r="H67" i="9"/>
  <c r="W24" i="8"/>
  <c r="AA96" i="10"/>
  <c r="AB96" i="10" s="1"/>
  <c r="U96" i="10"/>
  <c r="V96" i="10" s="1"/>
  <c r="AA148" i="10"/>
  <c r="AB148" i="10" s="1"/>
  <c r="U148" i="10"/>
  <c r="V148" i="10" s="1"/>
  <c r="Q12" i="8"/>
  <c r="F33" i="6"/>
  <c r="F12" i="4"/>
  <c r="L15" i="6"/>
  <c r="O11" i="4"/>
  <c r="L32" i="6" s="1"/>
  <c r="M13" i="4"/>
  <c r="L14" i="3"/>
  <c r="P13" i="3"/>
  <c r="K13" i="8"/>
  <c r="H17" i="9" s="1"/>
  <c r="H17" i="6"/>
  <c r="S48" i="10"/>
  <c r="S100" i="10"/>
  <c r="T100" i="10" s="1"/>
  <c r="S152" i="10"/>
  <c r="T152" i="10" s="1"/>
  <c r="J31" i="9"/>
  <c r="Y10" i="8"/>
  <c r="J14" i="9" s="1"/>
  <c r="I48" i="11"/>
  <c r="V36" i="10"/>
  <c r="I48" i="12" s="1"/>
  <c r="G24" i="4"/>
  <c r="J67" i="6" s="1"/>
  <c r="J50" i="6"/>
  <c r="C49" i="11" l="1"/>
  <c r="V38" i="10"/>
  <c r="C49" i="12" s="1"/>
  <c r="F33" i="11"/>
  <c r="E33" i="11"/>
  <c r="AA43" i="10"/>
  <c r="U43" i="10"/>
  <c r="I49" i="11"/>
  <c r="V40" i="10"/>
  <c r="I49" i="12" s="1"/>
  <c r="G33" i="9"/>
  <c r="V12" i="8"/>
  <c r="J67" i="9"/>
  <c r="Y24" i="8"/>
  <c r="J50" i="9" s="1"/>
  <c r="H49" i="11"/>
  <c r="J49" i="11" s="1"/>
  <c r="AB40" i="10"/>
  <c r="H49" i="12" s="1"/>
  <c r="J49" i="12" s="1"/>
  <c r="AA151" i="10"/>
  <c r="AB151" i="10" s="1"/>
  <c r="U151" i="10"/>
  <c r="V151" i="10" s="1"/>
  <c r="H34" i="6"/>
  <c r="S13" i="8"/>
  <c r="N13" i="4"/>
  <c r="AA150" i="10"/>
  <c r="AB150" i="10" s="1"/>
  <c r="U150" i="10"/>
  <c r="V150" i="10" s="1"/>
  <c r="K14" i="8"/>
  <c r="H18" i="9" s="1"/>
  <c r="M14" i="4"/>
  <c r="H18" i="6"/>
  <c r="P14" i="3"/>
  <c r="S156" i="10"/>
  <c r="T156" i="10" s="1"/>
  <c r="S104" i="10"/>
  <c r="T104" i="10" s="1"/>
  <c r="S52" i="10"/>
  <c r="K27" i="8"/>
  <c r="H53" i="9" s="1"/>
  <c r="M27" i="4"/>
  <c r="H53" i="6"/>
  <c r="P27" i="3"/>
  <c r="S260" i="10"/>
  <c r="T260" i="10" s="1"/>
  <c r="S208" i="10"/>
  <c r="T208" i="10" s="1"/>
  <c r="L32" i="9"/>
  <c r="AA11" i="8"/>
  <c r="L15" i="9" s="1"/>
  <c r="K67" i="9"/>
  <c r="Z24" i="8"/>
  <c r="K50" i="9" s="1"/>
  <c r="AA256" i="10"/>
  <c r="AB256" i="10" s="1"/>
  <c r="U256" i="10"/>
  <c r="V256" i="10" s="1"/>
  <c r="E14" i="4"/>
  <c r="N14" i="3"/>
  <c r="I14" i="8"/>
  <c r="F18" i="9" s="1"/>
  <c r="F18" i="6"/>
  <c r="S154" i="10"/>
  <c r="T154" i="10" s="1"/>
  <c r="S50" i="10"/>
  <c r="S102" i="10"/>
  <c r="T102" i="10" s="1"/>
  <c r="S26" i="8"/>
  <c r="H69" i="6"/>
  <c r="N26" i="4"/>
  <c r="F49" i="11"/>
  <c r="V39" i="10"/>
  <c r="F49" i="12" s="1"/>
  <c r="AA100" i="10"/>
  <c r="AB100" i="10" s="1"/>
  <c r="U100" i="10"/>
  <c r="V100" i="10" s="1"/>
  <c r="J48" i="11"/>
  <c r="F34" i="6"/>
  <c r="Q13" i="8"/>
  <c r="F13" i="4"/>
  <c r="G12" i="4"/>
  <c r="J33" i="6" s="1"/>
  <c r="J16" i="6"/>
  <c r="C34" i="12"/>
  <c r="B34" i="12"/>
  <c r="D34" i="12" s="1"/>
  <c r="T46" i="10"/>
  <c r="AA255" i="10"/>
  <c r="AB255" i="10" s="1"/>
  <c r="U255" i="10"/>
  <c r="V255" i="10" s="1"/>
  <c r="E49" i="11"/>
  <c r="G49" i="11" s="1"/>
  <c r="AB39" i="10"/>
  <c r="E49" i="12" s="1"/>
  <c r="G34" i="6"/>
  <c r="R13" i="8"/>
  <c r="J13" i="4"/>
  <c r="AA203" i="10"/>
  <c r="AB203" i="10" s="1"/>
  <c r="U203" i="10"/>
  <c r="V203" i="10" s="1"/>
  <c r="AA152" i="10"/>
  <c r="AB152" i="10" s="1"/>
  <c r="U152" i="10"/>
  <c r="V152" i="10" s="1"/>
  <c r="K12" i="4"/>
  <c r="K33" i="6" s="1"/>
  <c r="K16" i="6"/>
  <c r="H34" i="12"/>
  <c r="I34" i="12"/>
  <c r="T48" i="10"/>
  <c r="H33" i="9"/>
  <c r="W12" i="8"/>
  <c r="G48" i="12"/>
  <c r="B49" i="11"/>
  <c r="D49" i="11" s="1"/>
  <c r="AB38" i="10"/>
  <c r="B49" i="12" s="1"/>
  <c r="D49" i="12" s="1"/>
  <c r="J33" i="12"/>
  <c r="AA202" i="10"/>
  <c r="AB202" i="10" s="1"/>
  <c r="U202" i="10"/>
  <c r="V202" i="10" s="1"/>
  <c r="G48" i="11"/>
  <c r="G25" i="4"/>
  <c r="J68" i="6" s="1"/>
  <c r="J51" i="6"/>
  <c r="AA254" i="10"/>
  <c r="AB254" i="10" s="1"/>
  <c r="U254" i="10"/>
  <c r="V254" i="10" s="1"/>
  <c r="R26" i="8"/>
  <c r="G69" i="6"/>
  <c r="J26" i="4"/>
  <c r="O25" i="4"/>
  <c r="L68" i="6" s="1"/>
  <c r="L51" i="6"/>
  <c r="F68" i="9"/>
  <c r="U25" i="8"/>
  <c r="I27" i="8"/>
  <c r="F53" i="9" s="1"/>
  <c r="F53" i="6"/>
  <c r="E27" i="4"/>
  <c r="N27" i="3"/>
  <c r="S258" i="10"/>
  <c r="T258" i="10" s="1"/>
  <c r="S206" i="10"/>
  <c r="T206" i="10" s="1"/>
  <c r="J14" i="8"/>
  <c r="G18" i="9" s="1"/>
  <c r="O14" i="3"/>
  <c r="I14" i="4"/>
  <c r="G18" i="6"/>
  <c r="S51" i="10"/>
  <c r="S155" i="10"/>
  <c r="T155" i="10" s="1"/>
  <c r="S103" i="10"/>
  <c r="T103" i="10" s="1"/>
  <c r="AA204" i="10"/>
  <c r="AB204" i="10" s="1"/>
  <c r="U204" i="10"/>
  <c r="V204" i="10" s="1"/>
  <c r="F33" i="9"/>
  <c r="U12" i="8"/>
  <c r="H33" i="11"/>
  <c r="I33" i="11"/>
  <c r="U44" i="10"/>
  <c r="AA44" i="10"/>
  <c r="AA98" i="10"/>
  <c r="AB98" i="10" s="1"/>
  <c r="U98" i="10"/>
  <c r="V98" i="10" s="1"/>
  <c r="S259" i="10"/>
  <c r="T259" i="10" s="1"/>
  <c r="J27" i="8"/>
  <c r="G53" i="9" s="1"/>
  <c r="I27" i="4"/>
  <c r="G53" i="6"/>
  <c r="O27" i="3"/>
  <c r="S207" i="10"/>
  <c r="T207" i="10" s="1"/>
  <c r="H68" i="9"/>
  <c r="W25" i="8"/>
  <c r="K32" i="9"/>
  <c r="Z11" i="8"/>
  <c r="K15" i="9" s="1"/>
  <c r="J32" i="9"/>
  <c r="Y11" i="8"/>
  <c r="J15" i="9" s="1"/>
  <c r="L67" i="9"/>
  <c r="AA24" i="8"/>
  <c r="L50" i="9" s="1"/>
  <c r="K25" i="4"/>
  <c r="K68" i="6" s="1"/>
  <c r="K51" i="6"/>
  <c r="G68" i="9"/>
  <c r="V25" i="8"/>
  <c r="C33" i="11"/>
  <c r="B33" i="11"/>
  <c r="D33" i="11" s="1"/>
  <c r="AA42" i="10"/>
  <c r="U42" i="10"/>
  <c r="L16" i="6"/>
  <c r="O12" i="4"/>
  <c r="L33" i="6" s="1"/>
  <c r="E34" i="12"/>
  <c r="G34" i="12" s="1"/>
  <c r="F34" i="12"/>
  <c r="T47" i="10"/>
  <c r="Q26" i="8"/>
  <c r="F69" i="6"/>
  <c r="F26" i="4"/>
  <c r="U99" i="10"/>
  <c r="V99" i="10" s="1"/>
  <c r="AA99" i="10"/>
  <c r="AB99" i="10" s="1"/>
  <c r="D33" i="12"/>
  <c r="F35" i="12" l="1"/>
  <c r="E35" i="12"/>
  <c r="G35" i="12" s="1"/>
  <c r="T51" i="10"/>
  <c r="G26" i="4"/>
  <c r="J69" i="6" s="1"/>
  <c r="J52" i="6"/>
  <c r="L68" i="9"/>
  <c r="AA25" i="8"/>
  <c r="L51" i="9" s="1"/>
  <c r="F35" i="6"/>
  <c r="Q14" i="8"/>
  <c r="F14" i="4"/>
  <c r="B34" i="11"/>
  <c r="C34" i="11"/>
  <c r="AA46" i="10"/>
  <c r="U46" i="10"/>
  <c r="L17" i="6"/>
  <c r="O13" i="4"/>
  <c r="L34" i="6" s="1"/>
  <c r="H34" i="9"/>
  <c r="W13" i="8"/>
  <c r="AA258" i="10"/>
  <c r="AB258" i="10" s="1"/>
  <c r="U258" i="10"/>
  <c r="V258" i="10" s="1"/>
  <c r="J17" i="6"/>
  <c r="G13" i="4"/>
  <c r="J34" i="6" s="1"/>
  <c r="F34" i="9"/>
  <c r="U13" i="8"/>
  <c r="C50" i="11"/>
  <c r="V42" i="10"/>
  <c r="C50" i="12" s="1"/>
  <c r="AA208" i="10"/>
  <c r="AB208" i="10" s="1"/>
  <c r="U208" i="10"/>
  <c r="V208" i="10" s="1"/>
  <c r="J68" i="9"/>
  <c r="Y25" i="8"/>
  <c r="J51" i="9" s="1"/>
  <c r="J34" i="12"/>
  <c r="AA260" i="10"/>
  <c r="AB260" i="10" s="1"/>
  <c r="U260" i="10"/>
  <c r="V260" i="10" s="1"/>
  <c r="H50" i="11"/>
  <c r="AB44" i="10"/>
  <c r="H50" i="12" s="1"/>
  <c r="J50" i="12" s="1"/>
  <c r="H70" i="6"/>
  <c r="S27" i="8"/>
  <c r="N27" i="4"/>
  <c r="K33" i="9"/>
  <c r="Z12" i="8"/>
  <c r="K16" i="9" s="1"/>
  <c r="AA206" i="10"/>
  <c r="AB206" i="10" s="1"/>
  <c r="U206" i="10"/>
  <c r="V206" i="10" s="1"/>
  <c r="Q27" i="8"/>
  <c r="F70" i="6"/>
  <c r="F27" i="4"/>
  <c r="L33" i="9"/>
  <c r="AA12" i="8"/>
  <c r="L16" i="9" s="1"/>
  <c r="AA259" i="10"/>
  <c r="AB259" i="10" s="1"/>
  <c r="U259" i="10"/>
  <c r="V259" i="10" s="1"/>
  <c r="I34" i="11"/>
  <c r="H34" i="11"/>
  <c r="J34" i="11" s="1"/>
  <c r="AA48" i="10"/>
  <c r="U48" i="10"/>
  <c r="B50" i="11"/>
  <c r="D50" i="11" s="1"/>
  <c r="AB42" i="10"/>
  <c r="B50" i="12" s="1"/>
  <c r="D50" i="12" s="1"/>
  <c r="I50" i="11"/>
  <c r="V44" i="10"/>
  <c r="I50" i="12" s="1"/>
  <c r="G35" i="6"/>
  <c r="R14" i="8"/>
  <c r="J14" i="4"/>
  <c r="K68" i="9"/>
  <c r="Z25" i="8"/>
  <c r="K51" i="9" s="1"/>
  <c r="K26" i="4"/>
  <c r="K69" i="6" s="1"/>
  <c r="K52" i="6"/>
  <c r="J33" i="9"/>
  <c r="Y12" i="8"/>
  <c r="J16" i="9" s="1"/>
  <c r="O26" i="4"/>
  <c r="L69" i="6" s="1"/>
  <c r="L52" i="6"/>
  <c r="I35" i="12"/>
  <c r="H35" i="12"/>
  <c r="T52" i="10"/>
  <c r="F50" i="11"/>
  <c r="V43" i="10"/>
  <c r="F50" i="12" s="1"/>
  <c r="F69" i="9"/>
  <c r="U26" i="8"/>
  <c r="AA207" i="10"/>
  <c r="AB207" i="10" s="1"/>
  <c r="U207" i="10"/>
  <c r="V207" i="10" s="1"/>
  <c r="F34" i="11"/>
  <c r="E34" i="11"/>
  <c r="G34" i="11" s="1"/>
  <c r="U47" i="10"/>
  <c r="AA47" i="10"/>
  <c r="R27" i="8"/>
  <c r="G70" i="6"/>
  <c r="J27" i="4"/>
  <c r="J33" i="11"/>
  <c r="G69" i="9"/>
  <c r="V26" i="8"/>
  <c r="AA104" i="10"/>
  <c r="AB104" i="10" s="1"/>
  <c r="U104" i="10"/>
  <c r="V104" i="10" s="1"/>
  <c r="E50" i="11"/>
  <c r="G50" i="11" s="1"/>
  <c r="AB43" i="10"/>
  <c r="E50" i="12" s="1"/>
  <c r="G50" i="12" s="1"/>
  <c r="K17" i="6"/>
  <c r="K13" i="4"/>
  <c r="K34" i="6" s="1"/>
  <c r="H69" i="9"/>
  <c r="W26" i="8"/>
  <c r="U156" i="10"/>
  <c r="V156" i="10" s="1"/>
  <c r="AA156" i="10"/>
  <c r="AB156" i="10" s="1"/>
  <c r="G33" i="11"/>
  <c r="G34" i="9"/>
  <c r="V13" i="8"/>
  <c r="AA102" i="10"/>
  <c r="AB102" i="10" s="1"/>
  <c r="U102" i="10"/>
  <c r="V102" i="10" s="1"/>
  <c r="H35" i="6"/>
  <c r="S14" i="8"/>
  <c r="N14" i="4"/>
  <c r="AA103" i="10"/>
  <c r="AB103" i="10" s="1"/>
  <c r="U103" i="10"/>
  <c r="V103" i="10" s="1"/>
  <c r="C35" i="12"/>
  <c r="B35" i="12"/>
  <c r="D35" i="12" s="1"/>
  <c r="T50" i="10"/>
  <c r="AA155" i="10"/>
  <c r="AB155" i="10" s="1"/>
  <c r="U155" i="10"/>
  <c r="V155" i="10" s="1"/>
  <c r="G49" i="12"/>
  <c r="AA154" i="10"/>
  <c r="AB154" i="10" s="1"/>
  <c r="U154" i="10"/>
  <c r="V154" i="10" s="1"/>
  <c r="K53" i="6" l="1"/>
  <c r="K27" i="4"/>
  <c r="K70" i="6" s="1"/>
  <c r="L34" i="9"/>
  <c r="AA13" i="8"/>
  <c r="L17" i="9" s="1"/>
  <c r="K69" i="9"/>
  <c r="Z26" i="8"/>
  <c r="K52" i="9" s="1"/>
  <c r="L18" i="6"/>
  <c r="O14" i="4"/>
  <c r="L35" i="6" s="1"/>
  <c r="G70" i="9"/>
  <c r="V27" i="8"/>
  <c r="H35" i="9"/>
  <c r="W14" i="8"/>
  <c r="K14" i="4"/>
  <c r="K35" i="6" s="1"/>
  <c r="K18" i="6"/>
  <c r="E51" i="11"/>
  <c r="G51" i="11" s="1"/>
  <c r="AB47" i="10"/>
  <c r="E51" i="12" s="1"/>
  <c r="G51" i="12" s="1"/>
  <c r="G35" i="9"/>
  <c r="V14" i="8"/>
  <c r="H70" i="9"/>
  <c r="W27" i="8"/>
  <c r="L53" i="6"/>
  <c r="O27" i="4"/>
  <c r="L70" i="6" s="1"/>
  <c r="F51" i="11"/>
  <c r="V47" i="10"/>
  <c r="F51" i="12" s="1"/>
  <c r="C51" i="11"/>
  <c r="V46" i="10"/>
  <c r="C51" i="12" s="1"/>
  <c r="B51" i="11"/>
  <c r="D51" i="11" s="1"/>
  <c r="AB46" i="10"/>
  <c r="B51" i="12" s="1"/>
  <c r="D51" i="12" s="1"/>
  <c r="D34" i="11"/>
  <c r="F70" i="9"/>
  <c r="U27" i="8"/>
  <c r="J50" i="11"/>
  <c r="J18" i="6"/>
  <c r="G14" i="4"/>
  <c r="J35" i="6" s="1"/>
  <c r="B35" i="11"/>
  <c r="C35" i="11"/>
  <c r="AA50" i="10"/>
  <c r="U50" i="10"/>
  <c r="K34" i="9"/>
  <c r="Z13" i="8"/>
  <c r="K17" i="9" s="1"/>
  <c r="J69" i="9"/>
  <c r="Y26" i="8"/>
  <c r="J52" i="9" s="1"/>
  <c r="I51" i="11"/>
  <c r="V48" i="10"/>
  <c r="I51" i="12" s="1"/>
  <c r="F35" i="9"/>
  <c r="U14" i="8"/>
  <c r="H51" i="11"/>
  <c r="AB48" i="10"/>
  <c r="H51" i="12" s="1"/>
  <c r="L69" i="9"/>
  <c r="AA26" i="8"/>
  <c r="L52" i="9" s="1"/>
  <c r="I35" i="11"/>
  <c r="H35" i="11"/>
  <c r="AA52" i="10"/>
  <c r="U52" i="10"/>
  <c r="J35" i="12"/>
  <c r="F35" i="11"/>
  <c r="E35" i="11"/>
  <c r="G35" i="11" s="1"/>
  <c r="AA51" i="10"/>
  <c r="U51" i="10"/>
  <c r="J34" i="9"/>
  <c r="Y13" i="8"/>
  <c r="J17" i="9" s="1"/>
  <c r="J53" i="6"/>
  <c r="G27" i="4"/>
  <c r="J70" i="6" s="1"/>
  <c r="L70" i="9" l="1"/>
  <c r="AA27" i="8"/>
  <c r="L53" i="9" s="1"/>
  <c r="K35" i="9"/>
  <c r="Z14" i="8"/>
  <c r="K18" i="9" s="1"/>
  <c r="C52" i="11"/>
  <c r="V50" i="10"/>
  <c r="C52" i="12" s="1"/>
  <c r="F52" i="11"/>
  <c r="V51" i="10"/>
  <c r="F52" i="12" s="1"/>
  <c r="B52" i="11"/>
  <c r="D52" i="11" s="1"/>
  <c r="AB50" i="10"/>
  <c r="B52" i="12" s="1"/>
  <c r="D52" i="12" s="1"/>
  <c r="E52" i="11"/>
  <c r="G52" i="11" s="1"/>
  <c r="AB51" i="10"/>
  <c r="E52" i="12" s="1"/>
  <c r="D35" i="11"/>
  <c r="K70" i="9"/>
  <c r="Z27" i="8"/>
  <c r="K53" i="9" s="1"/>
  <c r="L35" i="9"/>
  <c r="AA14" i="8"/>
  <c r="L18" i="9" s="1"/>
  <c r="I52" i="11"/>
  <c r="V52" i="10"/>
  <c r="I52" i="12" s="1"/>
  <c r="H52" i="11"/>
  <c r="J52" i="11" s="1"/>
  <c r="AB52" i="10"/>
  <c r="H52" i="12" s="1"/>
  <c r="J70" i="9"/>
  <c r="Y27" i="8"/>
  <c r="J53" i="9" s="1"/>
  <c r="J35" i="11"/>
  <c r="J51" i="12"/>
  <c r="J51" i="11"/>
  <c r="J35" i="9"/>
  <c r="Y14" i="8"/>
  <c r="J18" i="9" s="1"/>
  <c r="G52" i="12" l="1"/>
  <c r="J52" i="12"/>
</calcChain>
</file>

<file path=xl/sharedStrings.xml><?xml version="1.0" encoding="utf-8"?>
<sst xmlns="http://schemas.openxmlformats.org/spreadsheetml/2006/main" count="1555" uniqueCount="251">
  <si>
    <t>Spell Scoring Probability Model Inputs</t>
  </si>
  <si>
    <t>Parameter</t>
  </si>
  <si>
    <t>Value</t>
  </si>
  <si>
    <t>Meaning</t>
  </si>
  <si>
    <t>Editable?</t>
  </si>
  <si>
    <t>Ranks per energy</t>
  </si>
  <si>
    <t>Ranks are 1–15; no wraparound</t>
  </si>
  <si>
    <t>Yes</t>
  </si>
  <si>
    <t>Deck 1 energies</t>
  </si>
  <si>
    <t>Deck 1 = 4×15 = 60 cards, no wilds</t>
  </si>
  <si>
    <t>Deck 2 energies</t>
  </si>
  <si>
    <t>Deck 2 = 5×15 = 75 cards, no wilds</t>
  </si>
  <si>
    <t>Raw weight alpha</t>
  </si>
  <si>
    <t>Combined model weight on raw final-state rarity</t>
  </si>
  <si>
    <t>Marginal weight</t>
  </si>
  <si>
    <t>Weight on incremental build-path probability</t>
  </si>
  <si>
    <t>Formula</t>
  </si>
  <si>
    <t>Opportunity cards (m)</t>
  </si>
  <si>
    <t>Fixed-opportunity window; default 15 so the full 3–15 scoring table is comparable</t>
  </si>
  <si>
    <t>Model notes</t>
  </si>
  <si>
    <t>Raw model: counts valid exact n-card final subsets and divides by all n-card subsets: valid_count / COMBIN(total_cards,n).</t>
  </si>
  <si>
    <t>Marginal model: starts with the raw probability of a valid 3-card spell, then multiplies by realistic conditional extension probabilities from size k to k+1.</t>
  </si>
  <si>
    <t>Combined model: log-space blend. Combined probability = EXP(-(alpha×raw_difficulty + (1-alpha)×marginal_difficulty)).</t>
  </si>
  <si>
    <t>Difficulty is always -LN(probability). No integer rounding or score scaling is applied in this workbook.</t>
  </si>
  <si>
    <t>Fixed-opportunity model: expected valid size-n spell opportunities inside an m-card window. Uses valid_count × COMBIN(total_cards-n,m-n) / COMBIN(total_cards,m).</t>
  </si>
  <si>
    <t>Bounded P≥1 estimate: 1 - EXP(-expected opportunities). This gives a comparable probability-like value for -LN difficulty.</t>
  </si>
  <si>
    <t>Combined fixed model: log-space blend. Combined difficulty = alpha×fixed-opportunity difficulty + (1-alpha)×marginal-build difficulty.</t>
  </si>
  <si>
    <t>Use Final_Fixed_Tables for current comparisons. Final_Tables preserves the older exact-size raw model for reference.</t>
  </si>
  <si>
    <t>Deck</t>
  </si>
  <si>
    <t>Energies E</t>
  </si>
  <si>
    <t>Size n</t>
  </si>
  <si>
    <t>Total cards N</t>
  </si>
  <si>
    <t>All n-card subsets</t>
  </si>
  <si>
    <t>Conj count</t>
  </si>
  <si>
    <t>Conj prob</t>
  </si>
  <si>
    <t>Trans count</t>
  </si>
  <si>
    <t>Trans prob</t>
  </si>
  <si>
    <t>PT count</t>
  </si>
  <si>
    <t>PT prob</t>
  </si>
  <si>
    <t>Ench count</t>
  </si>
  <si>
    <t>Ench prob</t>
  </si>
  <si>
    <t>Conj diff</t>
  </si>
  <si>
    <t>Trans diff</t>
  </si>
  <si>
    <t>PT diff</t>
  </si>
  <si>
    <t>Ench diff</t>
  </si>
  <si>
    <t>Final size n</t>
  </si>
  <si>
    <t>Prev size k</t>
  </si>
  <si>
    <t>Ext prob C</t>
  </si>
  <si>
    <t>Ext prob T</t>
  </si>
  <si>
    <t>Ext prob PT</t>
  </si>
  <si>
    <t>Ext prob Ench</t>
  </si>
  <si>
    <t>Build prob C</t>
  </si>
  <si>
    <t>Build prob T</t>
  </si>
  <si>
    <t>Build prob PT</t>
  </si>
  <si>
    <t>Build prob Ench</t>
  </si>
  <si>
    <t>Build diff C</t>
  </si>
  <si>
    <t>Build diff T</t>
  </si>
  <si>
    <t>Build diff PT</t>
  </si>
  <si>
    <t>Build diff Ench</t>
  </si>
  <si>
    <t>C raw prob</t>
  </si>
  <si>
    <t>C marginal prob</t>
  </si>
  <si>
    <t>C combined prob</t>
  </si>
  <si>
    <t>C combined diff</t>
  </si>
  <si>
    <t>T raw prob</t>
  </si>
  <si>
    <t>T marginal prob</t>
  </si>
  <si>
    <t>T combined prob</t>
  </si>
  <si>
    <t>T combined diff</t>
  </si>
  <si>
    <t>PT raw prob</t>
  </si>
  <si>
    <t>PT marginal prob</t>
  </si>
  <si>
    <t>PT combined prob</t>
  </si>
  <si>
    <t>PT combined diff</t>
  </si>
  <si>
    <t>Ench raw prob</t>
  </si>
  <si>
    <t>Ench marginal prob</t>
  </si>
  <si>
    <t>Ench combined prob</t>
  </si>
  <si>
    <t>Ench combined diff</t>
  </si>
  <si>
    <t>Archmage Scoring Probability Workbook</t>
  </si>
  <si>
    <t>Sheet</t>
  </si>
  <si>
    <t>Purpose</t>
  </si>
  <si>
    <t>Inputs</t>
  </si>
  <si>
    <t>Change ranks, deck energies, and alpha. Current defaults: ranks=15, Deck 1 E=4, Deck 2 E=5, alpha=0.80.</t>
  </si>
  <si>
    <t>Raw_Model</t>
  </si>
  <si>
    <t>Pure final-state probability: valid exact n-card spell subsets / all n-card subsets.</t>
  </si>
  <si>
    <t>Marginal_Model</t>
  </si>
  <si>
    <t>Pure incremental build-path probability: raw 3-card base probability multiplied by realistic extension probabilities.</t>
  </si>
  <si>
    <t>Combined_Model</t>
  </si>
  <si>
    <t>Log-space blend of raw and marginal difficulty. Combined probability = geometric blend of the two probabilities.</t>
  </si>
  <si>
    <t>No rounding</t>
  </si>
  <si>
    <t>The workbook outputs probabilities and -LN(probability) difficulties only; no integer score scaling is applied.</t>
  </si>
  <si>
    <t>Final_Tables</t>
  </si>
  <si>
    <t>Side-by-side unrounded tables for Raw, Marginal, and Combined probabilities and -LN(probability) difficulties.</t>
  </si>
  <si>
    <t>Cross-check</t>
  </si>
  <si>
    <t>Size</t>
  </si>
  <si>
    <t>Conj raw prob</t>
  </si>
  <si>
    <t>15C = 15PT</t>
  </si>
  <si>
    <t>Fixed-opportunity implementation</t>
  </si>
  <si>
    <t>Fixed_Opportunity uses the same opportunity denominator C(deck,m) across all spell sizes. The editable m value is Inputs!B9.</t>
  </si>
  <si>
    <t>The sheet computes expected opportunities: valid_count × COMBIN(N-n,m-n) / COMBIN(N,m).</t>
  </si>
  <si>
    <t>It then gives a bounded P&gt;=1 estimate via 1-EXP(-expected opportunities). This is not an exact inclusion-exclusion union over overlapping spells, but it is the stable same-denominator comparison layer for scoring.</t>
  </si>
  <si>
    <t>Combined_Fixed_Model replaces the old exact-size raw layer with fixed-opportunity difficulty, then blends with marginal-build difficulty using alpha.</t>
  </si>
  <si>
    <t>Use Final_Fixed_Tables for the current comparison tables.</t>
  </si>
  <si>
    <t>Count-average extension added</t>
  </si>
  <si>
    <t>Use Fixed_vs_CountAvg to compare a single fixed-m scoring table against an equal-weight average of the 2p, 3p, 4p, 5p, and 6p opportunity windows.</t>
  </si>
  <si>
    <t>Use PC_Model if you want to inspect the underlying per-count rows. The 6p 12.5-card opportunity window is interpolated between 12 and 13.</t>
  </si>
  <si>
    <t>Final unrounded comparison tables</t>
  </si>
  <si>
    <t>All values are formula-linked to Raw_Model, Marginal_Model, and Combined_Model. No rounding or score scaling is applied. Probabilities use scientific notation; difficulty tables use -LN(probability).</t>
  </si>
  <si>
    <t>Deck 1 — probabilities</t>
  </si>
  <si>
    <t>Raw C</t>
  </si>
  <si>
    <t>Raw T</t>
  </si>
  <si>
    <t>Raw PT</t>
  </si>
  <si>
    <t>Raw Ench</t>
  </si>
  <si>
    <t>Marginal C</t>
  </si>
  <si>
    <t>Marginal T</t>
  </si>
  <si>
    <t>Marginal PT</t>
  </si>
  <si>
    <t>Marginal Ench</t>
  </si>
  <si>
    <t>Combined C</t>
  </si>
  <si>
    <t>Combined T</t>
  </si>
  <si>
    <t>Combined PT</t>
  </si>
  <si>
    <t>Combined Ench</t>
  </si>
  <si>
    <t>Deck 1 — -LN(probability) difficulties</t>
  </si>
  <si>
    <t>Deck 2 — probabilities</t>
  </si>
  <si>
    <t>Deck 2 — -LN(probability) difficulties</t>
  </si>
  <si>
    <t>Note</t>
  </si>
  <si>
    <t>This sheet uses the older exact-size raw model. For same-denominator cross-size comparison, use Final_Fixed_Tables.</t>
  </si>
  <si>
    <t>Opportunity m</t>
  </si>
  <si>
    <t>Valid C</t>
  </si>
  <si>
    <t>Valid T</t>
  </si>
  <si>
    <t>Valid PT</t>
  </si>
  <si>
    <t>Valid Ench</t>
  </si>
  <si>
    <t>Expected C</t>
  </si>
  <si>
    <t>Expected T</t>
  </si>
  <si>
    <t>Expected PT</t>
  </si>
  <si>
    <t>Expected Ench</t>
  </si>
  <si>
    <t>Approx P&gt;=1 C</t>
  </si>
  <si>
    <t>Approx P&gt;=1 T</t>
  </si>
  <si>
    <t>Approx P&gt;=1 PT</t>
  </si>
  <si>
    <t>Approx P&gt;=1 Ench</t>
  </si>
  <si>
    <t>Diff C</t>
  </si>
  <si>
    <t>Diff T</t>
  </si>
  <si>
    <t>Diff PT</t>
  </si>
  <si>
    <t>Diff Ench</t>
  </si>
  <si>
    <t>Fixed P C</t>
  </si>
  <si>
    <t>Fixed P T</t>
  </si>
  <si>
    <t>Fixed P PT</t>
  </si>
  <si>
    <t>Fixed P Ench</t>
  </si>
  <si>
    <t>Marginal P C</t>
  </si>
  <si>
    <t>Marginal P T</t>
  </si>
  <si>
    <t>Marginal P PT</t>
  </si>
  <si>
    <t>Marginal P Ench</t>
  </si>
  <si>
    <t>Fixed diff C</t>
  </si>
  <si>
    <t>Fixed diff T</t>
  </si>
  <si>
    <t>Fixed diff PT</t>
  </si>
  <si>
    <t>Fixed diff Ench</t>
  </si>
  <si>
    <t>Marginal diff C</t>
  </si>
  <si>
    <t>Marginal diff T</t>
  </si>
  <si>
    <t>Marginal diff PT</t>
  </si>
  <si>
    <t>Marginal diff Ench</t>
  </si>
  <si>
    <t>Combined diff C</t>
  </si>
  <si>
    <t>Combined diff T</t>
  </si>
  <si>
    <t>Combined diff PT</t>
  </si>
  <si>
    <t>Combined diff Ench</t>
  </si>
  <si>
    <t>Combined P C</t>
  </si>
  <si>
    <t>Combined P T</t>
  </si>
  <si>
    <t>Combined P PT</t>
  </si>
  <si>
    <t>Combined P Ench</t>
  </si>
  <si>
    <t>Final comparison tables — fixed-opportunity model</t>
  </si>
  <si>
    <t>Uses opportunity window m from Inputs!B9; default m=15 so sizes 3–15 are all comparable. Fixed layer is bounded P&gt;=1 estimate from expected opportunities; Combined = alpha fixed + (1-alpha) marginal in log difficulty space.</t>
  </si>
  <si>
    <t>Deck 1 — probabilities / bounded P&gt;=1</t>
  </si>
  <si>
    <t>Fixed C</t>
  </si>
  <si>
    <t>Fixed T</t>
  </si>
  <si>
    <t>Fixed PT</t>
  </si>
  <si>
    <t>Fixed Ench</t>
  </si>
  <si>
    <t>Deck 2 — probabilities / bounded P&gt;=1</t>
  </si>
  <si>
    <t>Scenario</t>
  </si>
  <si>
    <t>Players</t>
  </si>
  <si>
    <t>Count weight</t>
  </si>
  <si>
    <t>Variable m=N/players</t>
  </si>
  <si>
    <t>m low</t>
  </si>
  <si>
    <t>m high</t>
  </si>
  <si>
    <t>high weight</t>
  </si>
  <si>
    <t>Spell type</t>
  </si>
  <si>
    <t>Valid count</t>
  </si>
  <si>
    <t>Expected @ m low</t>
  </si>
  <si>
    <t>Expected @ m high</t>
  </si>
  <si>
    <t>Effective expected</t>
  </si>
  <si>
    <t>Variable P&gt;=1</t>
  </si>
  <si>
    <t>Variable diff</t>
  </si>
  <si>
    <t>Marginal P</t>
  </si>
  <si>
    <t>Marginal diff</t>
  </si>
  <si>
    <t>Variable combined diff</t>
  </si>
  <si>
    <t>Variable combined P</t>
  </si>
  <si>
    <t>Fixed m</t>
  </si>
  <si>
    <t>Fixed expected</t>
  </si>
  <si>
    <t>Fixed P&gt;=1</t>
  </si>
  <si>
    <t>Fixed diff</t>
  </si>
  <si>
    <t>Fixed combined diff</t>
  </si>
  <si>
    <t>Fixed combined P</t>
  </si>
  <si>
    <t>D1 2p</t>
  </si>
  <si>
    <t>C</t>
  </si>
  <si>
    <t>T</t>
  </si>
  <si>
    <t>PT</t>
  </si>
  <si>
    <t>E</t>
  </si>
  <si>
    <t>D1 3p</t>
  </si>
  <si>
    <t>D1 4p</t>
  </si>
  <si>
    <t>D2 5p</t>
  </si>
  <si>
    <t>D2 6p</t>
  </si>
  <si>
    <t>Fixed m vs averaged player-count m — difficulty comparison</t>
  </si>
  <si>
    <t>Fixed method: equal-weight average across 2p–6p using fixed m from Inputs!B9. Variable method: equal-weight average across 2p–6p using m=N/player count; 6p uses 12.5 via low/high interpolation in PC_Model. Enchantment size 5 averages over applicable D2 rows only.</t>
  </si>
  <si>
    <t>Layer 1 — Fixed-opportunity/raw difficulty (-LN P&gt;=1)</t>
  </si>
  <si>
    <t>C fixed m</t>
  </si>
  <si>
    <t>C avg count-m</t>
  </si>
  <si>
    <t>C delta</t>
  </si>
  <si>
    <t>T fixed m</t>
  </si>
  <si>
    <t>T avg count-m</t>
  </si>
  <si>
    <t>T delta</t>
  </si>
  <si>
    <t>PT fixed m</t>
  </si>
  <si>
    <t>PT avg count-m</t>
  </si>
  <si>
    <t>PT delta</t>
  </si>
  <si>
    <t>E fixed m</t>
  </si>
  <si>
    <t>E avg count-m</t>
  </si>
  <si>
    <t>E delta</t>
  </si>
  <si>
    <t>Layer 2 — Marginal build difficulty (-LN build probability) [same under both m methods]</t>
  </si>
  <si>
    <t>Combined difficulty = alpha × raw/fixed-opportunity + (1-alpha) × marginal</t>
  </si>
  <si>
    <t>Fixed m vs averaged player-count m — probability comparison</t>
  </si>
  <si>
    <t>Probabilities use the same underlying rows as Fixed_vs_CountAvg. Combined probability = EXP(-combined difficulty).</t>
  </si>
  <si>
    <t>Layer 1 — Fixed-opportunity/raw probability P&gt;=1</t>
  </si>
  <si>
    <t>Layer 2 — Marginal build probability [same under both m methods]</t>
  </si>
  <si>
    <t>Combined probability = EXP(-combined difficulty)</t>
  </si>
  <si>
    <t>Computed fixed-m vs count-average-m comparison — unscaled difficulty</t>
  </si>
  <si>
    <t>Fixed method: equal-weight player-count average using m=15. Count-average method: equal-weight player-count average using m=N/player count (D1: 30/20/15, D2: 15/12.5). Difficulty = -LN(probability). No utility adjustment. Rows where m cannot contain size n are excluded from the average.</t>
  </si>
  <si>
    <t>Layer 2 — Marginal build difficulty (-LN build probability)</t>
  </si>
  <si>
    <t>Count-average contributor count by size/type (how many of the 5 player-count tables contributed)</t>
  </si>
  <si>
    <t>C raw</t>
  </si>
  <si>
    <t>T raw</t>
  </si>
  <si>
    <t>PT raw</t>
  </si>
  <si>
    <t>E raw</t>
  </si>
  <si>
    <t>C comb</t>
  </si>
  <si>
    <t>T comb</t>
  </si>
  <si>
    <t>PT comb</t>
  </si>
  <si>
    <t>E comb</t>
  </si>
  <si>
    <t>Computed fixed-m vs count-average-m comparison — probabilities</t>
  </si>
  <si>
    <t>Probabilities are averaged separately from difficulties, so do not use this sheet alone for score points. The score proxy is the difficulty sheet.</t>
  </si>
  <si>
    <t>Layer 2 — Marginal build probability</t>
  </si>
  <si>
    <t>N</t>
  </si>
  <si>
    <t>Variable m</t>
  </si>
  <si>
    <t>Type</t>
  </si>
  <si>
    <t>Fixed P</t>
  </si>
  <si>
    <t>Variable P</t>
  </si>
  <si>
    <t>Combined fixed diff</t>
  </si>
  <si>
    <t>Combined fixed P</t>
  </si>
  <si>
    <t>Combined variable diff</t>
  </si>
  <si>
    <t>Combined variable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</si>
</sst>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"/>
    <numFmt numFmtId="165" formatCode="0.0000"/>
    <numFmt numFmtId="166" formatCode="0.000000000000E+00"/>
    <numFmt numFmtId="167" formatCode="0.000000"/>
    <numFmt numFmtId="168" formatCode="0.000"/>
  </numFmts>
  <fonts count="1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666666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2"/>
      <color rgb="FFFFFFFF"/>
      <name val="Carlito"/>
    </font>
    <font>
      <b/>
      <sz val="11"/>
      <color rgb="FF111827"/>
      <name val="Carlito"/>
    </font>
    <font>
      <b/>
      <sz val="14"/>
      <name val="Carlito"/>
    </font>
    <font>
      <i/>
      <sz val="11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0F766E"/>
      </patternFill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DCFCE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7030A0"/>
      </patternFill>
    </fill>
    <fill>
      <patternFill patternType="solid">
        <fgColor rgb="FFD9EAD3"/>
      </patternFill>
    </fill>
    <fill>
      <patternFill patternType="solid">
        <fgColor rgb="FF38761D"/>
      </patternFill>
    </fill>
    <fill>
      <patternFill patternType="solid">
        <fgColor rgb="FF6AA84F"/>
      </patternFill>
    </fill>
    <fill>
      <patternFill patternType="solid">
        <fgColor rgb="FFFCE5C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0" xfId="0" applyFont="1" applyFill="1" applyAlignment="1">
      <alignment horizontal="center" wrapText="1"/>
    </xf>
    <xf numFmtId="0" fontId="3" fillId="4" borderId="0" xfId="0" applyFont="1" applyFill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0" fontId="8" fillId="8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0" fontId="0" fillId="9" borderId="0" xfId="0" applyFill="1"/>
    <xf numFmtId="0" fontId="2" fillId="10" borderId="0" xfId="0" applyFont="1" applyFill="1" applyAlignment="1">
      <alignment horizontal="center" wrapText="1"/>
    </xf>
    <xf numFmtId="0" fontId="3" fillId="4" borderId="0" xfId="0" applyFont="1" applyFill="1" applyAlignment="1">
      <alignment wrapText="1"/>
    </xf>
    <xf numFmtId="2" fontId="0" fillId="0" borderId="0" xfId="0" applyNumberFormat="1" applyAlignment="1">
      <alignment wrapText="1"/>
    </xf>
    <xf numFmtId="0" fontId="2" fillId="10" borderId="0" xfId="0" applyFont="1" applyFill="1"/>
    <xf numFmtId="1" fontId="2" fillId="10" borderId="0" xfId="0" applyNumberFormat="1" applyFont="1" applyFill="1" applyAlignment="1">
      <alignment horizontal="center" wrapText="1"/>
    </xf>
    <xf numFmtId="164" fontId="2" fillId="10" borderId="0" xfId="0" applyNumberFormat="1" applyFont="1" applyFill="1" applyAlignment="1">
      <alignment horizontal="center" wrapText="1"/>
    </xf>
    <xf numFmtId="168" fontId="2" fillId="10" borderId="0" xfId="0" applyNumberFormat="1" applyFont="1" applyFill="1" applyAlignment="1">
      <alignment horizontal="center" wrapText="1"/>
    </xf>
    <xf numFmtId="0" fontId="2" fillId="12" borderId="0" xfId="0" applyFont="1" applyFill="1" applyAlignment="1">
      <alignment horizontal="center" wrapText="1"/>
    </xf>
    <xf numFmtId="164" fontId="2" fillId="12" borderId="0" xfId="0" applyNumberFormat="1" applyFont="1" applyFill="1" applyAlignment="1">
      <alignment horizontal="center" wrapText="1"/>
    </xf>
    <xf numFmtId="168" fontId="2" fillId="12" borderId="0" xfId="0" applyNumberFormat="1" applyFont="1" applyFill="1" applyAlignment="1">
      <alignment horizontal="center" wrapText="1"/>
    </xf>
    <xf numFmtId="0" fontId="9" fillId="13" borderId="0" xfId="0" applyFont="1" applyFill="1"/>
    <xf numFmtId="0" fontId="10" fillId="0" borderId="0" xfId="0" applyFont="1" applyAlignment="1">
      <alignment wrapText="1"/>
    </xf>
    <xf numFmtId="0" fontId="2" fillId="14" borderId="0" xfId="0" applyFont="1" applyFill="1"/>
    <xf numFmtId="0" fontId="2" fillId="15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0" fontId="3" fillId="16" borderId="0" xfId="0" applyFont="1" applyFill="1"/>
    <xf numFmtId="0" fontId="2" fillId="17" borderId="0" xfId="0" applyFont="1" applyFill="1"/>
    <xf numFmtId="0" fontId="2" fillId="17" borderId="0" xfId="0" applyFont="1" applyFill="1" applyAlignment="1">
      <alignment horizontal="center" vertical="center" wrapText="1"/>
    </xf>
    <xf numFmtId="167" fontId="2" fillId="17" borderId="0" xfId="0" applyNumberFormat="1" applyFont="1" applyFill="1" applyAlignment="1">
      <alignment horizontal="center" vertical="center" wrapText="1"/>
    </xf>
    <xf numFmtId="0" fontId="3" fillId="18" borderId="0" xfId="0" applyFont="1" applyFill="1"/>
    <xf numFmtId="0" fontId="2" fillId="19" borderId="0" xfId="0" applyFont="1" applyFill="1"/>
    <xf numFmtId="0" fontId="2" fillId="19" borderId="0" xfId="0" applyFont="1" applyFill="1" applyAlignment="1">
      <alignment horizontal="center"/>
    </xf>
    <xf numFmtId="167" fontId="2" fillId="19" borderId="0" xfId="0" applyNumberFormat="1" applyFont="1" applyFill="1" applyAlignment="1">
      <alignment horizontal="center"/>
    </xf>
    <xf numFmtId="167" fontId="0" fillId="0" borderId="0" xfId="0" applyNumberFormat="1"/>
    <xf numFmtId="1" fontId="0" fillId="0" borderId="0" xfId="0" applyNumberFormat="1"/>
    <xf numFmtId="0" fontId="2" fillId="17" borderId="0" xfId="0" applyFont="1" applyFill="1" applyAlignment="1">
      <alignment horizontal="center"/>
    </xf>
    <xf numFmtId="164" fontId="2" fillId="17" borderId="0" xfId="0" applyNumberFormat="1" applyFont="1" applyFill="1" applyAlignment="1">
      <alignment horizontal="center"/>
    </xf>
    <xf numFmtId="0" fontId="3" fillId="20" borderId="0" xfId="0" applyFont="1" applyFill="1"/>
    <xf numFmtId="0" fontId="5" fillId="11" borderId="0" xfId="0" applyFont="1" applyFill="1" applyAlignment="1">
      <alignment horizontal="center"/>
    </xf>
    <xf numFmtId="0" fontId="2" fillId="5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0" fontId="3" fillId="18" borderId="0" xfId="0" applyFont="1" applyFill="1"/>
    <xf numFmtId="0" fontId="0" fillId="0" borderId="0" xfId="0" applyAlignment="1">
      <alignment wrapText="1"/>
    </xf>
    <xf numFmtId="0" fontId="5" fillId="6" borderId="0" xfId="0" applyFont="1" applyFill="1"/>
    <xf numFmtId="0" fontId="6" fillId="0" borderId="0" xfId="0" applyFont="1" applyAlignment="1">
      <alignment wrapText="1"/>
    </xf>
    <xf numFmtId="0" fontId="7" fillId="7" borderId="0" xfId="0" applyFont="1" applyFill="1" applyAlignment="1">
      <alignment horizontal="left" vertical="center"/>
    </xf>
    <xf numFmtId="0" fontId="3" fillId="18" borderId="0" xfId="0" applyFont="1" applyFill="1" applyAlignment="1">
      <alignment horizontal="left"/>
    </xf>
    <xf numFmtId="0" fontId="1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odelTable" displayName="RawModelTable" ref="A1:Q27">
  <tableColumns count="17">
    <tableColumn id="1" xr3:uid="{00000000-0010-0000-0000-000001000000}" name="Deck"/>
    <tableColumn id="2" xr3:uid="{00000000-0010-0000-0000-000002000000}" name="Energies E"/>
    <tableColumn id="3" xr3:uid="{00000000-0010-0000-0000-000003000000}" name="Size n"/>
    <tableColumn id="4" xr3:uid="{00000000-0010-0000-0000-000004000000}" name="Total cards N"/>
    <tableColumn id="5" xr3:uid="{00000000-0010-0000-0000-000005000000}" name="All n-card subsets"/>
    <tableColumn id="6" xr3:uid="{00000000-0010-0000-0000-000006000000}" name="Conj count"/>
    <tableColumn id="7" xr3:uid="{00000000-0010-0000-0000-000007000000}" name="Conj prob"/>
    <tableColumn id="8" xr3:uid="{00000000-0010-0000-0000-000008000000}" name="Trans count"/>
    <tableColumn id="9" xr3:uid="{00000000-0010-0000-0000-000009000000}" name="Trans prob"/>
    <tableColumn id="10" xr3:uid="{00000000-0010-0000-0000-00000A000000}" name="PT count"/>
    <tableColumn id="11" xr3:uid="{00000000-0010-0000-0000-00000B000000}" name="PT prob"/>
    <tableColumn id="12" xr3:uid="{00000000-0010-0000-0000-00000C000000}" name="Ench count"/>
    <tableColumn id="13" xr3:uid="{00000000-0010-0000-0000-00000D000000}" name="Ench prob"/>
    <tableColumn id="14" xr3:uid="{00000000-0010-0000-0000-00000E000000}" name="Conj diff"/>
    <tableColumn id="15" xr3:uid="{00000000-0010-0000-0000-00000F000000}" name="Trans diff"/>
    <tableColumn id="16" xr3:uid="{00000000-0010-0000-0000-000010000000}" name="PT diff"/>
    <tableColumn id="17" xr3:uid="{00000000-0010-0000-0000-000011000000}" name="Ench dif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ginalModelTable" displayName="MarginalModelTable" ref="A1:Q27">
  <tableColumns count="17">
    <tableColumn id="1" xr3:uid="{00000000-0010-0000-0100-000001000000}" name="Deck"/>
    <tableColumn id="2" xr3:uid="{00000000-0010-0000-0100-000002000000}" name="Energies E"/>
    <tableColumn id="3" xr3:uid="{00000000-0010-0000-0100-000003000000}" name="Final size n"/>
    <tableColumn id="4" xr3:uid="{00000000-0010-0000-0100-000004000000}" name="Total cards N"/>
    <tableColumn id="5" xr3:uid="{00000000-0010-0000-0100-000005000000}" name="Prev size k"/>
    <tableColumn id="6" xr3:uid="{00000000-0010-0000-0100-000006000000}" name="Ext prob C"/>
    <tableColumn id="7" xr3:uid="{00000000-0010-0000-0100-000007000000}" name="Ext prob T"/>
    <tableColumn id="8" xr3:uid="{00000000-0010-0000-0100-000008000000}" name="Ext prob PT"/>
    <tableColumn id="9" xr3:uid="{00000000-0010-0000-0100-000009000000}" name="Ext prob Ench"/>
    <tableColumn id="10" xr3:uid="{00000000-0010-0000-0100-00000A000000}" name="Build prob C"/>
    <tableColumn id="11" xr3:uid="{00000000-0010-0000-0100-00000B000000}" name="Build prob T"/>
    <tableColumn id="12" xr3:uid="{00000000-0010-0000-0100-00000C000000}" name="Build prob PT"/>
    <tableColumn id="13" xr3:uid="{00000000-0010-0000-0100-00000D000000}" name="Build prob Ench"/>
    <tableColumn id="14" xr3:uid="{00000000-0010-0000-0100-00000E000000}" name="Build diff C"/>
    <tableColumn id="15" xr3:uid="{00000000-0010-0000-0100-00000F000000}" name="Build diff T"/>
    <tableColumn id="16" xr3:uid="{00000000-0010-0000-0100-000010000000}" name="Build diff PT"/>
    <tableColumn id="17" xr3:uid="{00000000-0010-0000-0100-000011000000}" name="Build diff En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binedModelTable" displayName="CombinedModelTable" ref="A1:S27">
  <tableColumns count="19">
    <tableColumn id="1" xr3:uid="{00000000-0010-0000-0200-000001000000}" name="Deck"/>
    <tableColumn id="2" xr3:uid="{00000000-0010-0000-0200-000002000000}" name="Energies E"/>
    <tableColumn id="3" xr3:uid="{00000000-0010-0000-0200-000003000000}" name="Size n"/>
    <tableColumn id="4" xr3:uid="{00000000-0010-0000-0200-000004000000}" name="C raw prob"/>
    <tableColumn id="5" xr3:uid="{00000000-0010-0000-0200-000005000000}" name="C marginal prob"/>
    <tableColumn id="6" xr3:uid="{00000000-0010-0000-0200-000006000000}" name="C combined prob"/>
    <tableColumn id="7" xr3:uid="{00000000-0010-0000-0200-000007000000}" name="C combined diff"/>
    <tableColumn id="8" xr3:uid="{00000000-0010-0000-0200-000008000000}" name="T raw prob"/>
    <tableColumn id="9" xr3:uid="{00000000-0010-0000-0200-000009000000}" name="T marginal prob"/>
    <tableColumn id="10" xr3:uid="{00000000-0010-0000-0200-00000A000000}" name="T combined prob"/>
    <tableColumn id="11" xr3:uid="{00000000-0010-0000-0200-00000B000000}" name="T combined diff"/>
    <tableColumn id="12" xr3:uid="{00000000-0010-0000-0200-00000C000000}" name="PT raw prob"/>
    <tableColumn id="13" xr3:uid="{00000000-0010-0000-0200-00000D000000}" name="PT marginal prob"/>
    <tableColumn id="14" xr3:uid="{00000000-0010-0000-0200-00000E000000}" name="PT combined prob"/>
    <tableColumn id="15" xr3:uid="{00000000-0010-0000-0200-00000F000000}" name="PT combined diff"/>
    <tableColumn id="16" xr3:uid="{00000000-0010-0000-0200-000010000000}" name="Ench raw prob"/>
    <tableColumn id="17" xr3:uid="{00000000-0010-0000-0200-000011000000}" name="Ench marginal prob"/>
    <tableColumn id="18" xr3:uid="{00000000-0010-0000-0200-000012000000}" name="Ench combined prob"/>
    <tableColumn id="19" xr3:uid="{00000000-0010-0000-0200-000013000000}" name="Ench combined dif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CModelTable" displayName="PCModelTable" ref="A1:AB261">
  <tableColumns count="28">
    <tableColumn id="1" xr3:uid="{00000000-0010-0000-0300-000001000000}" name="Scenario"/>
    <tableColumn id="2" xr3:uid="{00000000-0010-0000-0300-000002000000}" name="Deck"/>
    <tableColumn id="3" xr3:uid="{00000000-0010-0000-0300-000003000000}" name="Players"/>
    <tableColumn id="4" xr3:uid="{00000000-0010-0000-0300-000004000000}" name="Count weight"/>
    <tableColumn id="5" xr3:uid="{00000000-0010-0000-0300-000005000000}" name="Energies E"/>
    <tableColumn id="6" xr3:uid="{00000000-0010-0000-0300-000006000000}" name="Total cards N"/>
    <tableColumn id="7" xr3:uid="{00000000-0010-0000-0300-000007000000}" name="Variable m=N/players"/>
    <tableColumn id="8" xr3:uid="{00000000-0010-0000-0300-000008000000}" name="m low"/>
    <tableColumn id="9" xr3:uid="{00000000-0010-0000-0300-000009000000}" name="m high"/>
    <tableColumn id="10" xr3:uid="{00000000-0010-0000-0300-00000A000000}" name="high weight"/>
    <tableColumn id="11" xr3:uid="{00000000-0010-0000-0300-00000B000000}" name="Size n"/>
    <tableColumn id="12" xr3:uid="{00000000-0010-0000-0300-00000C000000}" name="Spell type"/>
    <tableColumn id="13" xr3:uid="{00000000-0010-0000-0300-00000D000000}" name="Valid count"/>
    <tableColumn id="14" xr3:uid="{00000000-0010-0000-0300-00000E000000}" name="Expected @ m low"/>
    <tableColumn id="15" xr3:uid="{00000000-0010-0000-0300-00000F000000}" name="Expected @ m high"/>
    <tableColumn id="16" xr3:uid="{00000000-0010-0000-0300-000010000000}" name="Effective expected"/>
    <tableColumn id="17" xr3:uid="{00000000-0010-0000-0300-000011000000}" name="Variable P&gt;=1"/>
    <tableColumn id="18" xr3:uid="{00000000-0010-0000-0300-000012000000}" name="Variable diff"/>
    <tableColumn id="19" xr3:uid="{00000000-0010-0000-0300-000013000000}" name="Marginal P"/>
    <tableColumn id="20" xr3:uid="{00000000-0010-0000-0300-000014000000}" name="Marginal diff"/>
    <tableColumn id="21" xr3:uid="{00000000-0010-0000-0300-000015000000}" name="Variable combined diff"/>
    <tableColumn id="22" xr3:uid="{00000000-0010-0000-0300-000016000000}" name="Variable combined P"/>
    <tableColumn id="23" xr3:uid="{00000000-0010-0000-0300-000017000000}" name="Fixed m"/>
    <tableColumn id="24" xr3:uid="{00000000-0010-0000-0300-000018000000}" name="Fixed expected"/>
    <tableColumn id="25" xr3:uid="{00000000-0010-0000-0300-000019000000}" name="Fixed P&gt;=1"/>
    <tableColumn id="26" xr3:uid="{00000000-0010-0000-0300-00001A000000}" name="Fixed diff"/>
    <tableColumn id="27" xr3:uid="{00000000-0010-0000-0300-00001B000000}" name="Fixed combined diff"/>
    <tableColumn id="28" xr3:uid="{00000000-0010-0000-0300-00001C000000}" name="Fixed combined 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sqref="A1:D1"/>
    </sheetView>
  </sheetViews>
  <sheetFormatPr defaultRowHeight="14.15"/>
  <cols>
    <col min="1" max="1" width="124.2109375" customWidth="1"/>
    <col min="2" max="2" width="4.7109375" customWidth="1"/>
    <col min="3" max="3" width="51.140625" customWidth="1"/>
    <col min="4" max="4" width="7.640625" customWidth="1"/>
  </cols>
  <sheetData>
    <row r="1" spans="1:4" ht="16" customHeight="1">
      <c r="A1" s="41" t="s">
        <v>0</v>
      </c>
      <c r="B1" s="41"/>
      <c r="C1" s="41"/>
      <c r="D1" s="41"/>
    </row>
    <row r="3" spans="1:4" ht="28.3">
      <c r="A3" s="12" t="s">
        <v>1</v>
      </c>
      <c r="B3" s="12" t="s">
        <v>2</v>
      </c>
      <c r="C3" s="12" t="s">
        <v>3</v>
      </c>
      <c r="D3" s="12" t="s">
        <v>4</v>
      </c>
    </row>
    <row r="4" spans="1:4">
      <c r="A4" s="13" t="s">
        <v>5</v>
      </c>
      <c r="B4" s="14">
        <v>15</v>
      </c>
      <c r="C4" s="3" t="s">
        <v>6</v>
      </c>
      <c r="D4" s="3" t="s">
        <v>7</v>
      </c>
    </row>
    <row r="5" spans="1:4">
      <c r="A5" s="13" t="s">
        <v>8</v>
      </c>
      <c r="B5" s="14">
        <v>4</v>
      </c>
      <c r="C5" s="3" t="s">
        <v>9</v>
      </c>
      <c r="D5" s="3" t="s">
        <v>7</v>
      </c>
    </row>
    <row r="6" spans="1:4">
      <c r="A6" s="13" t="s">
        <v>10</v>
      </c>
      <c r="B6" s="14">
        <v>5</v>
      </c>
      <c r="C6" s="3" t="s">
        <v>11</v>
      </c>
      <c r="D6" s="3" t="s">
        <v>7</v>
      </c>
    </row>
    <row r="7" spans="1:4">
      <c r="A7" s="13" t="s">
        <v>12</v>
      </c>
      <c r="B7" s="14">
        <v>0.8</v>
      </c>
      <c r="C7" s="3" t="s">
        <v>13</v>
      </c>
      <c r="D7" s="3" t="s">
        <v>7</v>
      </c>
    </row>
    <row r="8" spans="1:4">
      <c r="A8" s="13" t="s">
        <v>14</v>
      </c>
      <c r="B8" s="14">
        <f>1-B7</f>
        <v>0.19999999999999996</v>
      </c>
      <c r="C8" s="3" t="s">
        <v>15</v>
      </c>
      <c r="D8" s="3" t="s">
        <v>16</v>
      </c>
    </row>
    <row r="9" spans="1:4" ht="28.3">
      <c r="A9" s="3" t="s">
        <v>17</v>
      </c>
      <c r="B9" s="3">
        <v>15</v>
      </c>
      <c r="C9" s="3" t="s">
        <v>18</v>
      </c>
      <c r="D9" s="3" t="s">
        <v>7</v>
      </c>
    </row>
    <row r="11" spans="1:4">
      <c r="A11" s="42" t="s">
        <v>19</v>
      </c>
      <c r="B11" s="43"/>
      <c r="C11" s="43"/>
      <c r="D11" s="43"/>
    </row>
    <row r="12" spans="1:4">
      <c r="A12" s="4" t="s">
        <v>20</v>
      </c>
      <c r="B12" s="4"/>
      <c r="C12" s="4"/>
      <c r="D12" s="4"/>
    </row>
    <row r="13" spans="1:4">
      <c r="A13" s="4" t="s">
        <v>21</v>
      </c>
      <c r="B13" s="4"/>
      <c r="C13" s="4"/>
      <c r="D13" s="4"/>
    </row>
    <row r="14" spans="1:4">
      <c r="A14" s="4" t="s">
        <v>22</v>
      </c>
      <c r="B14" s="4"/>
      <c r="C14" s="4"/>
      <c r="D14" s="4"/>
    </row>
    <row r="15" spans="1:4">
      <c r="A15" s="4" t="s">
        <v>23</v>
      </c>
      <c r="B15" s="4"/>
      <c r="C15" s="4"/>
      <c r="D15" s="4"/>
    </row>
    <row r="17" spans="1:1" ht="28.3">
      <c r="A17" s="3" t="s">
        <v>24</v>
      </c>
    </row>
    <row r="18" spans="1:1">
      <c r="A18" s="3" t="s">
        <v>25</v>
      </c>
    </row>
    <row r="19" spans="1:1">
      <c r="A19" s="3" t="s">
        <v>26</v>
      </c>
    </row>
    <row r="20" spans="1:1">
      <c r="A20" s="3" t="s">
        <v>27</v>
      </c>
    </row>
  </sheetData>
  <mergeCells count="2">
    <mergeCell ref="A1:D1"/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workbookViewId="0"/>
  </sheetViews>
  <sheetFormatPr defaultRowHeight="14.15"/>
  <cols>
    <col min="1" max="4" width="13" customWidth="1"/>
    <col min="5" max="5" width="18" customWidth="1"/>
    <col min="6" max="17" width="13" customWidth="1"/>
  </cols>
  <sheetData>
    <row r="1" spans="1:17" ht="16" customHeight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</row>
    <row r="2" spans="1:17">
      <c r="A2">
        <v>1</v>
      </c>
      <c r="B2">
        <f>Inputs!$B$5</f>
        <v>4</v>
      </c>
      <c r="C2">
        <v>3</v>
      </c>
      <c r="D2">
        <f>B2*Inputs!$B$4</f>
        <v>60</v>
      </c>
      <c r="E2">
        <f t="shared" ref="E2:E27" si="0">COMBIN(D2,C2)</f>
        <v>34220</v>
      </c>
      <c r="F2">
        <f>B2*COMBIN(Inputs!$B$4,C2)</f>
        <v>1820.0000000000002</v>
      </c>
      <c r="G2" s="5">
        <f t="shared" ref="G2:G27" si="1">F2/E2</f>
        <v>5.3185271770894223E-2</v>
      </c>
      <c r="H2">
        <f>(Inputs!$B$4-C2+1)*POWER(B2,C2)</f>
        <v>832</v>
      </c>
      <c r="I2" s="5">
        <f t="shared" ref="I2:I27" si="2">H2/E2</f>
        <v>2.4313267095265927E-2</v>
      </c>
      <c r="J2">
        <f>B2*(Inputs!$B$4-C2+1)</f>
        <v>52</v>
      </c>
      <c r="K2" s="5">
        <f t="shared" ref="K2:K27" si="3">J2/E2</f>
        <v>1.5195791934541204E-3</v>
      </c>
      <c r="L2">
        <f>IF(C2&lt;=B2,Inputs!$B$4*COMBIN(B2,C2),"")</f>
        <v>60</v>
      </c>
      <c r="M2" s="5">
        <f t="shared" ref="M2:M27" si="4">IF(L2="","",L2/E2)</f>
        <v>1.7533606078316774E-3</v>
      </c>
      <c r="N2" s="6">
        <f t="shared" ref="N2:N27" si="5">-LN(G2)</f>
        <v>2.9339737673753432</v>
      </c>
      <c r="O2" s="6">
        <f t="shared" ref="O2:O27" si="6">-LN(I2)</f>
        <v>3.716733106624976</v>
      </c>
      <c r="P2" s="6">
        <f t="shared" ref="P2:P27" si="7">-LN(K2)</f>
        <v>6.4893218288647567</v>
      </c>
      <c r="Q2" s="6">
        <f t="shared" ref="Q2:Q27" si="8">IF(M2="","",-LN(M2))</f>
        <v>6.3462209852240834</v>
      </c>
    </row>
    <row r="3" spans="1:17">
      <c r="A3">
        <v>1</v>
      </c>
      <c r="B3">
        <f>Inputs!$B$5</f>
        <v>4</v>
      </c>
      <c r="C3">
        <v>4</v>
      </c>
      <c r="D3">
        <f>B3*Inputs!$B$4</f>
        <v>60</v>
      </c>
      <c r="E3">
        <f t="shared" si="0"/>
        <v>487635</v>
      </c>
      <c r="F3">
        <f>B3*COMBIN(Inputs!$B$4,C3)</f>
        <v>5460</v>
      </c>
      <c r="G3" s="5">
        <f t="shared" si="1"/>
        <v>1.1196899320188256E-2</v>
      </c>
      <c r="H3">
        <f>(Inputs!$B$4-C3+1)*POWER(B3,C3)</f>
        <v>3072</v>
      </c>
      <c r="I3" s="5">
        <f t="shared" si="2"/>
        <v>6.2997939032267986E-3</v>
      </c>
      <c r="J3">
        <f>B3*(Inputs!$B$4-C3+1)</f>
        <v>48</v>
      </c>
      <c r="K3" s="5">
        <f t="shared" si="3"/>
        <v>9.8434279737918728E-5</v>
      </c>
      <c r="L3">
        <f>IF(C3&lt;=B3,Inputs!$B$4*COMBIN(B3,C3),"")</f>
        <v>15</v>
      </c>
      <c r="M3" s="5">
        <f t="shared" si="4"/>
        <v>3.0760712418099601E-5</v>
      </c>
      <c r="N3" s="6">
        <f t="shared" si="5"/>
        <v>4.4921183854218931</v>
      </c>
      <c r="O3" s="6">
        <f t="shared" si="6"/>
        <v>5.0672383598932811</v>
      </c>
      <c r="P3" s="6">
        <f t="shared" si="7"/>
        <v>9.2261214432529535</v>
      </c>
      <c r="Q3" s="6">
        <f t="shared" si="8"/>
        <v>10.389272253058634</v>
      </c>
    </row>
    <row r="4" spans="1:17">
      <c r="A4">
        <v>1</v>
      </c>
      <c r="B4">
        <f>Inputs!$B$5</f>
        <v>4</v>
      </c>
      <c r="C4">
        <v>5</v>
      </c>
      <c r="D4">
        <f>B4*Inputs!$B$4</f>
        <v>60</v>
      </c>
      <c r="E4">
        <f t="shared" si="0"/>
        <v>5461512.0000000009</v>
      </c>
      <c r="F4">
        <f>B4*COMBIN(Inputs!$B$4,C4)</f>
        <v>12012</v>
      </c>
      <c r="G4" s="5">
        <f t="shared" si="1"/>
        <v>2.1993909378941212E-3</v>
      </c>
      <c r="H4">
        <f>(Inputs!$B$4-C4+1)*POWER(B4,C4)</f>
        <v>11264</v>
      </c>
      <c r="I4" s="5">
        <f t="shared" si="2"/>
        <v>2.0624325278421063E-3</v>
      </c>
      <c r="J4">
        <f>B4*(Inputs!$B$4-C4+1)</f>
        <v>44</v>
      </c>
      <c r="K4" s="5">
        <f t="shared" si="3"/>
        <v>8.0563770618832277E-6</v>
      </c>
      <c r="L4" t="str">
        <f>IF(C4&lt;=B4,Inputs!$B$4*COMBIN(B4,C4),"")</f>
        <v/>
      </c>
      <c r="M4" s="5" t="str">
        <f t="shared" si="4"/>
        <v/>
      </c>
      <c r="N4" s="6">
        <f t="shared" si="5"/>
        <v>6.1195748033586721</v>
      </c>
      <c r="O4" s="6">
        <f t="shared" si="6"/>
        <v>6.1838691540640696</v>
      </c>
      <c r="P4" s="6">
        <f t="shared" si="7"/>
        <v>11.729046598543633</v>
      </c>
      <c r="Q4" s="6" t="str">
        <f t="shared" si="8"/>
        <v/>
      </c>
    </row>
    <row r="5" spans="1:17">
      <c r="A5">
        <v>1</v>
      </c>
      <c r="B5">
        <f>Inputs!$B$5</f>
        <v>4</v>
      </c>
      <c r="C5">
        <v>6</v>
      </c>
      <c r="D5">
        <f>B5*Inputs!$B$4</f>
        <v>60</v>
      </c>
      <c r="E5">
        <f t="shared" si="0"/>
        <v>50063860.000000015</v>
      </c>
      <c r="F5">
        <f>B5*COMBIN(Inputs!$B$4,C5)</f>
        <v>20020</v>
      </c>
      <c r="G5" s="5">
        <f t="shared" si="1"/>
        <v>3.998892614352947E-4</v>
      </c>
      <c r="H5">
        <f>(Inputs!$B$4-C5+1)*POWER(B5,C5)</f>
        <v>40960</v>
      </c>
      <c r="I5" s="5">
        <f t="shared" si="2"/>
        <v>8.1815505236711649E-4</v>
      </c>
      <c r="J5">
        <f>B5*(Inputs!$B$4-C5+1)</f>
        <v>40</v>
      </c>
      <c r="K5" s="5">
        <f t="shared" si="3"/>
        <v>7.989795433272622E-7</v>
      </c>
      <c r="L5" t="str">
        <f>IF(C5&lt;=B5,Inputs!$B$4*COMBIN(B5,C5),"")</f>
        <v/>
      </c>
      <c r="M5" s="5" t="str">
        <f t="shared" si="4"/>
        <v/>
      </c>
      <c r="N5" s="6">
        <f t="shared" si="5"/>
        <v>7.8243228955970974</v>
      </c>
      <c r="O5" s="6">
        <f t="shared" si="6"/>
        <v>7.1084586887529193</v>
      </c>
      <c r="P5" s="6">
        <f t="shared" si="7"/>
        <v>14.039930494352372</v>
      </c>
      <c r="Q5" s="6" t="str">
        <f t="shared" si="8"/>
        <v/>
      </c>
    </row>
    <row r="6" spans="1:17">
      <c r="A6">
        <v>1</v>
      </c>
      <c r="B6">
        <f>Inputs!$B$5</f>
        <v>4</v>
      </c>
      <c r="C6">
        <v>7</v>
      </c>
      <c r="D6">
        <f>B6*Inputs!$B$4</f>
        <v>60</v>
      </c>
      <c r="E6">
        <f t="shared" si="0"/>
        <v>386206919.99999988</v>
      </c>
      <c r="F6">
        <f>B6*COMBIN(Inputs!$B$4,C6)</f>
        <v>25739.999999999996</v>
      </c>
      <c r="G6" s="5">
        <f t="shared" si="1"/>
        <v>6.6648210239215824E-5</v>
      </c>
      <c r="H6">
        <f>(Inputs!$B$4-C6+1)*POWER(B6,C6)</f>
        <v>147456</v>
      </c>
      <c r="I6" s="5">
        <f t="shared" si="2"/>
        <v>3.818056911046546E-4</v>
      </c>
      <c r="J6">
        <f>B6*(Inputs!$B$4-C6+1)</f>
        <v>36</v>
      </c>
      <c r="K6" s="5">
        <f t="shared" si="3"/>
        <v>9.3214280054847316E-8</v>
      </c>
      <c r="L6" t="str">
        <f>IF(C6&lt;=B6,Inputs!$B$4*COMBIN(B6,C6),"")</f>
        <v/>
      </c>
      <c r="M6" s="5" t="str">
        <f t="shared" si="4"/>
        <v/>
      </c>
      <c r="N6" s="6">
        <f t="shared" si="5"/>
        <v>9.6160823648251519</v>
      </c>
      <c r="O6" s="6">
        <f t="shared" si="6"/>
        <v>7.8705987407998155</v>
      </c>
      <c r="P6" s="6">
        <f t="shared" si="7"/>
        <v>16.188364907519158</v>
      </c>
      <c r="Q6" s="6" t="str">
        <f t="shared" si="8"/>
        <v/>
      </c>
    </row>
    <row r="7" spans="1:17">
      <c r="A7">
        <v>1</v>
      </c>
      <c r="B7">
        <f>Inputs!$B$5</f>
        <v>4</v>
      </c>
      <c r="C7">
        <v>8</v>
      </c>
      <c r="D7">
        <f>B7*Inputs!$B$4</f>
        <v>60</v>
      </c>
      <c r="E7">
        <f t="shared" si="0"/>
        <v>2558620845.0000005</v>
      </c>
      <c r="F7">
        <f>B7*COMBIN(Inputs!$B$4,C7)</f>
        <v>25739.999999999996</v>
      </c>
      <c r="G7" s="5">
        <f t="shared" si="1"/>
        <v>1.0060107205919364E-5</v>
      </c>
      <c r="H7">
        <f>(Inputs!$B$4-C7+1)*POWER(B7,C7)</f>
        <v>524288</v>
      </c>
      <c r="I7" s="5">
        <f t="shared" si="2"/>
        <v>2.0491039187168036E-4</v>
      </c>
      <c r="J7">
        <f>B7*(Inputs!$B$4-C7+1)</f>
        <v>32</v>
      </c>
      <c r="K7" s="5">
        <f t="shared" si="3"/>
        <v>1.2506737785136741E-8</v>
      </c>
      <c r="L7" t="str">
        <f>IF(C7&lt;=B7,Inputs!$B$4*COMBIN(B7,C7),"")</f>
        <v/>
      </c>
      <c r="M7" s="5" t="str">
        <f t="shared" si="4"/>
        <v/>
      </c>
      <c r="N7" s="6">
        <f t="shared" si="5"/>
        <v>11.506932736697438</v>
      </c>
      <c r="O7" s="6">
        <f t="shared" si="6"/>
        <v>8.4929377872085947</v>
      </c>
      <c r="P7" s="6">
        <f t="shared" si="7"/>
        <v>18.196998315047828</v>
      </c>
      <c r="Q7" s="6" t="str">
        <f t="shared" si="8"/>
        <v/>
      </c>
    </row>
    <row r="8" spans="1:17">
      <c r="A8">
        <v>1</v>
      </c>
      <c r="B8">
        <f>Inputs!$B$5</f>
        <v>4</v>
      </c>
      <c r="C8">
        <v>9</v>
      </c>
      <c r="D8">
        <f>B8*Inputs!$B$4</f>
        <v>60</v>
      </c>
      <c r="E8">
        <f t="shared" si="0"/>
        <v>14783142660.000006</v>
      </c>
      <c r="F8">
        <f>B8*COMBIN(Inputs!$B$4,C8)</f>
        <v>20020</v>
      </c>
      <c r="G8" s="5">
        <f t="shared" si="1"/>
        <v>1.3542452007968373E-6</v>
      </c>
      <c r="H8">
        <f>(Inputs!$B$4-C8+1)*POWER(B8,C8)</f>
        <v>1835008</v>
      </c>
      <c r="I8" s="5">
        <f t="shared" si="2"/>
        <v>1.2412841046072941E-4</v>
      </c>
      <c r="J8">
        <f>B8*(Inputs!$B$4-C8+1)</f>
        <v>28</v>
      </c>
      <c r="K8" s="5">
        <f t="shared" si="3"/>
        <v>1.8940492318836885E-9</v>
      </c>
      <c r="L8" t="str">
        <f>IF(C8&lt;=B8,Inputs!$B$4*COMBIN(B8,C8),"")</f>
        <v/>
      </c>
      <c r="M8" s="5" t="str">
        <f t="shared" si="4"/>
        <v/>
      </c>
      <c r="N8" s="6">
        <f t="shared" si="5"/>
        <v>13.512266306223552</v>
      </c>
      <c r="O8" s="6">
        <f t="shared" si="6"/>
        <v>8.9941939599584355</v>
      </c>
      <c r="P8" s="6">
        <f t="shared" si="7"/>
        <v>20.08454884891756</v>
      </c>
      <c r="Q8" s="6" t="str">
        <f t="shared" si="8"/>
        <v/>
      </c>
    </row>
    <row r="9" spans="1:17">
      <c r="A9">
        <v>1</v>
      </c>
      <c r="B9">
        <f>Inputs!$B$5</f>
        <v>4</v>
      </c>
      <c r="C9">
        <v>10</v>
      </c>
      <c r="D9">
        <f>B9*Inputs!$B$4</f>
        <v>60</v>
      </c>
      <c r="E9">
        <f t="shared" si="0"/>
        <v>75394027566</v>
      </c>
      <c r="F9">
        <f>B9*COMBIN(Inputs!$B$4,C9)</f>
        <v>12012</v>
      </c>
      <c r="G9" s="5">
        <f t="shared" si="1"/>
        <v>1.5932296479962799E-7</v>
      </c>
      <c r="H9">
        <f>(Inputs!$B$4-C9+1)*POWER(B9,C9)</f>
        <v>6291456</v>
      </c>
      <c r="I9" s="5">
        <f t="shared" si="2"/>
        <v>8.3447670897969384E-5</v>
      </c>
      <c r="J9">
        <f>B9*(Inputs!$B$4-C9+1)</f>
        <v>24</v>
      </c>
      <c r="K9" s="5">
        <f t="shared" si="3"/>
        <v>3.183276019972587E-10</v>
      </c>
      <c r="L9" t="str">
        <f>IF(C9&lt;=B9,Inputs!$B$4*COMBIN(B9,C9),"")</f>
        <v/>
      </c>
      <c r="M9" s="5" t="str">
        <f t="shared" si="4"/>
        <v/>
      </c>
      <c r="N9" s="6">
        <f t="shared" si="5"/>
        <v>15.652332469719823</v>
      </c>
      <c r="O9" s="6">
        <f t="shared" si="6"/>
        <v>9.391290818396083</v>
      </c>
      <c r="P9" s="6">
        <f t="shared" si="7"/>
        <v>21.867940068475097</v>
      </c>
      <c r="Q9" s="6" t="str">
        <f t="shared" si="8"/>
        <v/>
      </c>
    </row>
    <row r="10" spans="1:17">
      <c r="A10">
        <v>1</v>
      </c>
      <c r="B10">
        <f>Inputs!$B$5</f>
        <v>4</v>
      </c>
      <c r="C10">
        <v>11</v>
      </c>
      <c r="D10">
        <f>B10*Inputs!$B$4</f>
        <v>60</v>
      </c>
      <c r="E10">
        <f t="shared" si="0"/>
        <v>342700125300</v>
      </c>
      <c r="F10">
        <f>B10*COMBIN(Inputs!$B$4,C10)</f>
        <v>5460</v>
      </c>
      <c r="G10" s="5">
        <f t="shared" si="1"/>
        <v>1.5932296479962797E-8</v>
      </c>
      <c r="H10">
        <f>(Inputs!$B$4-C10+1)*POWER(B10,C10)</f>
        <v>20971520</v>
      </c>
      <c r="I10" s="5">
        <f t="shared" si="2"/>
        <v>6.1194958658510889E-5</v>
      </c>
      <c r="J10">
        <f>B10*(Inputs!$B$4-C10+1)</f>
        <v>20</v>
      </c>
      <c r="K10" s="5">
        <f t="shared" si="3"/>
        <v>5.8360060366164101E-11</v>
      </c>
      <c r="L10" t="str">
        <f>IF(C10&lt;=B10,Inputs!$B$4*COMBIN(B10,C10),"")</f>
        <v/>
      </c>
      <c r="M10" s="5" t="str">
        <f t="shared" si="4"/>
        <v/>
      </c>
      <c r="N10" s="6">
        <f t="shared" si="5"/>
        <v>17.95491756271387</v>
      </c>
      <c r="O10" s="6">
        <f t="shared" si="6"/>
        <v>9.7014457466999229</v>
      </c>
      <c r="P10" s="6">
        <f t="shared" si="7"/>
        <v>23.564389357898829</v>
      </c>
      <c r="Q10" s="6" t="str">
        <f t="shared" si="8"/>
        <v/>
      </c>
    </row>
    <row r="11" spans="1:17">
      <c r="A11">
        <v>1</v>
      </c>
      <c r="B11">
        <f>Inputs!$B$5</f>
        <v>4</v>
      </c>
      <c r="C11">
        <v>12</v>
      </c>
      <c r="D11">
        <f>B11*Inputs!$B$4</f>
        <v>60</v>
      </c>
      <c r="E11">
        <f t="shared" si="0"/>
        <v>1399358844975.0007</v>
      </c>
      <c r="F11">
        <f>B11*COMBIN(Inputs!$B$4,C11)</f>
        <v>1820.0000000000002</v>
      </c>
      <c r="G11" s="5">
        <f t="shared" si="1"/>
        <v>1.3005956310173707E-9</v>
      </c>
      <c r="H11">
        <f>(Inputs!$B$4-C11+1)*POWER(B11,C11)</f>
        <v>67108864</v>
      </c>
      <c r="I11" s="5">
        <f t="shared" si="2"/>
        <v>4.7956865560955442E-5</v>
      </c>
      <c r="J11">
        <f>B11*(Inputs!$B$4-C11+1)</f>
        <v>16</v>
      </c>
      <c r="K11" s="5">
        <f t="shared" si="3"/>
        <v>1.1433807745207654E-11</v>
      </c>
      <c r="L11" t="str">
        <f>IF(C11&lt;=B11,Inputs!$B$4*COMBIN(B11,C11),"")</f>
        <v/>
      </c>
      <c r="M11" s="5" t="str">
        <f t="shared" si="4"/>
        <v/>
      </c>
      <c r="N11" s="6">
        <f t="shared" si="5"/>
        <v>20.460443499704606</v>
      </c>
      <c r="O11" s="6">
        <f t="shared" si="6"/>
        <v>9.9452085852168679</v>
      </c>
      <c r="P11" s="6">
        <f t="shared" si="7"/>
        <v>25.194446557535667</v>
      </c>
      <c r="Q11" s="6" t="str">
        <f t="shared" si="8"/>
        <v/>
      </c>
    </row>
    <row r="12" spans="1:17">
      <c r="A12">
        <v>1</v>
      </c>
      <c r="B12">
        <f>Inputs!$B$5</f>
        <v>4</v>
      </c>
      <c r="C12">
        <v>13</v>
      </c>
      <c r="D12">
        <f>B12*Inputs!$B$4</f>
        <v>60</v>
      </c>
      <c r="E12">
        <f t="shared" si="0"/>
        <v>5166863427599.998</v>
      </c>
      <c r="F12">
        <f>B12*COMBIN(Inputs!$B$4,C12)</f>
        <v>420</v>
      </c>
      <c r="G12" s="5">
        <f t="shared" si="1"/>
        <v>8.1287226938585736E-11</v>
      </c>
      <c r="H12">
        <f>(Inputs!$B$4-C12+1)*POWER(B12,C12)</f>
        <v>201326592</v>
      </c>
      <c r="I12" s="5">
        <f t="shared" si="2"/>
        <v>3.8964953268276336E-5</v>
      </c>
      <c r="J12">
        <f>B12*(Inputs!$B$4-C12+1)</f>
        <v>12</v>
      </c>
      <c r="K12" s="5">
        <f t="shared" si="3"/>
        <v>2.322492198245307E-12</v>
      </c>
      <c r="L12" t="str">
        <f>IF(C12&lt;=B12,Inputs!$B$4*COMBIN(B12,C12),"")</f>
        <v/>
      </c>
      <c r="M12" s="5" t="str">
        <f t="shared" si="4"/>
        <v/>
      </c>
      <c r="N12" s="6">
        <f t="shared" si="5"/>
        <v>23.233032221944384</v>
      </c>
      <c r="O12" s="6">
        <f t="shared" si="6"/>
        <v>10.152847949995111</v>
      </c>
      <c r="P12" s="6">
        <f t="shared" si="7"/>
        <v>26.788380283433799</v>
      </c>
      <c r="Q12" s="6" t="str">
        <f t="shared" si="8"/>
        <v/>
      </c>
    </row>
    <row r="13" spans="1:17">
      <c r="A13">
        <v>1</v>
      </c>
      <c r="B13">
        <f>Inputs!$B$5</f>
        <v>4</v>
      </c>
      <c r="C13">
        <v>14</v>
      </c>
      <c r="D13">
        <f>B13*Inputs!$B$4</f>
        <v>60</v>
      </c>
      <c r="E13">
        <f t="shared" si="0"/>
        <v>17345898649800</v>
      </c>
      <c r="F13">
        <f>B13*COMBIN(Inputs!$B$4,C13)</f>
        <v>60</v>
      </c>
      <c r="G13" s="5">
        <f t="shared" si="1"/>
        <v>3.4590309335568387E-12</v>
      </c>
      <c r="H13">
        <f>(Inputs!$B$4-C13+1)*POWER(B13,C13)</f>
        <v>536870912</v>
      </c>
      <c r="I13" s="5">
        <f t="shared" si="2"/>
        <v>3.0950884865581192E-5</v>
      </c>
      <c r="J13">
        <f>B13*(Inputs!$B$4-C13+1)</f>
        <v>8</v>
      </c>
      <c r="K13" s="5">
        <f t="shared" si="3"/>
        <v>4.6120412447424519E-13</v>
      </c>
      <c r="L13" t="str">
        <f>IF(C13&lt;=B13,Inputs!$B$4*COMBIN(B13,C13),"")</f>
        <v/>
      </c>
      <c r="M13" s="5" t="str">
        <f t="shared" si="4"/>
        <v/>
      </c>
      <c r="N13" s="6">
        <f t="shared" si="5"/>
        <v>26.3900326430945</v>
      </c>
      <c r="O13" s="6">
        <f t="shared" si="6"/>
        <v>10.383108969078187</v>
      </c>
      <c r="P13" s="6">
        <f t="shared" si="7"/>
        <v>28.404935663636763</v>
      </c>
      <c r="Q13" s="6" t="str">
        <f t="shared" si="8"/>
        <v/>
      </c>
    </row>
    <row r="14" spans="1:17">
      <c r="A14">
        <v>1</v>
      </c>
      <c r="B14">
        <f>Inputs!$B$5</f>
        <v>4</v>
      </c>
      <c r="C14">
        <v>15</v>
      </c>
      <c r="D14">
        <f>B14*Inputs!$B$4</f>
        <v>60</v>
      </c>
      <c r="E14">
        <f t="shared" si="0"/>
        <v>53194089192720.039</v>
      </c>
      <c r="F14">
        <f>B14*COMBIN(Inputs!$B$4,C14)</f>
        <v>4</v>
      </c>
      <c r="G14" s="5">
        <f t="shared" si="1"/>
        <v>7.5196324642539908E-14</v>
      </c>
      <c r="H14">
        <f>(Inputs!$B$4-C14+1)*POWER(B14,C14)</f>
        <v>1073741824</v>
      </c>
      <c r="I14" s="5">
        <f t="shared" si="2"/>
        <v>2.0185359694944237E-5</v>
      </c>
      <c r="J14">
        <f>B14*(Inputs!$B$4-C14+1)</f>
        <v>4</v>
      </c>
      <c r="K14" s="5">
        <f t="shared" si="3"/>
        <v>7.5196324642539908E-14</v>
      </c>
      <c r="L14" t="str">
        <f>IF(C14&lt;=B14,Inputs!$B$4*COMBIN(B14,C14),"")</f>
        <v/>
      </c>
      <c r="M14" s="5" t="str">
        <f t="shared" si="4"/>
        <v/>
      </c>
      <c r="N14" s="6">
        <f t="shared" si="5"/>
        <v>30.218674039583593</v>
      </c>
      <c r="O14" s="6">
        <f t="shared" si="6"/>
        <v>10.810552983905126</v>
      </c>
      <c r="P14" s="6">
        <f t="shared" si="7"/>
        <v>30.218674039583593</v>
      </c>
      <c r="Q14" s="6" t="str">
        <f t="shared" si="8"/>
        <v/>
      </c>
    </row>
    <row r="15" spans="1:17">
      <c r="A15">
        <v>2</v>
      </c>
      <c r="B15">
        <f>Inputs!$B$6</f>
        <v>5</v>
      </c>
      <c r="C15">
        <v>3</v>
      </c>
      <c r="D15">
        <f>B15*Inputs!$B$4</f>
        <v>75</v>
      </c>
      <c r="E15">
        <f t="shared" si="0"/>
        <v>67525</v>
      </c>
      <c r="F15">
        <f>B15*COMBIN(Inputs!$B$4,C15)</f>
        <v>2275.0000000000005</v>
      </c>
      <c r="G15" s="5">
        <f t="shared" si="1"/>
        <v>3.3691225472047399E-2</v>
      </c>
      <c r="H15">
        <f>(Inputs!$B$4-C15+1)*POWER(B15,C15)</f>
        <v>1625</v>
      </c>
      <c r="I15" s="5">
        <f t="shared" si="2"/>
        <v>2.4065161051462423E-2</v>
      </c>
      <c r="J15">
        <f>B15*(Inputs!$B$4-C15+1)</f>
        <v>65</v>
      </c>
      <c r="K15" s="5">
        <f t="shared" si="3"/>
        <v>9.6260644205849687E-4</v>
      </c>
      <c r="L15">
        <f>IF(C15&lt;=B15,Inputs!$B$4*COMBIN(B15,C15),"")</f>
        <v>150</v>
      </c>
      <c r="M15" s="5">
        <f t="shared" si="4"/>
        <v>2.2213994816734544E-3</v>
      </c>
      <c r="N15" s="6">
        <f t="shared" si="5"/>
        <v>3.3905178472757651</v>
      </c>
      <c r="O15" s="6">
        <f t="shared" si="6"/>
        <v>3.7269900838969785</v>
      </c>
      <c r="P15" s="6">
        <f t="shared" si="7"/>
        <v>6.9458659087651791</v>
      </c>
      <c r="Q15" s="6">
        <f t="shared" si="8"/>
        <v>6.1096178845645603</v>
      </c>
    </row>
    <row r="16" spans="1:17">
      <c r="A16">
        <v>2</v>
      </c>
      <c r="B16">
        <f>Inputs!$B$6</f>
        <v>5</v>
      </c>
      <c r="C16">
        <v>4</v>
      </c>
      <c r="D16">
        <f>B16*Inputs!$B$4</f>
        <v>75</v>
      </c>
      <c r="E16">
        <f t="shared" si="0"/>
        <v>1215450</v>
      </c>
      <c r="F16">
        <f>B16*COMBIN(Inputs!$B$4,C16)</f>
        <v>6825</v>
      </c>
      <c r="G16" s="5">
        <f t="shared" si="1"/>
        <v>5.6152042453412312E-3</v>
      </c>
      <c r="H16">
        <f>(Inputs!$B$4-C16+1)*POWER(B16,C16)</f>
        <v>7500</v>
      </c>
      <c r="I16" s="5">
        <f t="shared" si="2"/>
        <v>6.1705541157595955E-3</v>
      </c>
      <c r="J16">
        <f>B16*(Inputs!$B$4-C16+1)</f>
        <v>60</v>
      </c>
      <c r="K16" s="5">
        <f t="shared" si="3"/>
        <v>4.936443292607676E-5</v>
      </c>
      <c r="L16">
        <f>IF(C16&lt;=B16,Inputs!$B$4*COMBIN(B16,C16),"")</f>
        <v>75</v>
      </c>
      <c r="M16" s="5">
        <f t="shared" si="4"/>
        <v>6.1705541157595955E-5</v>
      </c>
      <c r="N16" s="6">
        <f t="shared" si="5"/>
        <v>5.1822773165038205</v>
      </c>
      <c r="O16" s="6">
        <f t="shared" si="6"/>
        <v>5.0879666370325793</v>
      </c>
      <c r="P16" s="6">
        <f t="shared" si="7"/>
        <v>9.91628037433488</v>
      </c>
      <c r="Q16" s="6">
        <f t="shared" si="8"/>
        <v>9.6931368230206711</v>
      </c>
    </row>
    <row r="17" spans="1:17">
      <c r="A17">
        <v>2</v>
      </c>
      <c r="B17">
        <f>Inputs!$B$6</f>
        <v>5</v>
      </c>
      <c r="C17">
        <v>5</v>
      </c>
      <c r="D17">
        <f>B17*Inputs!$B$4</f>
        <v>75</v>
      </c>
      <c r="E17">
        <f t="shared" si="0"/>
        <v>17259390</v>
      </c>
      <c r="F17">
        <f>B17*COMBIN(Inputs!$B$4,C17)</f>
        <v>15015</v>
      </c>
      <c r="G17" s="5">
        <f t="shared" si="1"/>
        <v>8.6996122110920488E-4</v>
      </c>
      <c r="H17">
        <f>(Inputs!$B$4-C17+1)*POWER(B17,C17)</f>
        <v>34375</v>
      </c>
      <c r="I17" s="5">
        <f t="shared" si="2"/>
        <v>1.9916694622463481E-3</v>
      </c>
      <c r="J17">
        <f>B17*(Inputs!$B$4-C17+1)</f>
        <v>55</v>
      </c>
      <c r="K17" s="5">
        <f t="shared" si="3"/>
        <v>3.1866711395941571E-6</v>
      </c>
      <c r="L17">
        <f>IF(C17&lt;=B17,Inputs!$B$4*COMBIN(B17,C17),"")</f>
        <v>15</v>
      </c>
      <c r="M17" s="5">
        <f t="shared" si="4"/>
        <v>8.6909212898022464E-7</v>
      </c>
      <c r="N17" s="6">
        <f t="shared" si="5"/>
        <v>7.0470619207467653</v>
      </c>
      <c r="O17" s="6">
        <f t="shared" si="6"/>
        <v>6.2187820661953239</v>
      </c>
      <c r="P17" s="6">
        <f t="shared" si="7"/>
        <v>12.656533715931726</v>
      </c>
      <c r="Q17" s="6">
        <f t="shared" si="8"/>
        <v>13.955816700061986</v>
      </c>
    </row>
    <row r="18" spans="1:17">
      <c r="A18">
        <v>2</v>
      </c>
      <c r="B18">
        <f>Inputs!$B$6</f>
        <v>5</v>
      </c>
      <c r="C18">
        <v>6</v>
      </c>
      <c r="D18">
        <f>B18*Inputs!$B$4</f>
        <v>75</v>
      </c>
      <c r="E18">
        <f t="shared" si="0"/>
        <v>201359550</v>
      </c>
      <c r="F18">
        <f>B18*COMBIN(Inputs!$B$4,C18)</f>
        <v>25025</v>
      </c>
      <c r="G18" s="5">
        <f t="shared" si="1"/>
        <v>1.2428017444417213E-4</v>
      </c>
      <c r="H18">
        <f>(Inputs!$B$4-C18+1)*POWER(B18,C18)</f>
        <v>156250</v>
      </c>
      <c r="I18" s="5">
        <f t="shared" si="2"/>
        <v>7.7597511516091491E-4</v>
      </c>
      <c r="J18">
        <f>B18*(Inputs!$B$4-C18+1)</f>
        <v>50</v>
      </c>
      <c r="K18" s="5">
        <f t="shared" si="3"/>
        <v>2.4831203685149274E-7</v>
      </c>
      <c r="L18" t="str">
        <f>IF(C18&lt;=B18,Inputs!$B$4*COMBIN(B18,C18),"")</f>
        <v/>
      </c>
      <c r="M18" s="5" t="str">
        <f t="shared" si="4"/>
        <v/>
      </c>
      <c r="N18" s="6">
        <f t="shared" si="5"/>
        <v>8.9929720698020787</v>
      </c>
      <c r="O18" s="6">
        <f t="shared" si="6"/>
        <v>7.1613901063868521</v>
      </c>
      <c r="P18" s="6">
        <f t="shared" si="7"/>
        <v>15.208579668557354</v>
      </c>
      <c r="Q18" s="6" t="str">
        <f t="shared" si="8"/>
        <v/>
      </c>
    </row>
    <row r="19" spans="1:17">
      <c r="A19">
        <v>2</v>
      </c>
      <c r="B19">
        <f>Inputs!$B$6</f>
        <v>5</v>
      </c>
      <c r="C19">
        <v>7</v>
      </c>
      <c r="D19">
        <f>B19*Inputs!$B$4</f>
        <v>75</v>
      </c>
      <c r="E19">
        <f t="shared" si="0"/>
        <v>1984829850</v>
      </c>
      <c r="F19">
        <f>B19*COMBIN(Inputs!$B$4,C19)</f>
        <v>32174.999999999996</v>
      </c>
      <c r="G19" s="5">
        <f t="shared" si="1"/>
        <v>1.6210457536196364E-5</v>
      </c>
      <c r="H19">
        <f>(Inputs!$B$4-C19+1)*POWER(B19,C19)</f>
        <v>703125</v>
      </c>
      <c r="I19" s="5">
        <f t="shared" si="2"/>
        <v>3.542495090952003E-4</v>
      </c>
      <c r="J19">
        <f>B19*(Inputs!$B$4-C19+1)</f>
        <v>45</v>
      </c>
      <c r="K19" s="5">
        <f t="shared" si="3"/>
        <v>2.2671968582092816E-8</v>
      </c>
      <c r="L19" t="str">
        <f>IF(C19&lt;=B19,Inputs!$B$4*COMBIN(B19,C19),"")</f>
        <v/>
      </c>
      <c r="M19" s="5" t="str">
        <f t="shared" si="4"/>
        <v/>
      </c>
      <c r="N19" s="6">
        <f t="shared" si="5"/>
        <v>11.029853997063119</v>
      </c>
      <c r="O19" s="6">
        <f t="shared" si="6"/>
        <v>7.9455090651525238</v>
      </c>
      <c r="P19" s="6">
        <f t="shared" si="7"/>
        <v>17.602136539757126</v>
      </c>
      <c r="Q19" s="6" t="str">
        <f t="shared" si="8"/>
        <v/>
      </c>
    </row>
    <row r="20" spans="1:17">
      <c r="A20">
        <v>2</v>
      </c>
      <c r="B20">
        <f>Inputs!$B$6</f>
        <v>5</v>
      </c>
      <c r="C20">
        <v>8</v>
      </c>
      <c r="D20">
        <f>B20*Inputs!$B$4</f>
        <v>75</v>
      </c>
      <c r="E20">
        <f t="shared" si="0"/>
        <v>16871053725</v>
      </c>
      <c r="F20">
        <f>B20*COMBIN(Inputs!$B$4,C20)</f>
        <v>32174.999999999996</v>
      </c>
      <c r="G20" s="5">
        <f t="shared" si="1"/>
        <v>1.9071126513172191E-6</v>
      </c>
      <c r="H20">
        <f>(Inputs!$B$4-C20+1)*POWER(B20,C20)</f>
        <v>3125000</v>
      </c>
      <c r="I20" s="5">
        <f t="shared" si="2"/>
        <v>1.8522850148768643E-4</v>
      </c>
      <c r="J20">
        <f>B20*(Inputs!$B$4-C20+1)</f>
        <v>40</v>
      </c>
      <c r="K20" s="5">
        <f t="shared" si="3"/>
        <v>2.3709248190423861E-9</v>
      </c>
      <c r="L20" t="str">
        <f>IF(C20&lt;=B20,Inputs!$B$4*COMBIN(B20,C20),"")</f>
        <v/>
      </c>
      <c r="M20" s="5" t="str">
        <f t="shared" si="4"/>
        <v/>
      </c>
      <c r="N20" s="6">
        <f t="shared" si="5"/>
        <v>13.169920160559389</v>
      </c>
      <c r="O20" s="6">
        <f t="shared" si="6"/>
        <v>8.5939203518710787</v>
      </c>
      <c r="P20" s="6">
        <f t="shared" si="7"/>
        <v>19.859985738909781</v>
      </c>
      <c r="Q20" s="6" t="str">
        <f t="shared" si="8"/>
        <v/>
      </c>
    </row>
    <row r="21" spans="1:17">
      <c r="A21">
        <v>2</v>
      </c>
      <c r="B21">
        <f>Inputs!$B$6</f>
        <v>5</v>
      </c>
      <c r="C21">
        <v>9</v>
      </c>
      <c r="D21">
        <f>B21*Inputs!$B$4</f>
        <v>75</v>
      </c>
      <c r="E21">
        <f t="shared" si="0"/>
        <v>125595622175</v>
      </c>
      <c r="F21">
        <f>B21*COMBIN(Inputs!$B$4,C21)</f>
        <v>25025</v>
      </c>
      <c r="G21" s="5">
        <f t="shared" si="1"/>
        <v>1.9925057551075426E-7</v>
      </c>
      <c r="H21">
        <f>(Inputs!$B$4-C21+1)*POWER(B21,C21)</f>
        <v>13671875</v>
      </c>
      <c r="I21" s="5">
        <f t="shared" si="2"/>
        <v>1.0885630218026348E-4</v>
      </c>
      <c r="J21">
        <f>B21*(Inputs!$B$4-C21+1)</f>
        <v>35</v>
      </c>
      <c r="K21" s="5">
        <f t="shared" si="3"/>
        <v>2.7867213358147451E-10</v>
      </c>
      <c r="L21" t="str">
        <f>IF(C21&lt;=B21,Inputs!$B$4*COMBIN(B21,C21),"")</f>
        <v/>
      </c>
      <c r="M21" s="5" t="str">
        <f t="shared" si="4"/>
        <v/>
      </c>
      <c r="N21" s="6">
        <f t="shared" si="5"/>
        <v>15.428702630895042</v>
      </c>
      <c r="O21" s="6">
        <f t="shared" si="6"/>
        <v>9.1254818741162467</v>
      </c>
      <c r="P21" s="6">
        <f t="shared" si="7"/>
        <v>22.000985173589051</v>
      </c>
      <c r="Q21" s="6" t="str">
        <f t="shared" si="8"/>
        <v/>
      </c>
    </row>
    <row r="22" spans="1:17">
      <c r="A22">
        <v>2</v>
      </c>
      <c r="B22">
        <f>Inputs!$B$6</f>
        <v>5</v>
      </c>
      <c r="C22">
        <v>10</v>
      </c>
      <c r="D22">
        <f>B22*Inputs!$B$4</f>
        <v>75</v>
      </c>
      <c r="E22">
        <f t="shared" si="0"/>
        <v>828931106355</v>
      </c>
      <c r="F22">
        <f>B22*COMBIN(Inputs!$B$4,C22)</f>
        <v>15015</v>
      </c>
      <c r="G22" s="5">
        <f t="shared" si="1"/>
        <v>1.8113688682795842E-8</v>
      </c>
      <c r="H22">
        <f>(Inputs!$B$4-C22+1)*POWER(B22,C22)</f>
        <v>58593750</v>
      </c>
      <c r="I22" s="5">
        <f t="shared" si="2"/>
        <v>7.068591050666459E-5</v>
      </c>
      <c r="J22">
        <f>B22*(Inputs!$B$4-C22+1)</f>
        <v>30</v>
      </c>
      <c r="K22" s="5">
        <f t="shared" si="3"/>
        <v>3.6191186179412269E-11</v>
      </c>
      <c r="L22" t="str">
        <f>IF(C22&lt;=B22,Inputs!$B$4*COMBIN(B22,C22),"")</f>
        <v/>
      </c>
      <c r="M22" s="5" t="str">
        <f t="shared" si="4"/>
        <v/>
      </c>
      <c r="N22" s="6">
        <f t="shared" si="5"/>
        <v>17.826597903693411</v>
      </c>
      <c r="O22" s="6">
        <f t="shared" si="6"/>
        <v>9.5572642905417844</v>
      </c>
      <c r="P22" s="6">
        <f t="shared" si="7"/>
        <v>24.042205502448688</v>
      </c>
      <c r="Q22" s="6" t="str">
        <f t="shared" si="8"/>
        <v/>
      </c>
    </row>
    <row r="23" spans="1:17">
      <c r="A23">
        <v>2</v>
      </c>
      <c r="B23">
        <f>Inputs!$B$6</f>
        <v>5</v>
      </c>
      <c r="C23">
        <v>11</v>
      </c>
      <c r="D23">
        <f>B23*Inputs!$B$4</f>
        <v>75</v>
      </c>
      <c r="E23">
        <f t="shared" si="0"/>
        <v>4898229264825</v>
      </c>
      <c r="F23">
        <f>B23*COMBIN(Inputs!$B$4,C23)</f>
        <v>6825</v>
      </c>
      <c r="G23" s="5">
        <f t="shared" si="1"/>
        <v>1.3933606679073726E-9</v>
      </c>
      <c r="H23">
        <f>(Inputs!$B$4-C23+1)*POWER(B23,C23)</f>
        <v>244140625</v>
      </c>
      <c r="I23" s="5">
        <f t="shared" si="2"/>
        <v>4.9842629203417343E-5</v>
      </c>
      <c r="J23">
        <f>B23*(Inputs!$B$4-C23+1)</f>
        <v>25</v>
      </c>
      <c r="K23" s="5">
        <f t="shared" si="3"/>
        <v>5.1038852304299359E-12</v>
      </c>
      <c r="L23" t="str">
        <f>IF(C23&lt;=B23,Inputs!$B$4*COMBIN(B23,C23),"")</f>
        <v/>
      </c>
      <c r="M23" s="5" t="str">
        <f t="shared" si="4"/>
        <v/>
      </c>
      <c r="N23" s="6">
        <f t="shared" si="5"/>
        <v>20.391547261154951</v>
      </c>
      <c r="O23" s="6">
        <f t="shared" si="6"/>
        <v>9.9066399319989049</v>
      </c>
      <c r="P23" s="6">
        <f t="shared" si="7"/>
        <v>26.00101905633991</v>
      </c>
      <c r="Q23" s="6" t="str">
        <f t="shared" si="8"/>
        <v/>
      </c>
    </row>
    <row r="24" spans="1:17">
      <c r="A24">
        <v>2</v>
      </c>
      <c r="B24">
        <f>Inputs!$B$6</f>
        <v>5</v>
      </c>
      <c r="C24">
        <v>12</v>
      </c>
      <c r="D24">
        <f>B24*Inputs!$B$4</f>
        <v>75</v>
      </c>
      <c r="E24">
        <f t="shared" si="0"/>
        <v>26123889412400.008</v>
      </c>
      <c r="F24">
        <f>B24*COMBIN(Inputs!$B$4,C24)</f>
        <v>2275.0000000000005</v>
      </c>
      <c r="G24" s="5">
        <f t="shared" si="1"/>
        <v>8.7085041744210772E-11</v>
      </c>
      <c r="H24">
        <f>(Inputs!$B$4-C24+1)*POWER(B24,C24)</f>
        <v>976562500</v>
      </c>
      <c r="I24" s="5">
        <f t="shared" si="2"/>
        <v>3.7381971902562994E-5</v>
      </c>
      <c r="J24">
        <f>B24*(Inputs!$B$4-C24+1)</f>
        <v>20</v>
      </c>
      <c r="K24" s="5">
        <f t="shared" si="3"/>
        <v>7.6558278456449014E-13</v>
      </c>
      <c r="L24" t="str">
        <f>IF(C24&lt;=B24,Inputs!$B$4*COMBIN(B24,C24),"")</f>
        <v/>
      </c>
      <c r="M24" s="5" t="str">
        <f t="shared" si="4"/>
        <v/>
      </c>
      <c r="N24" s="6">
        <f t="shared" si="5"/>
        <v>23.164135983394729</v>
      </c>
      <c r="O24" s="6">
        <f t="shared" si="6"/>
        <v>10.194322004450687</v>
      </c>
      <c r="P24" s="6">
        <f t="shared" si="7"/>
        <v>27.898139041225789</v>
      </c>
      <c r="Q24" s="6" t="str">
        <f t="shared" si="8"/>
        <v/>
      </c>
    </row>
    <row r="25" spans="1:17">
      <c r="A25">
        <v>2</v>
      </c>
      <c r="B25">
        <f>Inputs!$B$6</f>
        <v>5</v>
      </c>
      <c r="C25">
        <v>13</v>
      </c>
      <c r="D25">
        <f>B25*Inputs!$B$4</f>
        <v>75</v>
      </c>
      <c r="E25">
        <f t="shared" si="0"/>
        <v>126600387152399.98</v>
      </c>
      <c r="F25">
        <f>B25*COMBIN(Inputs!$B$4,C25)</f>
        <v>525</v>
      </c>
      <c r="G25" s="5">
        <f t="shared" si="1"/>
        <v>4.146906749724323E-12</v>
      </c>
      <c r="H25">
        <f>(Inputs!$B$4-C25+1)*POWER(B25,C25)</f>
        <v>3662109375</v>
      </c>
      <c r="I25" s="5">
        <f t="shared" si="2"/>
        <v>2.8926525876983283E-5</v>
      </c>
      <c r="J25">
        <f>B25*(Inputs!$B$4-C25+1)</f>
        <v>15</v>
      </c>
      <c r="K25" s="5">
        <f t="shared" si="3"/>
        <v>1.1848304999212352E-13</v>
      </c>
      <c r="L25" t="str">
        <f>IF(C25&lt;=B25,Inputs!$B$4*COMBIN(B25,C25),"")</f>
        <v/>
      </c>
      <c r="M25" s="5" t="str">
        <f t="shared" si="4"/>
        <v/>
      </c>
      <c r="N25" s="6">
        <f t="shared" si="5"/>
        <v>26.208658421118155</v>
      </c>
      <c r="O25" s="6">
        <f t="shared" si="6"/>
        <v>10.450751533398362</v>
      </c>
      <c r="P25" s="6">
        <f t="shared" si="7"/>
        <v>29.764006482607567</v>
      </c>
      <c r="Q25" s="6" t="str">
        <f t="shared" si="8"/>
        <v/>
      </c>
    </row>
    <row r="26" spans="1:17">
      <c r="A26">
        <v>2</v>
      </c>
      <c r="B26">
        <f>Inputs!$B$6</f>
        <v>5</v>
      </c>
      <c r="C26">
        <v>14</v>
      </c>
      <c r="D26">
        <f>B26*Inputs!$B$4</f>
        <v>75</v>
      </c>
      <c r="E26">
        <f t="shared" si="0"/>
        <v>560658857389200</v>
      </c>
      <c r="F26">
        <f>B26*COMBIN(Inputs!$B$4,C26)</f>
        <v>75</v>
      </c>
      <c r="G26" s="5">
        <f t="shared" si="1"/>
        <v>1.3377118547497815E-13</v>
      </c>
      <c r="H26">
        <f>(Inputs!$B$4-C26+1)*POWER(B26,C26)</f>
        <v>12207031250</v>
      </c>
      <c r="I26" s="5">
        <f t="shared" si="2"/>
        <v>2.1772653885901392E-5</v>
      </c>
      <c r="J26">
        <f>B26*(Inputs!$B$4-C26+1)</f>
        <v>10</v>
      </c>
      <c r="K26" s="5">
        <f t="shared" si="3"/>
        <v>1.783615806333042E-14</v>
      </c>
      <c r="L26" t="str">
        <f>IF(C26&lt;=B26,Inputs!$B$4*COMBIN(B26,C26),"")</f>
        <v/>
      </c>
      <c r="M26" s="5" t="str">
        <f t="shared" si="4"/>
        <v/>
      </c>
      <c r="N26" s="6">
        <f t="shared" si="5"/>
        <v>29.642645625603301</v>
      </c>
      <c r="O26" s="6">
        <f t="shared" si="6"/>
        <v>10.73485578450226</v>
      </c>
      <c r="P26" s="6">
        <f t="shared" si="7"/>
        <v>31.657548646145564</v>
      </c>
      <c r="Q26" s="6" t="str">
        <f t="shared" si="8"/>
        <v/>
      </c>
    </row>
    <row r="27" spans="1:17">
      <c r="A27">
        <v>2</v>
      </c>
      <c r="B27">
        <f>Inputs!$B$6</f>
        <v>5</v>
      </c>
      <c r="C27">
        <v>15</v>
      </c>
      <c r="D27">
        <f>B27*Inputs!$B$4</f>
        <v>75</v>
      </c>
      <c r="E27">
        <f t="shared" si="0"/>
        <v>2280012686716080.5</v>
      </c>
      <c r="F27">
        <f>B27*COMBIN(Inputs!$B$4,C27)</f>
        <v>5</v>
      </c>
      <c r="G27" s="5">
        <f t="shared" si="1"/>
        <v>2.1929702536881659E-15</v>
      </c>
      <c r="H27">
        <f>(Inputs!$B$4-C27+1)*POWER(B27,C27)</f>
        <v>30517578125</v>
      </c>
      <c r="I27" s="5">
        <f t="shared" si="2"/>
        <v>1.3384828208545935E-5</v>
      </c>
      <c r="J27">
        <f>B27*(Inputs!$B$4-C27+1)</f>
        <v>5</v>
      </c>
      <c r="K27" s="5">
        <f t="shared" si="3"/>
        <v>2.1929702536881659E-15</v>
      </c>
      <c r="L27" t="str">
        <f>IF(C27&lt;=B27,Inputs!$B$4*COMBIN(B27,C27),"")</f>
        <v/>
      </c>
      <c r="M27" s="5" t="str">
        <f t="shared" si="4"/>
        <v/>
      </c>
      <c r="N27" s="6">
        <f t="shared" si="5"/>
        <v>33.753519489776615</v>
      </c>
      <c r="O27" s="6">
        <f t="shared" si="6"/>
        <v>11.221388715699206</v>
      </c>
      <c r="P27" s="6">
        <f t="shared" si="7"/>
        <v>33.753519489776615</v>
      </c>
      <c r="Q27" s="6" t="str">
        <f t="shared" si="8"/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workbookViewId="0"/>
  </sheetViews>
  <sheetFormatPr defaultRowHeight="14.15"/>
  <cols>
    <col min="1" max="17" width="13" customWidth="1"/>
  </cols>
  <sheetData>
    <row r="1" spans="1:17" ht="16" customHeight="1">
      <c r="A1" s="1" t="s">
        <v>28</v>
      </c>
      <c r="B1" s="1" t="s">
        <v>29</v>
      </c>
      <c r="C1" s="1" t="s">
        <v>45</v>
      </c>
      <c r="D1" s="1" t="s">
        <v>31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</row>
    <row r="2" spans="1:17">
      <c r="A2">
        <v>1</v>
      </c>
      <c r="B2">
        <f>Inputs!$B$5</f>
        <v>4</v>
      </c>
      <c r="C2">
        <v>3</v>
      </c>
      <c r="D2">
        <f>B2*Inputs!$B$4</f>
        <v>60</v>
      </c>
      <c r="E2" t="str">
        <f t="shared" ref="E2:E27" si="0">IF(C2=3,"",C2-1)</f>
        <v/>
      </c>
      <c r="F2" s="5">
        <f>IF(C2=3,1,(Inputs!$B$4-(C2-1))/(D2-(C2-1)))</f>
        <v>1</v>
      </c>
      <c r="G2" s="5">
        <f>IF(C2=3,1,((MAX(Inputs!$B$4-(C2-1)-1,0)*2*B2)+(2*B2))/((Inputs!$B$4-(C2-1)+1)*(D2-(C2-1))))</f>
        <v>1</v>
      </c>
      <c r="H2" s="5">
        <f>IF(C2=3,1,((MAX(Inputs!$B$4-(C2-1)-1,0)*2)+(2))/((Inputs!$B$4-(C2-1)+1)*(D2-(C2-1))))</f>
        <v>1</v>
      </c>
      <c r="I2" s="5">
        <f t="shared" ref="I2:I27" si="1">IF(C2=3,1,IF((C2-1)&lt;B2,(B2-(C2-1))/(D2-(C2-1)),""))</f>
        <v>1</v>
      </c>
      <c r="J2" s="5">
        <f>IF(C2=3,B2*COMBIN(Inputs!$B$4,3)/COMBIN(D2,3),J1*F2)</f>
        <v>5.3185271770894223E-2</v>
      </c>
      <c r="K2" s="5">
        <f>IF(C2=3,(Inputs!$B$4-3+1)*POWER(B2,3)/COMBIN(D2,3),K1*G2)</f>
        <v>2.4313267095265927E-2</v>
      </c>
      <c r="L2" s="5">
        <f>IF(C2=3,B2*(Inputs!$B$4-3+1)/COMBIN(D2,3),L1*H2)</f>
        <v>1.5195791934541204E-3</v>
      </c>
      <c r="M2" s="5">
        <f>IF(C2=3,IF(3&lt;=B2,Inputs!$B$4*COMBIN(B2,3)/COMBIN(D2,3),""),IF(I2="","",M1*I2))</f>
        <v>1.7533606078316774E-3</v>
      </c>
      <c r="N2" s="6">
        <f t="shared" ref="N2:N27" si="2">-LN(J2)</f>
        <v>2.9339737673753432</v>
      </c>
      <c r="O2" s="6">
        <f t="shared" ref="O2:O27" si="3">-LN(K2)</f>
        <v>3.716733106624976</v>
      </c>
      <c r="P2" s="6">
        <f t="shared" ref="P2:P27" si="4">-LN(L2)</f>
        <v>6.4893218288647567</v>
      </c>
      <c r="Q2" s="6">
        <f t="shared" ref="Q2:Q27" si="5">IF(M2="","",-LN(M2))</f>
        <v>6.3462209852240834</v>
      </c>
    </row>
    <row r="3" spans="1:17">
      <c r="A3">
        <v>1</v>
      </c>
      <c r="B3">
        <f>Inputs!$B$5</f>
        <v>4</v>
      </c>
      <c r="C3">
        <v>4</v>
      </c>
      <c r="D3">
        <f>B3*Inputs!$B$4</f>
        <v>60</v>
      </c>
      <c r="E3">
        <f t="shared" si="0"/>
        <v>3</v>
      </c>
      <c r="F3" s="5">
        <f>IF(C3=3,1,(Inputs!$B$4-(C3-1))/(D3-(C3-1)))</f>
        <v>0.21052631578947367</v>
      </c>
      <c r="G3" s="5">
        <f>IF(C3=3,1,((MAX(Inputs!$B$4-(C3-1)-1,0)*2*B3)+(2*B3))/((Inputs!$B$4-(C3-1)+1)*(D3-(C3-1))))</f>
        <v>0.12955465587044535</v>
      </c>
      <c r="H3" s="5">
        <f>IF(C3=3,1,((MAX(Inputs!$B$4-(C3-1)-1,0)*2)+(2))/((Inputs!$B$4-(C3-1)+1)*(D3-(C3-1))))</f>
        <v>3.2388663967611336E-2</v>
      </c>
      <c r="I3" s="5">
        <f t="shared" si="1"/>
        <v>1.7543859649122806E-2</v>
      </c>
      <c r="J3" s="5">
        <f>IF(C3=3,B3*COMBIN(Inputs!$B$4,3)/COMBIN(D3,3),J2*F3)</f>
        <v>1.1196899320188258E-2</v>
      </c>
      <c r="K3" s="5">
        <f>IF(C3=3,(Inputs!$B$4-3+1)*POWER(B3,3)/COMBIN(D3,3),K2*G3)</f>
        <v>3.1498969516133993E-3</v>
      </c>
      <c r="L3" s="5">
        <f>IF(C3=3,B3*(Inputs!$B$4-3+1)/COMBIN(D3,3),L2*H3)</f>
        <v>4.9217139868959364E-5</v>
      </c>
      <c r="M3" s="5">
        <f>IF(C3=3,IF(3&lt;=B3,Inputs!$B$4*COMBIN(B3,3)/COMBIN(D3,3),""),IF(I3="","",M2*I3))</f>
        <v>3.0760712418099601E-5</v>
      </c>
      <c r="N3" s="6">
        <f t="shared" si="2"/>
        <v>4.4921183854218931</v>
      </c>
      <c r="O3" s="6">
        <f t="shared" si="3"/>
        <v>5.7603855404532265</v>
      </c>
      <c r="P3" s="6">
        <f t="shared" si="4"/>
        <v>9.9192686238128989</v>
      </c>
      <c r="Q3" s="6">
        <f t="shared" si="5"/>
        <v>10.389272253058634</v>
      </c>
    </row>
    <row r="4" spans="1:17">
      <c r="A4">
        <v>1</v>
      </c>
      <c r="B4">
        <f>Inputs!$B$5</f>
        <v>4</v>
      </c>
      <c r="C4">
        <v>5</v>
      </c>
      <c r="D4">
        <f>B4*Inputs!$B$4</f>
        <v>60</v>
      </c>
      <c r="E4">
        <f t="shared" si="0"/>
        <v>4</v>
      </c>
      <c r="F4" s="5">
        <f>IF(C4=3,1,(Inputs!$B$4-(C4-1))/(D4-(C4-1)))</f>
        <v>0.19642857142857142</v>
      </c>
      <c r="G4" s="5">
        <f>IF(C4=3,1,((MAX(Inputs!$B$4-(C4-1)-1,0)*2*B4)+(2*B4))/((Inputs!$B$4-(C4-1)+1)*(D4-(C4-1))))</f>
        <v>0.13095238095238096</v>
      </c>
      <c r="H4" s="5">
        <f>IF(C4=3,1,((MAX(Inputs!$B$4-(C4-1)-1,0)*2)+(2))/((Inputs!$B$4-(C4-1)+1)*(D4-(C4-1))))</f>
        <v>3.273809523809524E-2</v>
      </c>
      <c r="I4" s="5" t="str">
        <f t="shared" si="1"/>
        <v/>
      </c>
      <c r="J4" s="5">
        <f>IF(C4=3,B4*COMBIN(Inputs!$B$4,3)/COMBIN(D4,3),J3*F4)</f>
        <v>2.199390937894122E-3</v>
      </c>
      <c r="K4" s="5">
        <f>IF(C4=3,(Inputs!$B$4-3+1)*POWER(B4,3)/COMBIN(D4,3),K3*G4)</f>
        <v>4.1248650556842138E-4</v>
      </c>
      <c r="L4" s="5">
        <f>IF(C4=3,B4*(Inputs!$B$4-3+1)/COMBIN(D4,3),L3*H4)</f>
        <v>1.611275412376646E-6</v>
      </c>
      <c r="M4" s="5" t="str">
        <f>IF(C4=3,IF(3&lt;=B4,Inputs!$B$4*COMBIN(B4,3)/COMBIN(D4,3),""),IF(I4="","",M3*I4))</f>
        <v/>
      </c>
      <c r="N4" s="6">
        <f t="shared" si="2"/>
        <v>6.1195748033586721</v>
      </c>
      <c r="O4" s="6">
        <f t="shared" si="3"/>
        <v>7.7933070664981692</v>
      </c>
      <c r="P4" s="6">
        <f t="shared" si="4"/>
        <v>13.338484510977732</v>
      </c>
      <c r="Q4" s="6" t="str">
        <f t="shared" si="5"/>
        <v/>
      </c>
    </row>
    <row r="5" spans="1:17">
      <c r="A5">
        <v>1</v>
      </c>
      <c r="B5">
        <f>Inputs!$B$5</f>
        <v>4</v>
      </c>
      <c r="C5">
        <v>6</v>
      </c>
      <c r="D5">
        <f>B5*Inputs!$B$4</f>
        <v>60</v>
      </c>
      <c r="E5">
        <f t="shared" si="0"/>
        <v>5</v>
      </c>
      <c r="F5" s="5">
        <f>IF(C5=3,1,(Inputs!$B$4-(C5-1))/(D5-(C5-1)))</f>
        <v>0.18181818181818182</v>
      </c>
      <c r="G5" s="5">
        <f>IF(C5=3,1,((MAX(Inputs!$B$4-(C5-1)-1,0)*2*B5)+(2*B5))/((Inputs!$B$4-(C5-1)+1)*(D5-(C5-1))))</f>
        <v>0.13223140495867769</v>
      </c>
      <c r="H5" s="5">
        <f>IF(C5=3,1,((MAX(Inputs!$B$4-(C5-1)-1,0)*2)+(2))/((Inputs!$B$4-(C5-1)+1)*(D5-(C5-1))))</f>
        <v>3.3057851239669422E-2</v>
      </c>
      <c r="I5" s="5" t="str">
        <f t="shared" si="1"/>
        <v/>
      </c>
      <c r="J5" s="5">
        <f>IF(C5=3,B5*COMBIN(Inputs!$B$4,3)/COMBIN(D5,3),J4*F5)</f>
        <v>3.9988926143529491E-4</v>
      </c>
      <c r="K5" s="5">
        <f>IF(C5=3,(Inputs!$B$4-3+1)*POWER(B5,3)/COMBIN(D5,3),K4*G5)</f>
        <v>5.454367015780779E-5</v>
      </c>
      <c r="L5" s="5">
        <f>IF(C5=3,B5*(Inputs!$B$4-3+1)/COMBIN(D5,3),L4*H5)</f>
        <v>5.326530288848417E-8</v>
      </c>
      <c r="M5" s="5" t="str">
        <f>IF(C5=3,IF(3&lt;=B5,Inputs!$B$4*COMBIN(B5,3)/COMBIN(D5,3),""),IF(I5="","",M4*I5))</f>
        <v/>
      </c>
      <c r="N5" s="6">
        <f t="shared" si="2"/>
        <v>7.8243228955970974</v>
      </c>
      <c r="O5" s="6">
        <f t="shared" si="3"/>
        <v>9.8165088898551289</v>
      </c>
      <c r="P5" s="6">
        <f t="shared" si="4"/>
        <v>16.747980695454583</v>
      </c>
      <c r="Q5" s="6" t="str">
        <f t="shared" si="5"/>
        <v/>
      </c>
    </row>
    <row r="6" spans="1:17">
      <c r="A6">
        <v>1</v>
      </c>
      <c r="B6">
        <f>Inputs!$B$5</f>
        <v>4</v>
      </c>
      <c r="C6">
        <v>7</v>
      </c>
      <c r="D6">
        <f>B6*Inputs!$B$4</f>
        <v>60</v>
      </c>
      <c r="E6">
        <f t="shared" si="0"/>
        <v>6</v>
      </c>
      <c r="F6" s="5">
        <f>IF(C6=3,1,(Inputs!$B$4-(C6-1))/(D6-(C6-1)))</f>
        <v>0.16666666666666666</v>
      </c>
      <c r="G6" s="5">
        <f>IF(C6=3,1,((MAX(Inputs!$B$4-(C6-1)-1,0)*2*B6)+(2*B6))/((Inputs!$B$4-(C6-1)+1)*(D6-(C6-1))))</f>
        <v>0.13333333333333333</v>
      </c>
      <c r="H6" s="5">
        <f>IF(C6=3,1,((MAX(Inputs!$B$4-(C6-1)-1,0)*2)+(2))/((Inputs!$B$4-(C6-1)+1)*(D6-(C6-1))))</f>
        <v>3.3333333333333333E-2</v>
      </c>
      <c r="I6" s="5" t="str">
        <f t="shared" si="1"/>
        <v/>
      </c>
      <c r="J6" s="5">
        <f>IF(C6=3,B6*COMBIN(Inputs!$B$4,3)/COMBIN(D6,3),J5*F6)</f>
        <v>6.664821023921581E-5</v>
      </c>
      <c r="K6" s="5">
        <f>IF(C6=3,(Inputs!$B$4-3+1)*POWER(B6,3)/COMBIN(D6,3),K5*G6)</f>
        <v>7.272489354374372E-6</v>
      </c>
      <c r="L6" s="5">
        <f>IF(C6=3,B6*(Inputs!$B$4-3+1)/COMBIN(D6,3),L5*H6)</f>
        <v>1.7755100962828057E-9</v>
      </c>
      <c r="M6" s="5" t="str">
        <f>IF(C6=3,IF(3&lt;=B6,Inputs!$B$4*COMBIN(B6,3)/COMBIN(D6,3),""),IF(I6="","",M5*I6))</f>
        <v/>
      </c>
      <c r="N6" s="6">
        <f t="shared" si="2"/>
        <v>9.6160823648251519</v>
      </c>
      <c r="O6" s="6">
        <f t="shared" si="3"/>
        <v>11.831411910397394</v>
      </c>
      <c r="P6" s="6">
        <f t="shared" si="4"/>
        <v>20.149178077116737</v>
      </c>
      <c r="Q6" s="6" t="str">
        <f t="shared" si="5"/>
        <v/>
      </c>
    </row>
    <row r="7" spans="1:17">
      <c r="A7">
        <v>1</v>
      </c>
      <c r="B7">
        <f>Inputs!$B$5</f>
        <v>4</v>
      </c>
      <c r="C7">
        <v>8</v>
      </c>
      <c r="D7">
        <f>B7*Inputs!$B$4</f>
        <v>60</v>
      </c>
      <c r="E7">
        <f t="shared" si="0"/>
        <v>7</v>
      </c>
      <c r="F7" s="5">
        <f>IF(C7=3,1,(Inputs!$B$4-(C7-1))/(D7-(C7-1)))</f>
        <v>0.15094339622641509</v>
      </c>
      <c r="G7" s="5">
        <f>IF(C7=3,1,((MAX(Inputs!$B$4-(C7-1)-1,0)*2*B7)+(2*B7))/((Inputs!$B$4-(C7-1)+1)*(D7-(C7-1))))</f>
        <v>0.13417190775681342</v>
      </c>
      <c r="H7" s="5">
        <f>IF(C7=3,1,((MAX(Inputs!$B$4-(C7-1)-1,0)*2)+(2))/((Inputs!$B$4-(C7-1)+1)*(D7-(C7-1))))</f>
        <v>3.3542976939203356E-2</v>
      </c>
      <c r="I7" s="5" t="str">
        <f t="shared" si="1"/>
        <v/>
      </c>
      <c r="J7" s="5">
        <f>IF(C7=3,B7*COMBIN(Inputs!$B$4,3)/COMBIN(D7,3),J6*F7)</f>
        <v>1.0060107205919367E-5</v>
      </c>
      <c r="K7" s="5">
        <f>IF(C7=3,(Inputs!$B$4-3+1)*POWER(B7,3)/COMBIN(D7,3),K6*G7)</f>
        <v>9.7576377081752583E-7</v>
      </c>
      <c r="L7" s="5">
        <f>IF(C7=3,B7*(Inputs!$B$4-3+1)/COMBIN(D7,3),L6*H7)</f>
        <v>5.9555894214936879E-11</v>
      </c>
      <c r="M7" s="5" t="str">
        <f>IF(C7=3,IF(3&lt;=B7,Inputs!$B$4*COMBIN(B7,3)/COMBIN(D7,3),""),IF(I7="","",M6*I7))</f>
        <v/>
      </c>
      <c r="N7" s="6">
        <f t="shared" si="2"/>
        <v>11.506932736697438</v>
      </c>
      <c r="O7" s="6">
        <f t="shared" si="3"/>
        <v>13.840045317926064</v>
      </c>
      <c r="P7" s="6">
        <f t="shared" si="4"/>
        <v>23.544105845765298</v>
      </c>
      <c r="Q7" s="6" t="str">
        <f t="shared" si="5"/>
        <v/>
      </c>
    </row>
    <row r="8" spans="1:17">
      <c r="A8">
        <v>1</v>
      </c>
      <c r="B8">
        <f>Inputs!$B$5</f>
        <v>4</v>
      </c>
      <c r="C8">
        <v>9</v>
      </c>
      <c r="D8">
        <f>B8*Inputs!$B$4</f>
        <v>60</v>
      </c>
      <c r="E8">
        <f t="shared" si="0"/>
        <v>8</v>
      </c>
      <c r="F8" s="5">
        <f>IF(C8=3,1,(Inputs!$B$4-(C8-1))/(D8-(C8-1)))</f>
        <v>0.13461538461538461</v>
      </c>
      <c r="G8" s="5">
        <f>IF(C8=3,1,((MAX(Inputs!$B$4-(C8-1)-1,0)*2*B8)+(2*B8))/((Inputs!$B$4-(C8-1)+1)*(D8-(C8-1))))</f>
        <v>0.13461538461538461</v>
      </c>
      <c r="H8" s="5">
        <f>IF(C8=3,1,((MAX(Inputs!$B$4-(C8-1)-1,0)*2)+(2))/((Inputs!$B$4-(C8-1)+1)*(D8-(C8-1))))</f>
        <v>3.3653846153846152E-2</v>
      </c>
      <c r="I8" s="5" t="str">
        <f t="shared" si="1"/>
        <v/>
      </c>
      <c r="J8" s="5">
        <f>IF(C8=3,B8*COMBIN(Inputs!$B$4,3)/COMBIN(D8,3),J7*F8)</f>
        <v>1.3542452007968379E-6</v>
      </c>
      <c r="K8" s="5">
        <f>IF(C8=3,(Inputs!$B$4-3+1)*POWER(B8,3)/COMBIN(D8,3),K7*G8)</f>
        <v>1.3135281530235925E-7</v>
      </c>
      <c r="L8" s="5">
        <f>IF(C8=3,B8*(Inputs!$B$4-3+1)/COMBIN(D8,3),L7*H8)</f>
        <v>2.004284901464222E-12</v>
      </c>
      <c r="M8" s="5" t="str">
        <f>IF(C8=3,IF(3&lt;=B8,Inputs!$B$4*COMBIN(B8,3)/COMBIN(D8,3),""),IF(I8="","",M7*I8))</f>
        <v/>
      </c>
      <c r="N8" s="6">
        <f t="shared" si="2"/>
        <v>13.512266306223552</v>
      </c>
      <c r="O8" s="6">
        <f t="shared" si="3"/>
        <v>15.845378887452178</v>
      </c>
      <c r="P8" s="6">
        <f t="shared" si="4"/>
        <v>26.935733776411304</v>
      </c>
      <c r="Q8" s="6" t="str">
        <f t="shared" si="5"/>
        <v/>
      </c>
    </row>
    <row r="9" spans="1:17">
      <c r="A9">
        <v>1</v>
      </c>
      <c r="B9">
        <f>Inputs!$B$5</f>
        <v>4</v>
      </c>
      <c r="C9">
        <v>10</v>
      </c>
      <c r="D9">
        <f>B9*Inputs!$B$4</f>
        <v>60</v>
      </c>
      <c r="E9">
        <f t="shared" si="0"/>
        <v>9</v>
      </c>
      <c r="F9" s="5">
        <f>IF(C9=3,1,(Inputs!$B$4-(C9-1))/(D9-(C9-1)))</f>
        <v>0.11764705882352941</v>
      </c>
      <c r="G9" s="5">
        <f>IF(C9=3,1,((MAX(Inputs!$B$4-(C9-1)-1,0)*2*B9)+(2*B9))/((Inputs!$B$4-(C9-1)+1)*(D9-(C9-1))))</f>
        <v>0.13445378151260504</v>
      </c>
      <c r="H9" s="5">
        <f>IF(C9=3,1,((MAX(Inputs!$B$4-(C9-1)-1,0)*2)+(2))/((Inputs!$B$4-(C9-1)+1)*(D9-(C9-1))))</f>
        <v>3.3613445378151259E-2</v>
      </c>
      <c r="I9" s="5" t="str">
        <f t="shared" si="1"/>
        <v/>
      </c>
      <c r="J9" s="5">
        <f>IF(C9=3,B9*COMBIN(Inputs!$B$4,3)/COMBIN(D9,3),J8*F9)</f>
        <v>1.5932296479962799E-7</v>
      </c>
      <c r="K9" s="5">
        <f>IF(C9=3,(Inputs!$B$4-3+1)*POWER(B9,3)/COMBIN(D9,3),K8*G9)</f>
        <v>1.7660882729728973E-8</v>
      </c>
      <c r="L9" s="5">
        <f>IF(C9=3,B9*(Inputs!$B$4-3+1)/COMBIN(D9,3),L8*H9)</f>
        <v>6.7370921057620899E-14</v>
      </c>
      <c r="M9" s="5" t="str">
        <f>IF(C9=3,IF(3&lt;=B9,Inputs!$B$4*COMBIN(B9,3)/COMBIN(D9,3),""),IF(I9="","",M8*I9))</f>
        <v/>
      </c>
      <c r="N9" s="6">
        <f t="shared" si="2"/>
        <v>15.652332469719823</v>
      </c>
      <c r="O9" s="6">
        <f t="shared" si="3"/>
        <v>17.851913658323927</v>
      </c>
      <c r="P9" s="6">
        <f t="shared" si="4"/>
        <v>30.32856290840294</v>
      </c>
      <c r="Q9" s="6" t="str">
        <f t="shared" si="5"/>
        <v/>
      </c>
    </row>
    <row r="10" spans="1:17">
      <c r="A10">
        <v>1</v>
      </c>
      <c r="B10">
        <f>Inputs!$B$5</f>
        <v>4</v>
      </c>
      <c r="C10">
        <v>11</v>
      </c>
      <c r="D10">
        <f>B10*Inputs!$B$4</f>
        <v>60</v>
      </c>
      <c r="E10">
        <f t="shared" si="0"/>
        <v>10</v>
      </c>
      <c r="F10" s="5">
        <f>IF(C10=3,1,(Inputs!$B$4-(C10-1))/(D10-(C10-1)))</f>
        <v>0.1</v>
      </c>
      <c r="G10" s="5">
        <f>IF(C10=3,1,((MAX(Inputs!$B$4-(C10-1)-1,0)*2*B10)+(2*B10))/((Inputs!$B$4-(C10-1)+1)*(D10-(C10-1))))</f>
        <v>0.13333333333333333</v>
      </c>
      <c r="H10" s="5">
        <f>IF(C10=3,1,((MAX(Inputs!$B$4-(C10-1)-1,0)*2)+(2))/((Inputs!$B$4-(C10-1)+1)*(D10-(C10-1))))</f>
        <v>3.3333333333333333E-2</v>
      </c>
      <c r="I10" s="5" t="str">
        <f t="shared" si="1"/>
        <v/>
      </c>
      <c r="J10" s="5">
        <f>IF(C10=3,B10*COMBIN(Inputs!$B$4,3)/COMBIN(D10,3),J9*F10)</f>
        <v>1.5932296479962801E-8</v>
      </c>
      <c r="K10" s="5">
        <f>IF(C10=3,(Inputs!$B$4-3+1)*POWER(B10,3)/COMBIN(D10,3),K9*G10)</f>
        <v>2.3547843639638631E-9</v>
      </c>
      <c r="L10" s="5">
        <f>IF(C10=3,B10*(Inputs!$B$4-3+1)/COMBIN(D10,3),L9*H10)</f>
        <v>2.2456973685873634E-15</v>
      </c>
      <c r="M10" s="5" t="str">
        <f>IF(C10=3,IF(3&lt;=B10,Inputs!$B$4*COMBIN(B10,3)/COMBIN(D10,3),""),IF(I10="","",M9*I10))</f>
        <v/>
      </c>
      <c r="N10" s="6">
        <f t="shared" si="2"/>
        <v>17.95491756271387</v>
      </c>
      <c r="O10" s="6">
        <f t="shared" si="3"/>
        <v>19.86681667886619</v>
      </c>
      <c r="P10" s="6">
        <f t="shared" si="4"/>
        <v>33.729760290065094</v>
      </c>
      <c r="Q10" s="6" t="str">
        <f t="shared" si="5"/>
        <v/>
      </c>
    </row>
    <row r="11" spans="1:17">
      <c r="A11">
        <v>1</v>
      </c>
      <c r="B11">
        <f>Inputs!$B$5</f>
        <v>4</v>
      </c>
      <c r="C11">
        <v>12</v>
      </c>
      <c r="D11">
        <f>B11*Inputs!$B$4</f>
        <v>60</v>
      </c>
      <c r="E11">
        <f t="shared" si="0"/>
        <v>11</v>
      </c>
      <c r="F11" s="5">
        <f>IF(C11=3,1,(Inputs!$B$4-(C11-1))/(D11-(C11-1)))</f>
        <v>8.1632653061224483E-2</v>
      </c>
      <c r="G11" s="5">
        <f>IF(C11=3,1,((MAX(Inputs!$B$4-(C11-1)-1,0)*2*B11)+(2*B11))/((Inputs!$B$4-(C11-1)+1)*(D11-(C11-1))))</f>
        <v>0.1306122448979592</v>
      </c>
      <c r="H11" s="5">
        <f>IF(C11=3,1,((MAX(Inputs!$B$4-(C11-1)-1,0)*2)+(2))/((Inputs!$B$4-(C11-1)+1)*(D11-(C11-1))))</f>
        <v>3.2653061224489799E-2</v>
      </c>
      <c r="I11" s="5" t="str">
        <f t="shared" si="1"/>
        <v/>
      </c>
      <c r="J11" s="5">
        <f>IF(C11=3,B11*COMBIN(Inputs!$B$4,3)/COMBIN(D11,3),J10*F11)</f>
        <v>1.3005956310173714E-9</v>
      </c>
      <c r="K11" s="5">
        <f>IF(C11=3,(Inputs!$B$4-3+1)*POWER(B11,3)/COMBIN(D11,3),K10*G11)</f>
        <v>3.0756367202793319E-10</v>
      </c>
      <c r="L11" s="5">
        <f>IF(C11=3,B11*(Inputs!$B$4-3+1)/COMBIN(D11,3),L10*H11)</f>
        <v>7.3328893668158814E-17</v>
      </c>
      <c r="M11" s="5" t="str">
        <f>IF(C11=3,IF(3&lt;=B11,Inputs!$B$4*COMBIN(B11,3)/COMBIN(D11,3),""),IF(I11="","",M10*I11))</f>
        <v/>
      </c>
      <c r="N11" s="6">
        <f t="shared" si="2"/>
        <v>20.460443499704606</v>
      </c>
      <c r="O11" s="6">
        <f t="shared" si="3"/>
        <v>21.902338986611191</v>
      </c>
      <c r="P11" s="6">
        <f t="shared" si="4"/>
        <v>37.151576958929986</v>
      </c>
      <c r="Q11" s="6" t="str">
        <f t="shared" si="5"/>
        <v/>
      </c>
    </row>
    <row r="12" spans="1:17">
      <c r="A12">
        <v>1</v>
      </c>
      <c r="B12">
        <f>Inputs!$B$5</f>
        <v>4</v>
      </c>
      <c r="C12">
        <v>13</v>
      </c>
      <c r="D12">
        <f>B12*Inputs!$B$4</f>
        <v>60</v>
      </c>
      <c r="E12">
        <f t="shared" si="0"/>
        <v>12</v>
      </c>
      <c r="F12" s="5">
        <f>IF(C12=3,1,(Inputs!$B$4-(C12-1))/(D12-(C12-1)))</f>
        <v>6.25E-2</v>
      </c>
      <c r="G12" s="5">
        <f>IF(C12=3,1,((MAX(Inputs!$B$4-(C12-1)-1,0)*2*B12)+(2*B12))/((Inputs!$B$4-(C12-1)+1)*(D12-(C12-1))))</f>
        <v>0.125</v>
      </c>
      <c r="H12" s="5">
        <f>IF(C12=3,1,((MAX(Inputs!$B$4-(C12-1)-1,0)*2)+(2))/((Inputs!$B$4-(C12-1)+1)*(D12-(C12-1))))</f>
        <v>3.125E-2</v>
      </c>
      <c r="I12" s="5" t="str">
        <f t="shared" si="1"/>
        <v/>
      </c>
      <c r="J12" s="5">
        <f>IF(C12=3,B12*COMBIN(Inputs!$B$4,3)/COMBIN(D12,3),J11*F12)</f>
        <v>8.128722693858571E-11</v>
      </c>
      <c r="K12" s="5">
        <f>IF(C12=3,(Inputs!$B$4-3+1)*POWER(B12,3)/COMBIN(D12,3),K11*G12)</f>
        <v>3.8445459003491648E-11</v>
      </c>
      <c r="L12" s="5">
        <f>IF(C12=3,B12*(Inputs!$B$4-3+1)/COMBIN(D12,3),L11*H12)</f>
        <v>2.2915279271299629E-18</v>
      </c>
      <c r="M12" s="5" t="str">
        <f>IF(C12=3,IF(3&lt;=B12,Inputs!$B$4*COMBIN(B12,3)/COMBIN(D12,3),""),IF(I12="","",M11*I12))</f>
        <v/>
      </c>
      <c r="N12" s="6">
        <f t="shared" si="2"/>
        <v>23.233032221944384</v>
      </c>
      <c r="O12" s="6">
        <f t="shared" si="3"/>
        <v>23.981780528291026</v>
      </c>
      <c r="P12" s="6">
        <f t="shared" si="4"/>
        <v>40.617312861729715</v>
      </c>
      <c r="Q12" s="6" t="str">
        <f t="shared" si="5"/>
        <v/>
      </c>
    </row>
    <row r="13" spans="1:17">
      <c r="A13">
        <v>1</v>
      </c>
      <c r="B13">
        <f>Inputs!$B$5</f>
        <v>4</v>
      </c>
      <c r="C13">
        <v>14</v>
      </c>
      <c r="D13">
        <f>B13*Inputs!$B$4</f>
        <v>60</v>
      </c>
      <c r="E13">
        <f t="shared" si="0"/>
        <v>13</v>
      </c>
      <c r="F13" s="5">
        <f>IF(C13=3,1,(Inputs!$B$4-(C13-1))/(D13-(C13-1)))</f>
        <v>4.2553191489361701E-2</v>
      </c>
      <c r="G13" s="5">
        <f>IF(C13=3,1,((MAX(Inputs!$B$4-(C13-1)-1,0)*2*B13)+(2*B13))/((Inputs!$B$4-(C13-1)+1)*(D13-(C13-1))))</f>
        <v>0.11347517730496454</v>
      </c>
      <c r="H13" s="5">
        <f>IF(C13=3,1,((MAX(Inputs!$B$4-(C13-1)-1,0)*2)+(2))/((Inputs!$B$4-(C13-1)+1)*(D13-(C13-1))))</f>
        <v>2.8368794326241134E-2</v>
      </c>
      <c r="I13" s="5" t="str">
        <f t="shared" si="1"/>
        <v/>
      </c>
      <c r="J13" s="5">
        <f>IF(C13=3,B13*COMBIN(Inputs!$B$4,3)/COMBIN(D13,3),J12*F13)</f>
        <v>3.4590309335568387E-12</v>
      </c>
      <c r="K13" s="5">
        <f>IF(C13=3,(Inputs!$B$4-3+1)*POWER(B13,3)/COMBIN(D13,3),K12*G13)</f>
        <v>4.3626052769919598E-12</v>
      </c>
      <c r="L13" s="5">
        <f>IF(C13=3,B13*(Inputs!$B$4-3+1)/COMBIN(D13,3),L12*H13)</f>
        <v>6.5007884457587597E-20</v>
      </c>
      <c r="M13" s="5" t="str">
        <f>IF(C13=3,IF(3&lt;=B13,Inputs!$B$4*COMBIN(B13,3)/COMBIN(D13,3),""),IF(I13="","",M12*I13))</f>
        <v/>
      </c>
      <c r="N13" s="6">
        <f t="shared" si="2"/>
        <v>26.3900326430945</v>
      </c>
      <c r="O13" s="6">
        <f t="shared" si="3"/>
        <v>26.157951696429414</v>
      </c>
      <c r="P13" s="6">
        <f t="shared" si="4"/>
        <v>44.179778390987991</v>
      </c>
      <c r="Q13" s="6" t="str">
        <f t="shared" si="5"/>
        <v/>
      </c>
    </row>
    <row r="14" spans="1:17">
      <c r="A14">
        <v>1</v>
      </c>
      <c r="B14">
        <f>Inputs!$B$5</f>
        <v>4</v>
      </c>
      <c r="C14">
        <v>15</v>
      </c>
      <c r="D14">
        <f>B14*Inputs!$B$4</f>
        <v>60</v>
      </c>
      <c r="E14">
        <f t="shared" si="0"/>
        <v>14</v>
      </c>
      <c r="F14" s="5">
        <f>IF(C14=3,1,(Inputs!$B$4-(C14-1))/(D14-(C14-1)))</f>
        <v>2.1739130434782608E-2</v>
      </c>
      <c r="G14" s="5">
        <f>IF(C14=3,1,((MAX(Inputs!$B$4-(C14-1)-1,0)*2*B14)+(2*B14))/((Inputs!$B$4-(C14-1)+1)*(D14-(C14-1))))</f>
        <v>8.6956521739130432E-2</v>
      </c>
      <c r="H14" s="5">
        <f>IF(C14=3,1,((MAX(Inputs!$B$4-(C14-1)-1,0)*2)+(2))/((Inputs!$B$4-(C14-1)+1)*(D14-(C14-1))))</f>
        <v>2.1739130434782608E-2</v>
      </c>
      <c r="I14" s="5" t="str">
        <f t="shared" si="1"/>
        <v/>
      </c>
      <c r="J14" s="5">
        <f>IF(C14=3,B14*COMBIN(Inputs!$B$4,3)/COMBIN(D14,3),J13*F14)</f>
        <v>7.5196324642539971E-14</v>
      </c>
      <c r="K14" s="5">
        <f>IF(C14=3,(Inputs!$B$4-3+1)*POWER(B14,3)/COMBIN(D14,3),K13*G14)</f>
        <v>3.7935698060799651E-13</v>
      </c>
      <c r="L14" s="5">
        <f>IF(C14=3,B14*(Inputs!$B$4-3+1)/COMBIN(D14,3),L13*H14)</f>
        <v>1.4132148795127738E-21</v>
      </c>
      <c r="M14" s="5" t="str">
        <f>IF(C14=3,IF(3&lt;=B14,Inputs!$B$4*COMBIN(B14,3)/COMBIN(D14,3),""),IF(I14="","",M13*I14))</f>
        <v/>
      </c>
      <c r="N14" s="6">
        <f t="shared" si="2"/>
        <v>30.218674039583593</v>
      </c>
      <c r="O14" s="6">
        <f t="shared" si="3"/>
        <v>28.600298731798617</v>
      </c>
      <c r="P14" s="6">
        <f t="shared" si="4"/>
        <v>48.008419787477088</v>
      </c>
      <c r="Q14" s="6" t="str">
        <f t="shared" si="5"/>
        <v/>
      </c>
    </row>
    <row r="15" spans="1:17">
      <c r="A15">
        <v>2</v>
      </c>
      <c r="B15">
        <f>Inputs!$B$6</f>
        <v>5</v>
      </c>
      <c r="C15">
        <v>3</v>
      </c>
      <c r="D15">
        <f>B15*Inputs!$B$4</f>
        <v>75</v>
      </c>
      <c r="E15" t="str">
        <f t="shared" si="0"/>
        <v/>
      </c>
      <c r="F15" s="5">
        <f>IF(C15=3,1,(Inputs!$B$4-(C15-1))/(D15-(C15-1)))</f>
        <v>1</v>
      </c>
      <c r="G15" s="5">
        <f>IF(C15=3,1,((MAX(Inputs!$B$4-(C15-1)-1,0)*2*B15)+(2*B15))/((Inputs!$B$4-(C15-1)+1)*(D15-(C15-1))))</f>
        <v>1</v>
      </c>
      <c r="H15" s="5">
        <f>IF(C15=3,1,((MAX(Inputs!$B$4-(C15-1)-1,0)*2)+(2))/((Inputs!$B$4-(C15-1)+1)*(D15-(C15-1))))</f>
        <v>1</v>
      </c>
      <c r="I15" s="5">
        <f t="shared" si="1"/>
        <v>1</v>
      </c>
      <c r="J15" s="5">
        <f>IF(C15=3,B15*COMBIN(Inputs!$B$4,3)/COMBIN(D15,3),J14*F15)</f>
        <v>3.3691225472047399E-2</v>
      </c>
      <c r="K15" s="5">
        <f>IF(C15=3,(Inputs!$B$4-3+1)*POWER(B15,3)/COMBIN(D15,3),K14*G15)</f>
        <v>2.4065161051462423E-2</v>
      </c>
      <c r="L15" s="5">
        <f>IF(C15=3,B15*(Inputs!$B$4-3+1)/COMBIN(D15,3),L14*H15)</f>
        <v>9.6260644205849687E-4</v>
      </c>
      <c r="M15" s="5">
        <f>IF(C15=3,IF(3&lt;=B15,Inputs!$B$4*COMBIN(B15,3)/COMBIN(D15,3),""),IF(I15="","",M14*I15))</f>
        <v>2.2213994816734544E-3</v>
      </c>
      <c r="N15" s="6">
        <f t="shared" si="2"/>
        <v>3.3905178472757651</v>
      </c>
      <c r="O15" s="6">
        <f t="shared" si="3"/>
        <v>3.7269900838969785</v>
      </c>
      <c r="P15" s="6">
        <f t="shared" si="4"/>
        <v>6.9458659087651791</v>
      </c>
      <c r="Q15" s="6">
        <f t="shared" si="5"/>
        <v>6.1096178845645603</v>
      </c>
    </row>
    <row r="16" spans="1:17">
      <c r="A16">
        <v>2</v>
      </c>
      <c r="B16">
        <f>Inputs!$B$6</f>
        <v>5</v>
      </c>
      <c r="C16">
        <v>4</v>
      </c>
      <c r="D16">
        <f>B16*Inputs!$B$4</f>
        <v>75</v>
      </c>
      <c r="E16">
        <f t="shared" si="0"/>
        <v>3</v>
      </c>
      <c r="F16" s="5">
        <f>IF(C16=3,1,(Inputs!$B$4-(C16-1))/(D16-(C16-1)))</f>
        <v>0.16666666666666666</v>
      </c>
      <c r="G16" s="5">
        <f>IF(C16=3,1,((MAX(Inputs!$B$4-(C16-1)-1,0)*2*B16)+(2*B16))/((Inputs!$B$4-(C16-1)+1)*(D16-(C16-1))))</f>
        <v>0.12820512820512819</v>
      </c>
      <c r="H16" s="5">
        <f>IF(C16=3,1,((MAX(Inputs!$B$4-(C16-1)-1,0)*2)+(2))/((Inputs!$B$4-(C16-1)+1)*(D16-(C16-1))))</f>
        <v>2.564102564102564E-2</v>
      </c>
      <c r="I16" s="5">
        <f t="shared" si="1"/>
        <v>2.7777777777777776E-2</v>
      </c>
      <c r="J16" s="5">
        <f>IF(C16=3,B16*COMBIN(Inputs!$B$4,3)/COMBIN(D16,3),J15*F16)</f>
        <v>5.6152042453412329E-3</v>
      </c>
      <c r="K16" s="5">
        <f>IF(C16=3,(Inputs!$B$4-3+1)*POWER(B16,3)/COMBIN(D16,3),K15*G16)</f>
        <v>3.0852770578797973E-3</v>
      </c>
      <c r="L16" s="5">
        <f>IF(C16=3,B16*(Inputs!$B$4-3+1)/COMBIN(D16,3),L15*H16)</f>
        <v>2.468221646303838E-5</v>
      </c>
      <c r="M16" s="5">
        <f>IF(C16=3,IF(3&lt;=B16,Inputs!$B$4*COMBIN(B16,3)/COMBIN(D16,3),""),IF(I16="","",M15*I16))</f>
        <v>6.1705541157595955E-5</v>
      </c>
      <c r="N16" s="6">
        <f t="shared" si="2"/>
        <v>5.1822773165038205</v>
      </c>
      <c r="O16" s="6">
        <f t="shared" si="3"/>
        <v>5.7811138175925247</v>
      </c>
      <c r="P16" s="6">
        <f t="shared" si="4"/>
        <v>10.609427554894825</v>
      </c>
      <c r="Q16" s="6">
        <f t="shared" si="5"/>
        <v>9.6931368230206711</v>
      </c>
    </row>
    <row r="17" spans="1:17">
      <c r="A17">
        <v>2</v>
      </c>
      <c r="B17">
        <f>Inputs!$B$6</f>
        <v>5</v>
      </c>
      <c r="C17">
        <v>5</v>
      </c>
      <c r="D17">
        <f>B17*Inputs!$B$4</f>
        <v>75</v>
      </c>
      <c r="E17">
        <f t="shared" si="0"/>
        <v>4</v>
      </c>
      <c r="F17" s="5">
        <f>IF(C17=3,1,(Inputs!$B$4-(C17-1))/(D17-(C17-1)))</f>
        <v>0.15492957746478872</v>
      </c>
      <c r="G17" s="5">
        <f>IF(C17=3,1,((MAX(Inputs!$B$4-(C17-1)-1,0)*2*B17)+(2*B17))/((Inputs!$B$4-(C17-1)+1)*(D17-(C17-1))))</f>
        <v>0.12910798122065728</v>
      </c>
      <c r="H17" s="5">
        <f>IF(C17=3,1,((MAX(Inputs!$B$4-(C17-1)-1,0)*2)+(2))/((Inputs!$B$4-(C17-1)+1)*(D17-(C17-1))))</f>
        <v>2.5821596244131457E-2</v>
      </c>
      <c r="I17" s="5">
        <f t="shared" si="1"/>
        <v>1.4084507042253521E-2</v>
      </c>
      <c r="J17" s="5">
        <f>IF(C17=3,B17*COMBIN(Inputs!$B$4,3)/COMBIN(D17,3),J16*F17)</f>
        <v>8.6996122110920499E-4</v>
      </c>
      <c r="K17" s="5">
        <f>IF(C17=3,(Inputs!$B$4-3+1)*POWER(B17,3)/COMBIN(D17,3),K16*G17)</f>
        <v>3.9833389244926961E-4</v>
      </c>
      <c r="L17" s="5">
        <f>IF(C17=3,B17*(Inputs!$B$4-3+1)/COMBIN(D17,3),L16*H17)</f>
        <v>6.3733422791883147E-7</v>
      </c>
      <c r="M17" s="5">
        <f>IF(C17=3,IF(3&lt;=B17,Inputs!$B$4*COMBIN(B17,3)/COMBIN(D17,3),""),IF(I17="","",M16*I17))</f>
        <v>8.6909212898022475E-7</v>
      </c>
      <c r="N17" s="6">
        <f t="shared" si="2"/>
        <v>7.0470619207467653</v>
      </c>
      <c r="O17" s="6">
        <f t="shared" si="3"/>
        <v>7.8282199786294244</v>
      </c>
      <c r="P17" s="6">
        <f t="shared" si="4"/>
        <v>14.265971628365826</v>
      </c>
      <c r="Q17" s="6">
        <f t="shared" si="5"/>
        <v>13.955816700061986</v>
      </c>
    </row>
    <row r="18" spans="1:17">
      <c r="A18">
        <v>2</v>
      </c>
      <c r="B18">
        <f>Inputs!$B$6</f>
        <v>5</v>
      </c>
      <c r="C18">
        <v>6</v>
      </c>
      <c r="D18">
        <f>B18*Inputs!$B$4</f>
        <v>75</v>
      </c>
      <c r="E18">
        <f t="shared" si="0"/>
        <v>5</v>
      </c>
      <c r="F18" s="5">
        <f>IF(C18=3,1,(Inputs!$B$4-(C18-1))/(D18-(C18-1)))</f>
        <v>0.14285714285714285</v>
      </c>
      <c r="G18" s="5">
        <f>IF(C18=3,1,((MAX(Inputs!$B$4-(C18-1)-1,0)*2*B18)+(2*B18))/((Inputs!$B$4-(C18-1)+1)*(D18-(C18-1))))</f>
        <v>0.12987012987012986</v>
      </c>
      <c r="H18" s="5">
        <f>IF(C18=3,1,((MAX(Inputs!$B$4-(C18-1)-1,0)*2)+(2))/((Inputs!$B$4-(C18-1)+1)*(D18-(C18-1))))</f>
        <v>2.5974025974025976E-2</v>
      </c>
      <c r="I18" s="5" t="str">
        <f t="shared" si="1"/>
        <v/>
      </c>
      <c r="J18" s="5">
        <f>IF(C18=3,B18*COMBIN(Inputs!$B$4,3)/COMBIN(D18,3),J17*F18)</f>
        <v>1.2428017444417213E-4</v>
      </c>
      <c r="K18" s="5">
        <f>IF(C18=3,(Inputs!$B$4-3+1)*POWER(B18,3)/COMBIN(D18,3),K17*G18)</f>
        <v>5.1731674344060982E-5</v>
      </c>
      <c r="L18" s="5">
        <f>IF(C18=3,B18*(Inputs!$B$4-3+1)/COMBIN(D18,3),L17*H18)</f>
        <v>1.6554135790099519E-8</v>
      </c>
      <c r="M18" s="5" t="str">
        <f>IF(C18=3,IF(3&lt;=B18,Inputs!$B$4*COMBIN(B18,3)/COMBIN(D18,3),""),IF(I18="","",M17*I18))</f>
        <v/>
      </c>
      <c r="N18" s="6">
        <f t="shared" si="2"/>
        <v>8.9929720698020787</v>
      </c>
      <c r="O18" s="6">
        <f t="shared" si="3"/>
        <v>9.8694403074890626</v>
      </c>
      <c r="P18" s="6">
        <f t="shared" si="4"/>
        <v>17.916629869659563</v>
      </c>
      <c r="Q18" s="6" t="str">
        <f t="shared" si="5"/>
        <v/>
      </c>
    </row>
    <row r="19" spans="1:17">
      <c r="A19">
        <v>2</v>
      </c>
      <c r="B19">
        <f>Inputs!$B$6</f>
        <v>5</v>
      </c>
      <c r="C19">
        <v>7</v>
      </c>
      <c r="D19">
        <f>B19*Inputs!$B$4</f>
        <v>75</v>
      </c>
      <c r="E19">
        <f t="shared" si="0"/>
        <v>6</v>
      </c>
      <c r="F19" s="5">
        <f>IF(C19=3,1,(Inputs!$B$4-(C19-1))/(D19-(C19-1)))</f>
        <v>0.13043478260869565</v>
      </c>
      <c r="G19" s="5">
        <f>IF(C19=3,1,((MAX(Inputs!$B$4-(C19-1)-1,0)*2*B19)+(2*B19))/((Inputs!$B$4-(C19-1)+1)*(D19-(C19-1))))</f>
        <v>0.13043478260869565</v>
      </c>
      <c r="H19" s="5">
        <f>IF(C19=3,1,((MAX(Inputs!$B$4-(C19-1)-1,0)*2)+(2))/((Inputs!$B$4-(C19-1)+1)*(D19-(C19-1))))</f>
        <v>2.6086956521739129E-2</v>
      </c>
      <c r="I19" s="5" t="str">
        <f t="shared" si="1"/>
        <v/>
      </c>
      <c r="J19" s="5">
        <f>IF(C19=3,B19*COMBIN(Inputs!$B$4,3)/COMBIN(D19,3),J18*F19)</f>
        <v>1.6210457536196364E-5</v>
      </c>
      <c r="K19" s="5">
        <f>IF(C19=3,(Inputs!$B$4-3+1)*POWER(B19,3)/COMBIN(D19,3),K18*G19)</f>
        <v>6.7476096970514322E-6</v>
      </c>
      <c r="L19" s="5">
        <f>IF(C19=3,B19*(Inputs!$B$4-3+1)/COMBIN(D19,3),L18*H19)</f>
        <v>4.3184702061129177E-10</v>
      </c>
      <c r="M19" s="5" t="str">
        <f>IF(C19=3,IF(3&lt;=B19,Inputs!$B$4*COMBIN(B19,3)/COMBIN(D19,3),""),IF(I19="","",M18*I19))</f>
        <v/>
      </c>
      <c r="N19" s="6">
        <f t="shared" si="2"/>
        <v>11.029853997063119</v>
      </c>
      <c r="O19" s="6">
        <f t="shared" si="3"/>
        <v>11.906322234750103</v>
      </c>
      <c r="P19" s="6">
        <f t="shared" si="4"/>
        <v>21.562949709354704</v>
      </c>
      <c r="Q19" s="6" t="str">
        <f t="shared" si="5"/>
        <v/>
      </c>
    </row>
    <row r="20" spans="1:17">
      <c r="A20">
        <v>2</v>
      </c>
      <c r="B20">
        <f>Inputs!$B$6</f>
        <v>5</v>
      </c>
      <c r="C20">
        <v>8</v>
      </c>
      <c r="D20">
        <f>B20*Inputs!$B$4</f>
        <v>75</v>
      </c>
      <c r="E20">
        <f t="shared" si="0"/>
        <v>7</v>
      </c>
      <c r="F20" s="5">
        <f>IF(C20=3,1,(Inputs!$B$4-(C20-1))/(D20-(C20-1)))</f>
        <v>0.11764705882352941</v>
      </c>
      <c r="G20" s="5">
        <f>IF(C20=3,1,((MAX(Inputs!$B$4-(C20-1)-1,0)*2*B20)+(2*B20))/((Inputs!$B$4-(C20-1)+1)*(D20-(C20-1))))</f>
        <v>0.13071895424836602</v>
      </c>
      <c r="H20" s="5">
        <f>IF(C20=3,1,((MAX(Inputs!$B$4-(C20-1)-1,0)*2)+(2))/((Inputs!$B$4-(C20-1)+1)*(D20-(C20-1))))</f>
        <v>2.6143790849673203E-2</v>
      </c>
      <c r="I20" s="5" t="str">
        <f t="shared" si="1"/>
        <v/>
      </c>
      <c r="J20" s="5">
        <f>IF(C20=3,B20*COMBIN(Inputs!$B$4,3)/COMBIN(D20,3),J19*F20)</f>
        <v>1.9071126513172193E-6</v>
      </c>
      <c r="K20" s="5">
        <f>IF(C20=3,(Inputs!$B$4-3+1)*POWER(B20,3)/COMBIN(D20,3),K19*G20)</f>
        <v>8.8204048327469711E-7</v>
      </c>
      <c r="L20" s="5">
        <f>IF(C20=3,B20*(Inputs!$B$4-3+1)/COMBIN(D20,3),L19*H20)</f>
        <v>1.1290118185916125E-11</v>
      </c>
      <c r="M20" s="5" t="str">
        <f>IF(C20=3,IF(3&lt;=B20,Inputs!$B$4*COMBIN(B20,3)/COMBIN(D20,3),""),IF(I20="","",M19*I20))</f>
        <v/>
      </c>
      <c r="N20" s="6">
        <f t="shared" si="2"/>
        <v>13.169920160559389</v>
      </c>
      <c r="O20" s="6">
        <f t="shared" si="3"/>
        <v>13.941027882588546</v>
      </c>
      <c r="P20" s="6">
        <f t="shared" si="4"/>
        <v>25.207093269627251</v>
      </c>
      <c r="Q20" s="6" t="str">
        <f t="shared" si="5"/>
        <v/>
      </c>
    </row>
    <row r="21" spans="1:17">
      <c r="A21">
        <v>2</v>
      </c>
      <c r="B21">
        <f>Inputs!$B$6</f>
        <v>5</v>
      </c>
      <c r="C21">
        <v>9</v>
      </c>
      <c r="D21">
        <f>B21*Inputs!$B$4</f>
        <v>75</v>
      </c>
      <c r="E21">
        <f t="shared" si="0"/>
        <v>8</v>
      </c>
      <c r="F21" s="5">
        <f>IF(C21=3,1,(Inputs!$B$4-(C21-1))/(D21-(C21-1)))</f>
        <v>0.1044776119402985</v>
      </c>
      <c r="G21" s="5">
        <f>IF(C21=3,1,((MAX(Inputs!$B$4-(C21-1)-1,0)*2*B21)+(2*B21))/((Inputs!$B$4-(C21-1)+1)*(D21-(C21-1))))</f>
        <v>0.13059701492537312</v>
      </c>
      <c r="H21" s="5">
        <f>IF(C21=3,1,((MAX(Inputs!$B$4-(C21-1)-1,0)*2)+(2))/((Inputs!$B$4-(C21-1)+1)*(D21-(C21-1))))</f>
        <v>2.6119402985074626E-2</v>
      </c>
      <c r="I21" s="5" t="str">
        <f t="shared" si="1"/>
        <v/>
      </c>
      <c r="J21" s="5">
        <f>IF(C21=3,B21*COMBIN(Inputs!$B$4,3)/COMBIN(D21,3),J20*F21)</f>
        <v>1.9925057551075426E-7</v>
      </c>
      <c r="K21" s="5">
        <f>IF(C21=3,(Inputs!$B$4-3+1)*POWER(B21,3)/COMBIN(D21,3),K20*G21)</f>
        <v>1.1519185415900895E-7</v>
      </c>
      <c r="L21" s="5">
        <f>IF(C21=3,B21*(Inputs!$B$4-3+1)/COMBIN(D21,3),L20*H21)</f>
        <v>2.9489114664706294E-13</v>
      </c>
      <c r="M21" s="5" t="str">
        <f>IF(C21=3,IF(3&lt;=B21,Inputs!$B$4*COMBIN(B21,3)/COMBIN(D21,3),""),IF(I21="","",M20*I21))</f>
        <v/>
      </c>
      <c r="N21" s="6">
        <f t="shared" si="2"/>
        <v>15.428702630895042</v>
      </c>
      <c r="O21" s="6">
        <f t="shared" si="3"/>
        <v>15.976666801609991</v>
      </c>
      <c r="P21" s="6">
        <f t="shared" si="4"/>
        <v>28.852170101082791</v>
      </c>
      <c r="Q21" s="6" t="str">
        <f t="shared" si="5"/>
        <v/>
      </c>
    </row>
    <row r="22" spans="1:17">
      <c r="A22">
        <v>2</v>
      </c>
      <c r="B22">
        <f>Inputs!$B$6</f>
        <v>5</v>
      </c>
      <c r="C22">
        <v>10</v>
      </c>
      <c r="D22">
        <f>B22*Inputs!$B$4</f>
        <v>75</v>
      </c>
      <c r="E22">
        <f t="shared" si="0"/>
        <v>9</v>
      </c>
      <c r="F22" s="5">
        <f>IF(C22=3,1,(Inputs!$B$4-(C22-1))/(D22-(C22-1)))</f>
        <v>9.0909090909090912E-2</v>
      </c>
      <c r="G22" s="5">
        <f>IF(C22=3,1,((MAX(Inputs!$B$4-(C22-1)-1,0)*2*B22)+(2*B22))/((Inputs!$B$4-(C22-1)+1)*(D22-(C22-1))))</f>
        <v>0.12987012987012986</v>
      </c>
      <c r="H22" s="5">
        <f>IF(C22=3,1,((MAX(Inputs!$B$4-(C22-1)-1,0)*2)+(2))/((Inputs!$B$4-(C22-1)+1)*(D22-(C22-1))))</f>
        <v>2.5974025974025976E-2</v>
      </c>
      <c r="I22" s="5" t="str">
        <f t="shared" si="1"/>
        <v/>
      </c>
      <c r="J22" s="5">
        <f>IF(C22=3,B22*COMBIN(Inputs!$B$4,3)/COMBIN(D22,3),J21*F22)</f>
        <v>1.8113688682795842E-8</v>
      </c>
      <c r="K22" s="5">
        <f>IF(C22=3,(Inputs!$B$4-3+1)*POWER(B22,3)/COMBIN(D22,3),K21*G22)</f>
        <v>1.4959981059611549E-8</v>
      </c>
      <c r="L22" s="5">
        <f>IF(C22=3,B22*(Inputs!$B$4-3+1)/COMBIN(D22,3),L21*H22)</f>
        <v>7.6595103025211163E-15</v>
      </c>
      <c r="M22" s="5" t="str">
        <f>IF(C22=3,IF(3&lt;=B22,Inputs!$B$4*COMBIN(B22,3)/COMBIN(D22,3),""),IF(I22="","",M21*I22))</f>
        <v/>
      </c>
      <c r="N22" s="6">
        <f t="shared" si="2"/>
        <v>17.826597903693411</v>
      </c>
      <c r="O22" s="6">
        <f t="shared" si="3"/>
        <v>18.017887130469628</v>
      </c>
      <c r="P22" s="6">
        <f t="shared" si="4"/>
        <v>32.502828342376532</v>
      </c>
      <c r="Q22" s="6" t="str">
        <f t="shared" si="5"/>
        <v/>
      </c>
    </row>
    <row r="23" spans="1:17">
      <c r="A23">
        <v>2</v>
      </c>
      <c r="B23">
        <f>Inputs!$B$6</f>
        <v>5</v>
      </c>
      <c r="C23">
        <v>11</v>
      </c>
      <c r="D23">
        <f>B23*Inputs!$B$4</f>
        <v>75</v>
      </c>
      <c r="E23">
        <f t="shared" si="0"/>
        <v>10</v>
      </c>
      <c r="F23" s="5">
        <f>IF(C23=3,1,(Inputs!$B$4-(C23-1))/(D23-(C23-1)))</f>
        <v>7.6923076923076927E-2</v>
      </c>
      <c r="G23" s="5">
        <f>IF(C23=3,1,((MAX(Inputs!$B$4-(C23-1)-1,0)*2*B23)+(2*B23))/((Inputs!$B$4-(C23-1)+1)*(D23-(C23-1))))</f>
        <v>0.12820512820512819</v>
      </c>
      <c r="H23" s="5">
        <f>IF(C23=3,1,((MAX(Inputs!$B$4-(C23-1)-1,0)*2)+(2))/((Inputs!$B$4-(C23-1)+1)*(D23-(C23-1))))</f>
        <v>2.564102564102564E-2</v>
      </c>
      <c r="I23" s="5" t="str">
        <f t="shared" si="1"/>
        <v/>
      </c>
      <c r="J23" s="5">
        <f>IF(C23=3,B23*COMBIN(Inputs!$B$4,3)/COMBIN(D23,3),J22*F23)</f>
        <v>1.3933606679073726E-9</v>
      </c>
      <c r="K23" s="5">
        <f>IF(C23=3,(Inputs!$B$4-3+1)*POWER(B23,3)/COMBIN(D23,3),K22*G23)</f>
        <v>1.9179462896937883E-9</v>
      </c>
      <c r="L23" s="5">
        <f>IF(C23=3,B23*(Inputs!$B$4-3+1)/COMBIN(D23,3),L22*H23)</f>
        <v>1.9639770006464401E-16</v>
      </c>
      <c r="M23" s="5" t="str">
        <f>IF(C23=3,IF(3&lt;=B23,Inputs!$B$4*COMBIN(B23,3)/COMBIN(D23,3),""),IF(I23="","",M22*I23))</f>
        <v/>
      </c>
      <c r="N23" s="6">
        <f t="shared" si="2"/>
        <v>20.391547261154951</v>
      </c>
      <c r="O23" s="6">
        <f t="shared" si="3"/>
        <v>20.072010864165176</v>
      </c>
      <c r="P23" s="6">
        <f t="shared" si="4"/>
        <v>36.166389988506175</v>
      </c>
      <c r="Q23" s="6" t="str">
        <f t="shared" si="5"/>
        <v/>
      </c>
    </row>
    <row r="24" spans="1:17">
      <c r="A24">
        <v>2</v>
      </c>
      <c r="B24">
        <f>Inputs!$B$6</f>
        <v>5</v>
      </c>
      <c r="C24">
        <v>12</v>
      </c>
      <c r="D24">
        <f>B24*Inputs!$B$4</f>
        <v>75</v>
      </c>
      <c r="E24">
        <f t="shared" si="0"/>
        <v>11</v>
      </c>
      <c r="F24" s="5">
        <f>IF(C24=3,1,(Inputs!$B$4-(C24-1))/(D24-(C24-1)))</f>
        <v>6.25E-2</v>
      </c>
      <c r="G24" s="5">
        <f>IF(C24=3,1,((MAX(Inputs!$B$4-(C24-1)-1,0)*2*B24)+(2*B24))/((Inputs!$B$4-(C24-1)+1)*(D24-(C24-1))))</f>
        <v>0.125</v>
      </c>
      <c r="H24" s="5">
        <f>IF(C24=3,1,((MAX(Inputs!$B$4-(C24-1)-1,0)*2)+(2))/((Inputs!$B$4-(C24-1)+1)*(D24-(C24-1))))</f>
        <v>2.5000000000000001E-2</v>
      </c>
      <c r="I24" s="5" t="str">
        <f t="shared" si="1"/>
        <v/>
      </c>
      <c r="J24" s="5">
        <f>IF(C24=3,B24*COMBIN(Inputs!$B$4,3)/COMBIN(D24,3),J23*F24)</f>
        <v>8.7085041744210785E-11</v>
      </c>
      <c r="K24" s="5">
        <f>IF(C24=3,(Inputs!$B$4-3+1)*POWER(B24,3)/COMBIN(D24,3),K23*G24)</f>
        <v>2.3974328621172353E-10</v>
      </c>
      <c r="L24" s="5">
        <f>IF(C24=3,B24*(Inputs!$B$4-3+1)/COMBIN(D24,3),L23*H24)</f>
        <v>4.9099425016161006E-18</v>
      </c>
      <c r="M24" s="5" t="str">
        <f>IF(C24=3,IF(3&lt;=B24,Inputs!$B$4*COMBIN(B24,3)/COMBIN(D24,3),""),IF(I24="","",M23*I24))</f>
        <v/>
      </c>
      <c r="N24" s="6">
        <f t="shared" si="2"/>
        <v>23.164135983394729</v>
      </c>
      <c r="O24" s="6">
        <f t="shared" si="3"/>
        <v>22.15145240584501</v>
      </c>
      <c r="P24" s="6">
        <f t="shared" si="4"/>
        <v>39.855269442620113</v>
      </c>
      <c r="Q24" s="6" t="str">
        <f t="shared" si="5"/>
        <v/>
      </c>
    </row>
    <row r="25" spans="1:17">
      <c r="A25">
        <v>2</v>
      </c>
      <c r="B25">
        <f>Inputs!$B$6</f>
        <v>5</v>
      </c>
      <c r="C25">
        <v>13</v>
      </c>
      <c r="D25">
        <f>B25*Inputs!$B$4</f>
        <v>75</v>
      </c>
      <c r="E25">
        <f t="shared" si="0"/>
        <v>12</v>
      </c>
      <c r="F25" s="5">
        <f>IF(C25=3,1,(Inputs!$B$4-(C25-1))/(D25-(C25-1)))</f>
        <v>4.7619047619047616E-2</v>
      </c>
      <c r="G25" s="5">
        <f>IF(C25=3,1,((MAX(Inputs!$B$4-(C25-1)-1,0)*2*B25)+(2*B25))/((Inputs!$B$4-(C25-1)+1)*(D25-(C25-1))))</f>
        <v>0.11904761904761904</v>
      </c>
      <c r="H25" s="5">
        <f>IF(C25=3,1,((MAX(Inputs!$B$4-(C25-1)-1,0)*2)+(2))/((Inputs!$B$4-(C25-1)+1)*(D25-(C25-1))))</f>
        <v>2.3809523809523808E-2</v>
      </c>
      <c r="I25" s="5" t="str">
        <f t="shared" si="1"/>
        <v/>
      </c>
      <c r="J25" s="5">
        <f>IF(C25=3,B25*COMBIN(Inputs!$B$4,3)/COMBIN(D25,3),J24*F25)</f>
        <v>4.146906749724323E-12</v>
      </c>
      <c r="K25" s="5">
        <f>IF(C25=3,(Inputs!$B$4-3+1)*POWER(B25,3)/COMBIN(D25,3),K24*G25)</f>
        <v>2.8540867406157561E-11</v>
      </c>
      <c r="L25" s="5">
        <f>IF(C25=3,B25*(Inputs!$B$4-3+1)/COMBIN(D25,3),L24*H25)</f>
        <v>1.1690339289562144E-19</v>
      </c>
      <c r="M25" s="5" t="str">
        <f>IF(C25=3,IF(3&lt;=B25,Inputs!$B$4*COMBIN(B25,3)/COMBIN(D25,3),""),IF(I25="","",M24*I25))</f>
        <v/>
      </c>
      <c r="N25" s="6">
        <f t="shared" si="2"/>
        <v>26.208658421118155</v>
      </c>
      <c r="O25" s="6">
        <f t="shared" si="3"/>
        <v>24.279684111694277</v>
      </c>
      <c r="P25" s="6">
        <f t="shared" si="4"/>
        <v>43.592939060903483</v>
      </c>
      <c r="Q25" s="6" t="str">
        <f t="shared" si="5"/>
        <v/>
      </c>
    </row>
    <row r="26" spans="1:17">
      <c r="A26">
        <v>2</v>
      </c>
      <c r="B26">
        <f>Inputs!$B$6</f>
        <v>5</v>
      </c>
      <c r="C26">
        <v>14</v>
      </c>
      <c r="D26">
        <f>B26*Inputs!$B$4</f>
        <v>75</v>
      </c>
      <c r="E26">
        <f t="shared" si="0"/>
        <v>13</v>
      </c>
      <c r="F26" s="5">
        <f>IF(C26=3,1,(Inputs!$B$4-(C26-1))/(D26-(C26-1)))</f>
        <v>3.2258064516129031E-2</v>
      </c>
      <c r="G26" s="5">
        <f>IF(C26=3,1,((MAX(Inputs!$B$4-(C26-1)-1,0)*2*B26)+(2*B26))/((Inputs!$B$4-(C26-1)+1)*(D26-(C26-1))))</f>
        <v>0.10752688172043011</v>
      </c>
      <c r="H26" s="5">
        <f>IF(C26=3,1,((MAX(Inputs!$B$4-(C26-1)-1,0)*2)+(2))/((Inputs!$B$4-(C26-1)+1)*(D26-(C26-1))))</f>
        <v>2.1505376344086023E-2</v>
      </c>
      <c r="I26" s="5" t="str">
        <f t="shared" si="1"/>
        <v/>
      </c>
      <c r="J26" s="5">
        <f>IF(C26=3,B26*COMBIN(Inputs!$B$4,3)/COMBIN(D26,3),J25*F26)</f>
        <v>1.3377118547497815E-13</v>
      </c>
      <c r="K26" s="5">
        <f>IF(C26=3,(Inputs!$B$4-3+1)*POWER(B26,3)/COMBIN(D26,3),K25*G26)</f>
        <v>3.0689104737803827E-12</v>
      </c>
      <c r="L26" s="5">
        <f>IF(C26=3,B26*(Inputs!$B$4-3+1)/COMBIN(D26,3),L25*H26)</f>
        <v>2.5140514601208912E-21</v>
      </c>
      <c r="M26" s="5" t="str">
        <f>IF(C26=3,IF(3&lt;=B26,Inputs!$B$4*COMBIN(B26,3)/COMBIN(D26,3),""),IF(I26="","",M25*I26))</f>
        <v/>
      </c>
      <c r="N26" s="6">
        <f t="shared" si="2"/>
        <v>29.642645625603301</v>
      </c>
      <c r="O26" s="6">
        <f t="shared" si="3"/>
        <v>26.50969851185349</v>
      </c>
      <c r="P26" s="6">
        <f t="shared" si="4"/>
        <v>47.432391373496792</v>
      </c>
      <c r="Q26" s="6" t="str">
        <f t="shared" si="5"/>
        <v/>
      </c>
    </row>
    <row r="27" spans="1:17">
      <c r="A27">
        <v>2</v>
      </c>
      <c r="B27">
        <f>Inputs!$B$6</f>
        <v>5</v>
      </c>
      <c r="C27">
        <v>15</v>
      </c>
      <c r="D27">
        <f>B27*Inputs!$B$4</f>
        <v>75</v>
      </c>
      <c r="E27">
        <f t="shared" si="0"/>
        <v>14</v>
      </c>
      <c r="F27" s="5">
        <f>IF(C27=3,1,(Inputs!$B$4-(C27-1))/(D27-(C27-1)))</f>
        <v>1.6393442622950821E-2</v>
      </c>
      <c r="G27" s="5">
        <f>IF(C27=3,1,((MAX(Inputs!$B$4-(C27-1)-1,0)*2*B27)+(2*B27))/((Inputs!$B$4-(C27-1)+1)*(D27-(C27-1))))</f>
        <v>8.1967213114754092E-2</v>
      </c>
      <c r="H27" s="5">
        <f>IF(C27=3,1,((MAX(Inputs!$B$4-(C27-1)-1,0)*2)+(2))/((Inputs!$B$4-(C27-1)+1)*(D27-(C27-1))))</f>
        <v>1.6393442622950821E-2</v>
      </c>
      <c r="I27" s="5" t="str">
        <f t="shared" si="1"/>
        <v/>
      </c>
      <c r="J27" s="5">
        <f>IF(C27=3,B27*COMBIN(Inputs!$B$4,3)/COMBIN(D27,3),J26*F27)</f>
        <v>2.1929702536881667E-15</v>
      </c>
      <c r="K27" s="5">
        <f>IF(C27=3,(Inputs!$B$4-3+1)*POWER(B27,3)/COMBIN(D27,3),K26*G27)</f>
        <v>2.515500388344576E-13</v>
      </c>
      <c r="L27" s="5">
        <f>IF(C27=3,B27*(Inputs!$B$4-3+1)/COMBIN(D27,3),L26*H27)</f>
        <v>4.1213958362637565E-23</v>
      </c>
      <c r="M27" s="5" t="str">
        <f>IF(C27=3,IF(3&lt;=B27,Inputs!$B$4*COMBIN(B27,3)/COMBIN(D27,3),""),IF(I27="","",M26*I27))</f>
        <v/>
      </c>
      <c r="N27" s="6">
        <f t="shared" si="2"/>
        <v>33.753519489776615</v>
      </c>
      <c r="O27" s="6">
        <f t="shared" si="3"/>
        <v>29.0111344635927</v>
      </c>
      <c r="P27" s="6">
        <f t="shared" si="4"/>
        <v>51.543265237670106</v>
      </c>
      <c r="Q27" s="6" t="str">
        <f t="shared" si="5"/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7"/>
  <sheetViews>
    <sheetView workbookViewId="0"/>
  </sheetViews>
  <sheetFormatPr defaultRowHeight="14.15"/>
  <cols>
    <col min="1" max="19" width="14" customWidth="1"/>
  </cols>
  <sheetData>
    <row r="1" spans="1:19" ht="16" customHeight="1">
      <c r="A1" s="1" t="s">
        <v>28</v>
      </c>
      <c r="B1" s="1" t="s">
        <v>29</v>
      </c>
      <c r="C1" s="1" t="s">
        <v>30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</row>
    <row r="2" spans="1:19">
      <c r="A2">
        <v>1</v>
      </c>
      <c r="B2">
        <f>Inputs!$B$5</f>
        <v>4</v>
      </c>
      <c r="C2">
        <v>3</v>
      </c>
      <c r="D2" s="5">
        <f>Raw_Model!G2</f>
        <v>5.3185271770894223E-2</v>
      </c>
      <c r="E2" s="5">
        <f>Marginal_Model!J2</f>
        <v>5.3185271770894223E-2</v>
      </c>
      <c r="F2" s="5">
        <f>EXP(-(Inputs!$B$7*Raw_Model!N2+(1-Inputs!$B$7)*Marginal_Model!N2))</f>
        <v>5.3185271770894223E-2</v>
      </c>
      <c r="G2" s="6">
        <f t="shared" ref="G2:G27" si="0">-LN(F2)</f>
        <v>2.9339737673753432</v>
      </c>
      <c r="H2" s="5">
        <f>Raw_Model!I2</f>
        <v>2.4313267095265927E-2</v>
      </c>
      <c r="I2" s="5">
        <f>Marginal_Model!K2</f>
        <v>2.4313267095265927E-2</v>
      </c>
      <c r="J2" s="5">
        <f>EXP(-(Inputs!$B$7*Raw_Model!O2+(1-Inputs!$B$7)*Marginal_Model!O2))</f>
        <v>2.4313267095265923E-2</v>
      </c>
      <c r="K2" s="6">
        <f t="shared" ref="K2:K27" si="1">-LN(J2)</f>
        <v>3.716733106624976</v>
      </c>
      <c r="L2" s="5">
        <f>Raw_Model!K2</f>
        <v>1.5195791934541204E-3</v>
      </c>
      <c r="M2" s="5">
        <f>Marginal_Model!L2</f>
        <v>1.5195791934541204E-3</v>
      </c>
      <c r="N2" s="5">
        <f>EXP(-(Inputs!$B$7*Raw_Model!P2+(1-Inputs!$B$7)*Marginal_Model!P2))</f>
        <v>1.5195791934541211E-3</v>
      </c>
      <c r="O2" s="6">
        <f t="shared" ref="O2:O27" si="2">-LN(N2)</f>
        <v>6.4893218288647567</v>
      </c>
      <c r="P2" s="5">
        <f>Raw_Model!M2</f>
        <v>1.7533606078316774E-3</v>
      </c>
      <c r="Q2" s="5">
        <f>Marginal_Model!M2</f>
        <v>1.7533606078316774E-3</v>
      </c>
      <c r="R2" s="5">
        <f>IF(P2="","",EXP(-(Inputs!$B$7*Raw_Model!Q2+(1-Inputs!$B$7)*Marginal_Model!Q2)))</f>
        <v>1.753360607831678E-3</v>
      </c>
      <c r="S2" s="6">
        <f t="shared" ref="S2:S27" si="3">IF(R2="","",-LN(R2))</f>
        <v>6.3462209852240834</v>
      </c>
    </row>
    <row r="3" spans="1:19">
      <c r="A3">
        <v>1</v>
      </c>
      <c r="B3">
        <f>Inputs!$B$5</f>
        <v>4</v>
      </c>
      <c r="C3">
        <v>4</v>
      </c>
      <c r="D3" s="5">
        <f>Raw_Model!G3</f>
        <v>1.1196899320188256E-2</v>
      </c>
      <c r="E3" s="5">
        <f>Marginal_Model!J3</f>
        <v>1.1196899320188258E-2</v>
      </c>
      <c r="F3" s="5">
        <f>EXP(-(Inputs!$B$7*Raw_Model!N3+(1-Inputs!$B$7)*Marginal_Model!N3))</f>
        <v>1.1196899320188258E-2</v>
      </c>
      <c r="G3" s="6">
        <f t="shared" si="0"/>
        <v>4.4921183854218931</v>
      </c>
      <c r="H3" s="5">
        <f>Raw_Model!I3</f>
        <v>6.2997939032267986E-3</v>
      </c>
      <c r="I3" s="5">
        <f>Marginal_Model!K3</f>
        <v>3.1498969516133993E-3</v>
      </c>
      <c r="J3" s="5">
        <f>EXP(-(Inputs!$B$7*Raw_Model!O3+(1-Inputs!$B$7)*Marginal_Model!O3))</f>
        <v>5.4842891311035792E-3</v>
      </c>
      <c r="K3" s="6">
        <f t="shared" si="1"/>
        <v>5.2058677960052702</v>
      </c>
      <c r="L3" s="5">
        <f>Raw_Model!K3</f>
        <v>9.8434279737918728E-5</v>
      </c>
      <c r="M3" s="5">
        <f>Marginal_Model!L3</f>
        <v>4.9217139868959364E-5</v>
      </c>
      <c r="N3" s="5">
        <f>EXP(-(Inputs!$B$7*Raw_Model!P3+(1-Inputs!$B$7)*Marginal_Model!P3))</f>
        <v>8.5692017673493371E-5</v>
      </c>
      <c r="O3" s="6">
        <f t="shared" si="2"/>
        <v>9.3647508793649425</v>
      </c>
      <c r="P3" s="5">
        <f>Raw_Model!M3</f>
        <v>3.0760712418099601E-5</v>
      </c>
      <c r="Q3" s="5">
        <f>Marginal_Model!M3</f>
        <v>3.0760712418099601E-5</v>
      </c>
      <c r="R3" s="5">
        <f>IF(P3="","",EXP(-(Inputs!$B$7*Raw_Model!Q3+(1-Inputs!$B$7)*Marginal_Model!Q3)))</f>
        <v>3.0760712418099615E-5</v>
      </c>
      <c r="S3" s="6">
        <f t="shared" si="3"/>
        <v>10.389272253058634</v>
      </c>
    </row>
    <row r="4" spans="1:19">
      <c r="A4">
        <v>1</v>
      </c>
      <c r="B4">
        <f>Inputs!$B$5</f>
        <v>4</v>
      </c>
      <c r="C4">
        <v>5</v>
      </c>
      <c r="D4" s="5">
        <f>Raw_Model!G4</f>
        <v>2.1993909378941212E-3</v>
      </c>
      <c r="E4" s="5">
        <f>Marginal_Model!J4</f>
        <v>2.199390937894122E-3</v>
      </c>
      <c r="F4" s="5">
        <f>EXP(-(Inputs!$B$7*Raw_Model!N4+(1-Inputs!$B$7)*Marginal_Model!N4))</f>
        <v>2.1993909378941212E-3</v>
      </c>
      <c r="G4" s="6">
        <f t="shared" si="0"/>
        <v>6.1195748033586721</v>
      </c>
      <c r="H4" s="5">
        <f>Raw_Model!I4</f>
        <v>2.0624325278421063E-3</v>
      </c>
      <c r="I4" s="5">
        <f>Marginal_Model!K4</f>
        <v>4.1248650556842138E-4</v>
      </c>
      <c r="J4" s="5">
        <f>EXP(-(Inputs!$B$7*Raw_Model!O4+(1-Inputs!$B$7)*Marginal_Model!O4))</f>
        <v>1.4948091538873412E-3</v>
      </c>
      <c r="K4" s="6">
        <f t="shared" si="1"/>
        <v>6.5057567365508895</v>
      </c>
      <c r="L4" s="5">
        <f>Raw_Model!K4</f>
        <v>8.0563770618832277E-6</v>
      </c>
      <c r="M4" s="5">
        <f>Marginal_Model!L4</f>
        <v>1.611275412376646E-6</v>
      </c>
      <c r="N4" s="5">
        <f>EXP(-(Inputs!$B$7*Raw_Model!P4+(1-Inputs!$B$7)*Marginal_Model!P4))</f>
        <v>5.8390982573724231E-6</v>
      </c>
      <c r="O4" s="6">
        <f t="shared" si="2"/>
        <v>12.050934181030453</v>
      </c>
      <c r="P4" s="5" t="str">
        <f>Raw_Model!M4</f>
        <v/>
      </c>
      <c r="Q4" s="5" t="str">
        <f>Marginal_Model!M4</f>
        <v/>
      </c>
      <c r="R4" s="5" t="str">
        <f>IF(P4="","",EXP(-(Inputs!$B$7*Raw_Model!Q4+(1-Inputs!$B$7)*Marginal_Model!Q4)))</f>
        <v/>
      </c>
      <c r="S4" s="6" t="str">
        <f t="shared" si="3"/>
        <v/>
      </c>
    </row>
    <row r="5" spans="1:19">
      <c r="A5">
        <v>1</v>
      </c>
      <c r="B5">
        <f>Inputs!$B$5</f>
        <v>4</v>
      </c>
      <c r="C5">
        <v>6</v>
      </c>
      <c r="D5" s="5">
        <f>Raw_Model!G5</f>
        <v>3.998892614352947E-4</v>
      </c>
      <c r="E5" s="5">
        <f>Marginal_Model!J5</f>
        <v>3.9988926143529491E-4</v>
      </c>
      <c r="F5" s="5">
        <f>EXP(-(Inputs!$B$7*Raw_Model!N5+(1-Inputs!$B$7)*Marginal_Model!N5))</f>
        <v>3.9988926143529475E-4</v>
      </c>
      <c r="G5" s="6">
        <f t="shared" si="0"/>
        <v>7.8243228955970974</v>
      </c>
      <c r="H5" s="5">
        <f>Raw_Model!I5</f>
        <v>8.1815505236711649E-4</v>
      </c>
      <c r="I5" s="5">
        <f>Marginal_Model!K5</f>
        <v>5.454367015780779E-5</v>
      </c>
      <c r="J5" s="5">
        <f>EXP(-(Inputs!$B$7*Raw_Model!O5+(1-Inputs!$B$7)*Marginal_Model!O5))</f>
        <v>4.7601141212231965E-4</v>
      </c>
      <c r="K5" s="6">
        <f t="shared" si="1"/>
        <v>7.6500687289733609</v>
      </c>
      <c r="L5" s="5">
        <f>Raw_Model!K5</f>
        <v>7.989795433272622E-7</v>
      </c>
      <c r="M5" s="5">
        <f>Marginal_Model!L5</f>
        <v>5.326530288848417E-8</v>
      </c>
      <c r="N5" s="5">
        <f>EXP(-(Inputs!$B$7*Raw_Model!P5+(1-Inputs!$B$7)*Marginal_Model!P5))</f>
        <v>4.6485489465070321E-7</v>
      </c>
      <c r="O5" s="6">
        <f t="shared" si="2"/>
        <v>14.581540534572813</v>
      </c>
      <c r="P5" s="5" t="str">
        <f>Raw_Model!M5</f>
        <v/>
      </c>
      <c r="Q5" s="5" t="str">
        <f>Marginal_Model!M5</f>
        <v/>
      </c>
      <c r="R5" s="5" t="str">
        <f>IF(P5="","",EXP(-(Inputs!$B$7*Raw_Model!Q5+(1-Inputs!$B$7)*Marginal_Model!Q5)))</f>
        <v/>
      </c>
      <c r="S5" s="6" t="str">
        <f t="shared" si="3"/>
        <v/>
      </c>
    </row>
    <row r="6" spans="1:19">
      <c r="A6">
        <v>1</v>
      </c>
      <c r="B6">
        <f>Inputs!$B$5</f>
        <v>4</v>
      </c>
      <c r="C6">
        <v>7</v>
      </c>
      <c r="D6" s="5">
        <f>Raw_Model!G6</f>
        <v>6.6648210239215824E-5</v>
      </c>
      <c r="E6" s="5">
        <f>Marginal_Model!J6</f>
        <v>6.664821023921581E-5</v>
      </c>
      <c r="F6" s="5">
        <f>EXP(-(Inputs!$B$7*Raw_Model!N6+(1-Inputs!$B$7)*Marginal_Model!N6))</f>
        <v>6.6648210239215824E-5</v>
      </c>
      <c r="G6" s="6">
        <f t="shared" si="0"/>
        <v>9.6160823648251519</v>
      </c>
      <c r="H6" s="5">
        <f>Raw_Model!I6</f>
        <v>3.818056911046546E-4</v>
      </c>
      <c r="I6" s="5">
        <f>Marginal_Model!K6</f>
        <v>7.272489354374372E-6</v>
      </c>
      <c r="J6" s="5">
        <f>EXP(-(Inputs!$B$7*Raw_Model!O6+(1-Inputs!$B$7)*Marginal_Model!O6))</f>
        <v>1.729061882978209E-4</v>
      </c>
      <c r="K6" s="6">
        <f t="shared" si="1"/>
        <v>8.6627613747193308</v>
      </c>
      <c r="L6" s="5">
        <f>Raw_Model!K6</f>
        <v>9.3214280054847316E-8</v>
      </c>
      <c r="M6" s="5">
        <f>Marginal_Model!L6</f>
        <v>1.7755100962828057E-9</v>
      </c>
      <c r="N6" s="5">
        <f>EXP(-(Inputs!$B$7*Raw_Model!P6+(1-Inputs!$B$7)*Marginal_Model!P6))</f>
        <v>4.2213424877397641E-8</v>
      </c>
      <c r="O6" s="6">
        <f t="shared" si="2"/>
        <v>16.980527541438676</v>
      </c>
      <c r="P6" s="5" t="str">
        <f>Raw_Model!M6</f>
        <v/>
      </c>
      <c r="Q6" s="5" t="str">
        <f>Marginal_Model!M6</f>
        <v/>
      </c>
      <c r="R6" s="5" t="str">
        <f>IF(P6="","",EXP(-(Inputs!$B$7*Raw_Model!Q6+(1-Inputs!$B$7)*Marginal_Model!Q6)))</f>
        <v/>
      </c>
      <c r="S6" s="6" t="str">
        <f t="shared" si="3"/>
        <v/>
      </c>
    </row>
    <row r="7" spans="1:19">
      <c r="A7">
        <v>1</v>
      </c>
      <c r="B7">
        <f>Inputs!$B$5</f>
        <v>4</v>
      </c>
      <c r="C7">
        <v>8</v>
      </c>
      <c r="D7" s="5">
        <f>Raw_Model!G7</f>
        <v>1.0060107205919364E-5</v>
      </c>
      <c r="E7" s="5">
        <f>Marginal_Model!J7</f>
        <v>1.0060107205919367E-5</v>
      </c>
      <c r="F7" s="5">
        <f>EXP(-(Inputs!$B$7*Raw_Model!N7+(1-Inputs!$B$7)*Marginal_Model!N7))</f>
        <v>1.0060107205919367E-5</v>
      </c>
      <c r="G7" s="6">
        <f t="shared" si="0"/>
        <v>11.506932736697438</v>
      </c>
      <c r="H7" s="5">
        <f>Raw_Model!I7</f>
        <v>2.0491039187168036E-4</v>
      </c>
      <c r="I7" s="5">
        <f>Marginal_Model!K7</f>
        <v>9.7576377081752583E-7</v>
      </c>
      <c r="J7" s="5">
        <f>EXP(-(Inputs!$B$7*Raw_Model!O7+(1-Inputs!$B$7)*Marginal_Model!O7))</f>
        <v>7.0326681507467895E-5</v>
      </c>
      <c r="K7" s="6">
        <f t="shared" si="1"/>
        <v>9.5623592933520882</v>
      </c>
      <c r="L7" s="5">
        <f>Raw_Model!K7</f>
        <v>1.2506737785136741E-8</v>
      </c>
      <c r="M7" s="5">
        <f>Marginal_Model!L7</f>
        <v>5.9555894214936879E-11</v>
      </c>
      <c r="N7" s="5">
        <f>EXP(-(Inputs!$B$7*Raw_Model!P7+(1-Inputs!$B$7)*Marginal_Model!P7))</f>
        <v>4.2923999943522984E-9</v>
      </c>
      <c r="O7" s="6">
        <f t="shared" si="2"/>
        <v>19.26641982119132</v>
      </c>
      <c r="P7" s="5" t="str">
        <f>Raw_Model!M7</f>
        <v/>
      </c>
      <c r="Q7" s="5" t="str">
        <f>Marginal_Model!M7</f>
        <v/>
      </c>
      <c r="R7" s="5" t="str">
        <f>IF(P7="","",EXP(-(Inputs!$B$7*Raw_Model!Q7+(1-Inputs!$B$7)*Marginal_Model!Q7)))</f>
        <v/>
      </c>
      <c r="S7" s="6" t="str">
        <f t="shared" si="3"/>
        <v/>
      </c>
    </row>
    <row r="8" spans="1:19">
      <c r="A8">
        <v>1</v>
      </c>
      <c r="B8">
        <f>Inputs!$B$5</f>
        <v>4</v>
      </c>
      <c r="C8">
        <v>9</v>
      </c>
      <c r="D8" s="5">
        <f>Raw_Model!G8</f>
        <v>1.3542452007968373E-6</v>
      </c>
      <c r="E8" s="5">
        <f>Marginal_Model!J8</f>
        <v>1.3542452007968379E-6</v>
      </c>
      <c r="F8" s="5">
        <f>EXP(-(Inputs!$B$7*Raw_Model!N8+(1-Inputs!$B$7)*Marginal_Model!N8))</f>
        <v>1.3542452007968384E-6</v>
      </c>
      <c r="G8" s="6">
        <f t="shared" si="0"/>
        <v>13.512266306223552</v>
      </c>
      <c r="H8" s="5">
        <f>Raw_Model!I8</f>
        <v>1.2412841046072941E-4</v>
      </c>
      <c r="I8" s="5">
        <f>Marginal_Model!K8</f>
        <v>1.3135281530235925E-7</v>
      </c>
      <c r="J8" s="5">
        <f>EXP(-(Inputs!$B$7*Raw_Model!O8+(1-Inputs!$B$7)*Marginal_Model!O8))</f>
        <v>3.1534418890719447E-5</v>
      </c>
      <c r="K8" s="6">
        <f t="shared" si="1"/>
        <v>10.364430945457183</v>
      </c>
      <c r="L8" s="5">
        <f>Raw_Model!K8</f>
        <v>1.8940492318836885E-9</v>
      </c>
      <c r="M8" s="5">
        <f>Marginal_Model!L8</f>
        <v>2.004284901464222E-12</v>
      </c>
      <c r="N8" s="5">
        <f>EXP(-(Inputs!$B$7*Raw_Model!P8+(1-Inputs!$B$7)*Marginal_Model!P8))</f>
        <v>4.8117704606200267E-10</v>
      </c>
      <c r="O8" s="6">
        <f t="shared" si="2"/>
        <v>21.45478583441631</v>
      </c>
      <c r="P8" s="5" t="str">
        <f>Raw_Model!M8</f>
        <v/>
      </c>
      <c r="Q8" s="5" t="str">
        <f>Marginal_Model!M8</f>
        <v/>
      </c>
      <c r="R8" s="5" t="str">
        <f>IF(P8="","",EXP(-(Inputs!$B$7*Raw_Model!Q8+(1-Inputs!$B$7)*Marginal_Model!Q8)))</f>
        <v/>
      </c>
      <c r="S8" s="6" t="str">
        <f t="shared" si="3"/>
        <v/>
      </c>
    </row>
    <row r="9" spans="1:19">
      <c r="A9">
        <v>1</v>
      </c>
      <c r="B9">
        <f>Inputs!$B$5</f>
        <v>4</v>
      </c>
      <c r="C9">
        <v>10</v>
      </c>
      <c r="D9" s="5">
        <f>Raw_Model!G9</f>
        <v>1.5932296479962799E-7</v>
      </c>
      <c r="E9" s="5">
        <f>Marginal_Model!J9</f>
        <v>1.5932296479962799E-7</v>
      </c>
      <c r="F9" s="5">
        <f>EXP(-(Inputs!$B$7*Raw_Model!N9+(1-Inputs!$B$7)*Marginal_Model!N9))</f>
        <v>1.5932296479962791E-7</v>
      </c>
      <c r="G9" s="6">
        <f t="shared" si="0"/>
        <v>15.652332469719823</v>
      </c>
      <c r="H9" s="5">
        <f>Raw_Model!I9</f>
        <v>8.3447670897969384E-5</v>
      </c>
      <c r="I9" s="5">
        <f>Marginal_Model!K9</f>
        <v>1.7660882729728973E-8</v>
      </c>
      <c r="J9" s="5">
        <f>EXP(-(Inputs!$B$7*Raw_Model!O9+(1-Inputs!$B$7)*Marginal_Model!O9))</f>
        <v>1.5365045726310738E-5</v>
      </c>
      <c r="K9" s="6">
        <f t="shared" si="1"/>
        <v>11.083415386381651</v>
      </c>
      <c r="L9" s="5">
        <f>Raw_Model!K9</f>
        <v>3.183276019972587E-10</v>
      </c>
      <c r="M9" s="5">
        <f>Marginal_Model!L9</f>
        <v>6.7370921057620899E-14</v>
      </c>
      <c r="N9" s="5">
        <f>EXP(-(Inputs!$B$7*Raw_Model!P9+(1-Inputs!$B$7)*Marginal_Model!P9))</f>
        <v>5.8612997918360883E-11</v>
      </c>
      <c r="O9" s="6">
        <f t="shared" si="2"/>
        <v>23.560064636460663</v>
      </c>
      <c r="P9" s="5" t="str">
        <f>Raw_Model!M9</f>
        <v/>
      </c>
      <c r="Q9" s="5" t="str">
        <f>Marginal_Model!M9</f>
        <v/>
      </c>
      <c r="R9" s="5" t="str">
        <f>IF(P9="","",EXP(-(Inputs!$B$7*Raw_Model!Q9+(1-Inputs!$B$7)*Marginal_Model!Q9)))</f>
        <v/>
      </c>
      <c r="S9" s="6" t="str">
        <f t="shared" si="3"/>
        <v/>
      </c>
    </row>
    <row r="10" spans="1:19">
      <c r="A10">
        <v>1</v>
      </c>
      <c r="B10">
        <f>Inputs!$B$5</f>
        <v>4</v>
      </c>
      <c r="C10">
        <v>11</v>
      </c>
      <c r="D10" s="5">
        <f>Raw_Model!G10</f>
        <v>1.5932296479962797E-8</v>
      </c>
      <c r="E10" s="5">
        <f>Marginal_Model!J10</f>
        <v>1.5932296479962801E-8</v>
      </c>
      <c r="F10" s="5">
        <f>EXP(-(Inputs!$B$7*Raw_Model!N10+(1-Inputs!$B$7)*Marginal_Model!N10))</f>
        <v>1.5932296479962774E-8</v>
      </c>
      <c r="G10" s="6">
        <f t="shared" si="0"/>
        <v>17.95491756271387</v>
      </c>
      <c r="H10" s="5">
        <f>Raw_Model!I10</f>
        <v>6.1194958658510889E-5</v>
      </c>
      <c r="I10" s="5">
        <f>Marginal_Model!K10</f>
        <v>2.3547843639638631E-9</v>
      </c>
      <c r="J10" s="5">
        <f>EXP(-(Inputs!$B$7*Raw_Model!O10+(1-Inputs!$B$7)*Marginal_Model!O10))</f>
        <v>8.012402268802811E-6</v>
      </c>
      <c r="K10" s="6">
        <f t="shared" si="1"/>
        <v>11.734519933133177</v>
      </c>
      <c r="L10" s="5">
        <f>Raw_Model!K10</f>
        <v>5.8360060366164101E-11</v>
      </c>
      <c r="M10" s="5">
        <f>Marginal_Model!L10</f>
        <v>2.2456973685873634E-15</v>
      </c>
      <c r="N10" s="5">
        <f>EXP(-(Inputs!$B$7*Raw_Model!P10+(1-Inputs!$B$7)*Marginal_Model!P10))</f>
        <v>7.6412222564724073E-12</v>
      </c>
      <c r="O10" s="6">
        <f t="shared" si="2"/>
        <v>25.597463544332083</v>
      </c>
      <c r="P10" s="5" t="str">
        <f>Raw_Model!M10</f>
        <v/>
      </c>
      <c r="Q10" s="5" t="str">
        <f>Marginal_Model!M10</f>
        <v/>
      </c>
      <c r="R10" s="5" t="str">
        <f>IF(P10="","",EXP(-(Inputs!$B$7*Raw_Model!Q10+(1-Inputs!$B$7)*Marginal_Model!Q10)))</f>
        <v/>
      </c>
      <c r="S10" s="6" t="str">
        <f t="shared" si="3"/>
        <v/>
      </c>
    </row>
    <row r="11" spans="1:19">
      <c r="A11">
        <v>1</v>
      </c>
      <c r="B11">
        <f>Inputs!$B$5</f>
        <v>4</v>
      </c>
      <c r="C11">
        <v>12</v>
      </c>
      <c r="D11" s="5">
        <f>Raw_Model!G11</f>
        <v>1.3005956310173707E-9</v>
      </c>
      <c r="E11" s="5">
        <f>Marginal_Model!J11</f>
        <v>1.3005956310173714E-9</v>
      </c>
      <c r="F11" s="5">
        <f>EXP(-(Inputs!$B$7*Raw_Model!N11+(1-Inputs!$B$7)*Marginal_Model!N11))</f>
        <v>1.3005956310173691E-9</v>
      </c>
      <c r="G11" s="6">
        <f t="shared" si="0"/>
        <v>20.460443499704606</v>
      </c>
      <c r="H11" s="5">
        <f>Raw_Model!I11</f>
        <v>4.7956865560955442E-5</v>
      </c>
      <c r="I11" s="5">
        <f>Marginal_Model!K11</f>
        <v>3.0756367202793319E-10</v>
      </c>
      <c r="J11" s="5">
        <f>EXP(-(Inputs!$B$7*Raw_Model!O11+(1-Inputs!$B$7)*Marginal_Model!O11))</f>
        <v>4.3880103120559087E-6</v>
      </c>
      <c r="K11" s="6">
        <f t="shared" si="1"/>
        <v>12.336634665495732</v>
      </c>
      <c r="L11" s="5">
        <f>Raw_Model!K11</f>
        <v>1.1433807745207654E-11</v>
      </c>
      <c r="M11" s="5">
        <f>Marginal_Model!L11</f>
        <v>7.3328893668158814E-17</v>
      </c>
      <c r="N11" s="5">
        <f>EXP(-(Inputs!$B$7*Raw_Model!P11+(1-Inputs!$B$7)*Marginal_Model!P11))</f>
        <v>1.0461831836833698E-12</v>
      </c>
      <c r="O11" s="6">
        <f t="shared" si="2"/>
        <v>27.585872637814532</v>
      </c>
      <c r="P11" s="5" t="str">
        <f>Raw_Model!M11</f>
        <v/>
      </c>
      <c r="Q11" s="5" t="str">
        <f>Marginal_Model!M11</f>
        <v/>
      </c>
      <c r="R11" s="5" t="str">
        <f>IF(P11="","",EXP(-(Inputs!$B$7*Raw_Model!Q11+(1-Inputs!$B$7)*Marginal_Model!Q11)))</f>
        <v/>
      </c>
      <c r="S11" s="6" t="str">
        <f t="shared" si="3"/>
        <v/>
      </c>
    </row>
    <row r="12" spans="1:19">
      <c r="A12">
        <v>1</v>
      </c>
      <c r="B12">
        <f>Inputs!$B$5</f>
        <v>4</v>
      </c>
      <c r="C12">
        <v>13</v>
      </c>
      <c r="D12" s="5">
        <f>Raw_Model!G12</f>
        <v>8.1287226938585736E-11</v>
      </c>
      <c r="E12" s="5">
        <f>Marginal_Model!J12</f>
        <v>8.128722693858571E-11</v>
      </c>
      <c r="F12" s="5">
        <f>EXP(-(Inputs!$B$7*Raw_Model!N12+(1-Inputs!$B$7)*Marginal_Model!N12))</f>
        <v>8.1287226938585827E-11</v>
      </c>
      <c r="G12" s="6">
        <f t="shared" si="0"/>
        <v>23.233032221944384</v>
      </c>
      <c r="H12" s="5">
        <f>Raw_Model!I12</f>
        <v>3.8964953268276336E-5</v>
      </c>
      <c r="I12" s="5">
        <f>Marginal_Model!K12</f>
        <v>3.8445459003491648E-11</v>
      </c>
      <c r="J12" s="5">
        <f>EXP(-(Inputs!$B$7*Raw_Model!O12+(1-Inputs!$B$7)*Marginal_Model!O12))</f>
        <v>2.4519315269827971E-6</v>
      </c>
      <c r="K12" s="6">
        <f t="shared" si="1"/>
        <v>12.918634465654293</v>
      </c>
      <c r="L12" s="5">
        <f>Raw_Model!K12</f>
        <v>2.322492198245307E-12</v>
      </c>
      <c r="M12" s="5">
        <f>Marginal_Model!L12</f>
        <v>2.2915279271299629E-18</v>
      </c>
      <c r="N12" s="5">
        <f>EXP(-(Inputs!$B$7*Raw_Model!P12+(1-Inputs!$B$7)*Marginal_Model!P12))</f>
        <v>1.4614650767939043E-13</v>
      </c>
      <c r="O12" s="6">
        <f t="shared" si="2"/>
        <v>29.554166799092982</v>
      </c>
      <c r="P12" s="5" t="str">
        <f>Raw_Model!M12</f>
        <v/>
      </c>
      <c r="Q12" s="5" t="str">
        <f>Marginal_Model!M12</f>
        <v/>
      </c>
      <c r="R12" s="5" t="str">
        <f>IF(P12="","",EXP(-(Inputs!$B$7*Raw_Model!Q12+(1-Inputs!$B$7)*Marginal_Model!Q12)))</f>
        <v/>
      </c>
      <c r="S12" s="6" t="str">
        <f t="shared" si="3"/>
        <v/>
      </c>
    </row>
    <row r="13" spans="1:19">
      <c r="A13">
        <v>1</v>
      </c>
      <c r="B13">
        <f>Inputs!$B$5</f>
        <v>4</v>
      </c>
      <c r="C13">
        <v>14</v>
      </c>
      <c r="D13" s="5">
        <f>Raw_Model!G13</f>
        <v>3.4590309335568387E-12</v>
      </c>
      <c r="E13" s="5">
        <f>Marginal_Model!J13</f>
        <v>3.4590309335568387E-12</v>
      </c>
      <c r="F13" s="5">
        <f>EXP(-(Inputs!$B$7*Raw_Model!N13+(1-Inputs!$B$7)*Marginal_Model!N13))</f>
        <v>3.4590309335568355E-12</v>
      </c>
      <c r="G13" s="6">
        <f t="shared" si="0"/>
        <v>26.3900326430945</v>
      </c>
      <c r="H13" s="5">
        <f>Raw_Model!I13</f>
        <v>3.0950884865581192E-5</v>
      </c>
      <c r="I13" s="5">
        <f>Marginal_Model!K13</f>
        <v>4.3626052769919598E-12</v>
      </c>
      <c r="J13" s="5">
        <f>EXP(-(Inputs!$B$7*Raw_Model!O13+(1-Inputs!$B$7)*Marginal_Model!O13))</f>
        <v>1.3197377510535847E-6</v>
      </c>
      <c r="K13" s="6">
        <f t="shared" si="1"/>
        <v>13.538077514548432</v>
      </c>
      <c r="L13" s="5">
        <f>Raw_Model!K13</f>
        <v>4.6120412447424519E-13</v>
      </c>
      <c r="M13" s="5">
        <f>Marginal_Model!L13</f>
        <v>6.5007884457587597E-20</v>
      </c>
      <c r="N13" s="5">
        <f>EXP(-(Inputs!$B$7*Raw_Model!P13+(1-Inputs!$B$7)*Marginal_Model!P13))</f>
        <v>1.9665624962055514E-14</v>
      </c>
      <c r="O13" s="6">
        <f t="shared" si="2"/>
        <v>31.559904209107007</v>
      </c>
      <c r="P13" s="5" t="str">
        <f>Raw_Model!M13</f>
        <v/>
      </c>
      <c r="Q13" s="5" t="str">
        <f>Marginal_Model!M13</f>
        <v/>
      </c>
      <c r="R13" s="5" t="str">
        <f>IF(P13="","",EXP(-(Inputs!$B$7*Raw_Model!Q13+(1-Inputs!$B$7)*Marginal_Model!Q13)))</f>
        <v/>
      </c>
      <c r="S13" s="6" t="str">
        <f t="shared" si="3"/>
        <v/>
      </c>
    </row>
    <row r="14" spans="1:19">
      <c r="A14">
        <v>1</v>
      </c>
      <c r="B14">
        <f>Inputs!$B$5</f>
        <v>4</v>
      </c>
      <c r="C14">
        <v>15</v>
      </c>
      <c r="D14" s="5">
        <f>Raw_Model!G14</f>
        <v>7.5196324642539908E-14</v>
      </c>
      <c r="E14" s="5">
        <f>Marginal_Model!J14</f>
        <v>7.5196324642539971E-14</v>
      </c>
      <c r="F14" s="5">
        <f>EXP(-(Inputs!$B$7*Raw_Model!N14+(1-Inputs!$B$7)*Marginal_Model!N14))</f>
        <v>7.5196324642540034E-14</v>
      </c>
      <c r="G14" s="6">
        <f t="shared" si="0"/>
        <v>30.218674039583593</v>
      </c>
      <c r="H14" s="5">
        <f>Raw_Model!I14</f>
        <v>2.0185359694944237E-5</v>
      </c>
      <c r="I14" s="5">
        <f>Marginal_Model!K14</f>
        <v>3.7935698060799651E-13</v>
      </c>
      <c r="J14" s="5">
        <f>EXP(-(Inputs!$B$7*Raw_Model!O14+(1-Inputs!$B$7)*Marginal_Model!O14))</f>
        <v>5.7522640059231845E-7</v>
      </c>
      <c r="K14" s="6">
        <f t="shared" si="1"/>
        <v>14.368502133483823</v>
      </c>
      <c r="L14" s="5">
        <f>Raw_Model!K14</f>
        <v>7.5196324642539908E-14</v>
      </c>
      <c r="M14" s="5">
        <f>Marginal_Model!L14</f>
        <v>1.4132148795127738E-21</v>
      </c>
      <c r="N14" s="5">
        <f>EXP(-(Inputs!$B$7*Raw_Model!P14+(1-Inputs!$B$7)*Marginal_Model!P14))</f>
        <v>2.1428853295457254E-15</v>
      </c>
      <c r="O14" s="6">
        <f t="shared" si="2"/>
        <v>33.776623189162294</v>
      </c>
      <c r="P14" s="5" t="str">
        <f>Raw_Model!M14</f>
        <v/>
      </c>
      <c r="Q14" s="5" t="str">
        <f>Marginal_Model!M14</f>
        <v/>
      </c>
      <c r="R14" s="5" t="str">
        <f>IF(P14="","",EXP(-(Inputs!$B$7*Raw_Model!Q14+(1-Inputs!$B$7)*Marginal_Model!Q14)))</f>
        <v/>
      </c>
      <c r="S14" s="6" t="str">
        <f t="shared" si="3"/>
        <v/>
      </c>
    </row>
    <row r="15" spans="1:19">
      <c r="A15">
        <v>2</v>
      </c>
      <c r="B15">
        <f>Inputs!$B$6</f>
        <v>5</v>
      </c>
      <c r="C15">
        <v>3</v>
      </c>
      <c r="D15" s="5">
        <f>Raw_Model!G15</f>
        <v>3.3691225472047399E-2</v>
      </c>
      <c r="E15" s="5">
        <f>Marginal_Model!J15</f>
        <v>3.3691225472047399E-2</v>
      </c>
      <c r="F15" s="5">
        <f>EXP(-(Inputs!$B$7*Raw_Model!N15+(1-Inputs!$B$7)*Marginal_Model!N15))</f>
        <v>3.3691225472047406E-2</v>
      </c>
      <c r="G15" s="6">
        <f t="shared" si="0"/>
        <v>3.3905178472757651</v>
      </c>
      <c r="H15" s="5">
        <f>Raw_Model!I15</f>
        <v>2.4065161051462423E-2</v>
      </c>
      <c r="I15" s="5">
        <f>Marginal_Model!K15</f>
        <v>2.4065161051462423E-2</v>
      </c>
      <c r="J15" s="5">
        <f>EXP(-(Inputs!$B$7*Raw_Model!O15+(1-Inputs!$B$7)*Marginal_Model!O15))</f>
        <v>2.4065161051462419E-2</v>
      </c>
      <c r="K15" s="6">
        <f t="shared" si="1"/>
        <v>3.7269900838969785</v>
      </c>
      <c r="L15" s="5">
        <f>Raw_Model!K15</f>
        <v>9.6260644205849687E-4</v>
      </c>
      <c r="M15" s="5">
        <f>Marginal_Model!L15</f>
        <v>9.6260644205849687E-4</v>
      </c>
      <c r="N15" s="5">
        <f>EXP(-(Inputs!$B$7*Raw_Model!P15+(1-Inputs!$B$7)*Marginal_Model!P15))</f>
        <v>9.6260644205849698E-4</v>
      </c>
      <c r="O15" s="6">
        <f t="shared" si="2"/>
        <v>6.9458659087651791</v>
      </c>
      <c r="P15" s="5">
        <f>Raw_Model!M15</f>
        <v>2.2213994816734544E-3</v>
      </c>
      <c r="Q15" s="5">
        <f>Marginal_Model!M15</f>
        <v>2.2213994816734544E-3</v>
      </c>
      <c r="R15" s="5">
        <f>IF(P15="","",EXP(-(Inputs!$B$7*Raw_Model!Q15+(1-Inputs!$B$7)*Marginal_Model!Q15)))</f>
        <v>2.2213994816734548E-3</v>
      </c>
      <c r="S15" s="6">
        <f t="shared" si="3"/>
        <v>6.1096178845645603</v>
      </c>
    </row>
    <row r="16" spans="1:19">
      <c r="A16">
        <v>2</v>
      </c>
      <c r="B16">
        <f>Inputs!$B$6</f>
        <v>5</v>
      </c>
      <c r="C16">
        <v>4</v>
      </c>
      <c r="D16" s="5">
        <f>Raw_Model!G16</f>
        <v>5.6152042453412312E-3</v>
      </c>
      <c r="E16" s="5">
        <f>Marginal_Model!J16</f>
        <v>5.6152042453412329E-3</v>
      </c>
      <c r="F16" s="5">
        <f>EXP(-(Inputs!$B$7*Raw_Model!N16+(1-Inputs!$B$7)*Marginal_Model!N16))</f>
        <v>5.6152042453412321E-3</v>
      </c>
      <c r="G16" s="6">
        <f t="shared" si="0"/>
        <v>5.1822773165038205</v>
      </c>
      <c r="H16" s="5">
        <f>Raw_Model!I16</f>
        <v>6.1705541157595955E-3</v>
      </c>
      <c r="I16" s="5">
        <f>Marginal_Model!K16</f>
        <v>3.0852770578797973E-3</v>
      </c>
      <c r="J16" s="5">
        <f>EXP(-(Inputs!$B$7*Raw_Model!O16+(1-Inputs!$B$7)*Marginal_Model!O16))</f>
        <v>5.3717793613237324E-3</v>
      </c>
      <c r="K16" s="6">
        <f t="shared" si="1"/>
        <v>5.2265960731445684</v>
      </c>
      <c r="L16" s="5">
        <f>Raw_Model!K16</f>
        <v>4.936443292607676E-5</v>
      </c>
      <c r="M16" s="5">
        <f>Marginal_Model!L16</f>
        <v>2.468221646303838E-5</v>
      </c>
      <c r="N16" s="5">
        <f>EXP(-(Inputs!$B$7*Raw_Model!P16+(1-Inputs!$B$7)*Marginal_Model!P16))</f>
        <v>4.2974234890589874E-5</v>
      </c>
      <c r="O16" s="6">
        <f t="shared" si="2"/>
        <v>10.054909810446869</v>
      </c>
      <c r="P16" s="5">
        <f>Raw_Model!M16</f>
        <v>6.1705541157595955E-5</v>
      </c>
      <c r="Q16" s="5">
        <f>Marginal_Model!M16</f>
        <v>6.1705541157595955E-5</v>
      </c>
      <c r="R16" s="5">
        <f>IF(P16="","",EXP(-(Inputs!$B$7*Raw_Model!Q16+(1-Inputs!$B$7)*Marginal_Model!Q16)))</f>
        <v>6.1705541157595914E-5</v>
      </c>
      <c r="S16" s="6">
        <f t="shared" si="3"/>
        <v>9.6931368230206711</v>
      </c>
    </row>
    <row r="17" spans="1:19">
      <c r="A17">
        <v>2</v>
      </c>
      <c r="B17">
        <f>Inputs!$B$6</f>
        <v>5</v>
      </c>
      <c r="C17">
        <v>5</v>
      </c>
      <c r="D17" s="5">
        <f>Raw_Model!G17</f>
        <v>8.6996122110920488E-4</v>
      </c>
      <c r="E17" s="5">
        <f>Marginal_Model!J17</f>
        <v>8.6996122110920499E-4</v>
      </c>
      <c r="F17" s="5">
        <f>EXP(-(Inputs!$B$7*Raw_Model!N17+(1-Inputs!$B$7)*Marginal_Model!N17))</f>
        <v>8.6996122110920499E-4</v>
      </c>
      <c r="G17" s="6">
        <f t="shared" si="0"/>
        <v>7.0470619207467653</v>
      </c>
      <c r="H17" s="5">
        <f>Raw_Model!I17</f>
        <v>1.9916694622463481E-3</v>
      </c>
      <c r="I17" s="5">
        <f>Marginal_Model!K17</f>
        <v>3.9833389244926961E-4</v>
      </c>
      <c r="J17" s="5">
        <f>EXP(-(Inputs!$B$7*Raw_Model!O17+(1-Inputs!$B$7)*Marginal_Model!O17))</f>
        <v>1.4435215230040447E-3</v>
      </c>
      <c r="K17" s="6">
        <f t="shared" si="1"/>
        <v>6.5406696486821438</v>
      </c>
      <c r="L17" s="5">
        <f>Raw_Model!K17</f>
        <v>3.1866711395941571E-6</v>
      </c>
      <c r="M17" s="5">
        <f>Marginal_Model!L17</f>
        <v>6.3733422791883147E-7</v>
      </c>
      <c r="N17" s="5">
        <f>EXP(-(Inputs!$B$7*Raw_Model!P17+(1-Inputs!$B$7)*Marginal_Model!P17))</f>
        <v>2.3096344368064705E-6</v>
      </c>
      <c r="O17" s="6">
        <f t="shared" si="2"/>
        <v>12.978421298418546</v>
      </c>
      <c r="P17" s="5">
        <f>Raw_Model!M17</f>
        <v>8.6909212898022464E-7</v>
      </c>
      <c r="Q17" s="5">
        <f>Marginal_Model!M17</f>
        <v>8.6909212898022475E-7</v>
      </c>
      <c r="R17" s="5">
        <f>IF(P17="","",EXP(-(Inputs!$B$7*Raw_Model!Q17+(1-Inputs!$B$7)*Marginal_Model!Q17)))</f>
        <v>8.6909212898022496E-7</v>
      </c>
      <c r="S17" s="6">
        <f t="shared" si="3"/>
        <v>13.955816700061986</v>
      </c>
    </row>
    <row r="18" spans="1:19">
      <c r="A18">
        <v>2</v>
      </c>
      <c r="B18">
        <f>Inputs!$B$6</f>
        <v>5</v>
      </c>
      <c r="C18">
        <v>6</v>
      </c>
      <c r="D18" s="5">
        <f>Raw_Model!G18</f>
        <v>1.2428017444417213E-4</v>
      </c>
      <c r="E18" s="5">
        <f>Marginal_Model!J18</f>
        <v>1.2428017444417213E-4</v>
      </c>
      <c r="F18" s="5">
        <f>EXP(-(Inputs!$B$7*Raw_Model!N18+(1-Inputs!$B$7)*Marginal_Model!N18))</f>
        <v>1.2428017444417213E-4</v>
      </c>
      <c r="G18" s="6">
        <f t="shared" si="0"/>
        <v>8.9929720698020787</v>
      </c>
      <c r="H18" s="5">
        <f>Raw_Model!I18</f>
        <v>7.7597511516091491E-4</v>
      </c>
      <c r="I18" s="5">
        <f>Marginal_Model!K18</f>
        <v>5.1731674344060982E-5</v>
      </c>
      <c r="J18" s="5">
        <f>EXP(-(Inputs!$B$7*Raw_Model!O18+(1-Inputs!$B$7)*Marginal_Model!O18))</f>
        <v>4.5147067083536663E-4</v>
      </c>
      <c r="K18" s="6">
        <f t="shared" si="1"/>
        <v>7.7030001466072937</v>
      </c>
      <c r="L18" s="5">
        <f>Raw_Model!K18</f>
        <v>2.4831203685149274E-7</v>
      </c>
      <c r="M18" s="5">
        <f>Marginal_Model!L18</f>
        <v>1.6554135790099519E-8</v>
      </c>
      <c r="N18" s="5">
        <f>EXP(-(Inputs!$B$7*Raw_Model!P18+(1-Inputs!$B$7)*Marginal_Model!P18))</f>
        <v>1.4447061466731749E-7</v>
      </c>
      <c r="O18" s="6">
        <f t="shared" si="2"/>
        <v>15.750189708777794</v>
      </c>
      <c r="P18" s="5" t="str">
        <f>Raw_Model!M18</f>
        <v/>
      </c>
      <c r="Q18" s="5" t="str">
        <f>Marginal_Model!M18</f>
        <v/>
      </c>
      <c r="R18" s="5" t="str">
        <f>IF(P18="","",EXP(-(Inputs!$B$7*Raw_Model!Q18+(1-Inputs!$B$7)*Marginal_Model!Q18)))</f>
        <v/>
      </c>
      <c r="S18" s="6" t="str">
        <f t="shared" si="3"/>
        <v/>
      </c>
    </row>
    <row r="19" spans="1:19">
      <c r="A19">
        <v>2</v>
      </c>
      <c r="B19">
        <f>Inputs!$B$6</f>
        <v>5</v>
      </c>
      <c r="C19">
        <v>7</v>
      </c>
      <c r="D19" s="5">
        <f>Raw_Model!G19</f>
        <v>1.6210457536196364E-5</v>
      </c>
      <c r="E19" s="5">
        <f>Marginal_Model!J19</f>
        <v>1.6210457536196364E-5</v>
      </c>
      <c r="F19" s="5">
        <f>EXP(-(Inputs!$B$7*Raw_Model!N19+(1-Inputs!$B$7)*Marginal_Model!N19))</f>
        <v>1.6210457536196354E-5</v>
      </c>
      <c r="G19" s="6">
        <f t="shared" si="0"/>
        <v>11.029853997063119</v>
      </c>
      <c r="H19" s="5">
        <f>Raw_Model!I19</f>
        <v>3.542495090952003E-4</v>
      </c>
      <c r="I19" s="5">
        <f>Marginal_Model!K19</f>
        <v>6.7476096970514322E-6</v>
      </c>
      <c r="J19" s="5">
        <f>EXP(-(Inputs!$B$7*Raw_Model!O19+(1-Inputs!$B$7)*Marginal_Model!O19))</f>
        <v>1.6042697568705426E-4</v>
      </c>
      <c r="K19" s="6">
        <f t="shared" si="1"/>
        <v>8.7376716990720382</v>
      </c>
      <c r="L19" s="5">
        <f>Raw_Model!K19</f>
        <v>2.2671968582092816E-8</v>
      </c>
      <c r="M19" s="5">
        <f>Marginal_Model!L19</f>
        <v>4.3184702061129177E-10</v>
      </c>
      <c r="N19" s="5">
        <f>EXP(-(Inputs!$B$7*Raw_Model!P19+(1-Inputs!$B$7)*Marginal_Model!P19))</f>
        <v>1.0267326443971447E-8</v>
      </c>
      <c r="O19" s="6">
        <f t="shared" si="2"/>
        <v>18.394299173676643</v>
      </c>
      <c r="P19" s="5" t="str">
        <f>Raw_Model!M19</f>
        <v/>
      </c>
      <c r="Q19" s="5" t="str">
        <f>Marginal_Model!M19</f>
        <v/>
      </c>
      <c r="R19" s="5" t="str">
        <f>IF(P19="","",EXP(-(Inputs!$B$7*Raw_Model!Q19+(1-Inputs!$B$7)*Marginal_Model!Q19)))</f>
        <v/>
      </c>
      <c r="S19" s="6" t="str">
        <f t="shared" si="3"/>
        <v/>
      </c>
    </row>
    <row r="20" spans="1:19">
      <c r="A20">
        <v>2</v>
      </c>
      <c r="B20">
        <f>Inputs!$B$6</f>
        <v>5</v>
      </c>
      <c r="C20">
        <v>8</v>
      </c>
      <c r="D20" s="5">
        <f>Raw_Model!G20</f>
        <v>1.9071126513172191E-6</v>
      </c>
      <c r="E20" s="5">
        <f>Marginal_Model!J20</f>
        <v>1.9071126513172193E-6</v>
      </c>
      <c r="F20" s="5">
        <f>EXP(-(Inputs!$B$7*Raw_Model!N20+(1-Inputs!$B$7)*Marginal_Model!N20))</f>
        <v>1.9071126513172199E-6</v>
      </c>
      <c r="G20" s="6">
        <f t="shared" si="0"/>
        <v>13.169920160559389</v>
      </c>
      <c r="H20" s="5">
        <f>Raw_Model!I20</f>
        <v>1.8522850148768643E-4</v>
      </c>
      <c r="I20" s="5">
        <f>Marginal_Model!K20</f>
        <v>8.8204048327469711E-7</v>
      </c>
      <c r="J20" s="5">
        <f>EXP(-(Inputs!$B$7*Raw_Model!O20+(1-Inputs!$B$7)*Marginal_Model!O20))</f>
        <v>6.3571718892556478E-5</v>
      </c>
      <c r="K20" s="6">
        <f t="shared" si="1"/>
        <v>9.6633418580145722</v>
      </c>
      <c r="L20" s="5">
        <f>Raw_Model!K20</f>
        <v>2.3709248190423861E-9</v>
      </c>
      <c r="M20" s="5">
        <f>Marginal_Model!L20</f>
        <v>1.1290118185916125E-11</v>
      </c>
      <c r="N20" s="5">
        <f>EXP(-(Inputs!$B$7*Raw_Model!P20+(1-Inputs!$B$7)*Marginal_Model!P20))</f>
        <v>8.1371800182472139E-10</v>
      </c>
      <c r="O20" s="6">
        <f t="shared" si="2"/>
        <v>20.929407245053277</v>
      </c>
      <c r="P20" s="5" t="str">
        <f>Raw_Model!M20</f>
        <v/>
      </c>
      <c r="Q20" s="5" t="str">
        <f>Marginal_Model!M20</f>
        <v/>
      </c>
      <c r="R20" s="5" t="str">
        <f>IF(P20="","",EXP(-(Inputs!$B$7*Raw_Model!Q20+(1-Inputs!$B$7)*Marginal_Model!Q20)))</f>
        <v/>
      </c>
      <c r="S20" s="6" t="str">
        <f t="shared" si="3"/>
        <v/>
      </c>
    </row>
    <row r="21" spans="1:19">
      <c r="A21">
        <v>2</v>
      </c>
      <c r="B21">
        <f>Inputs!$B$6</f>
        <v>5</v>
      </c>
      <c r="C21">
        <v>9</v>
      </c>
      <c r="D21" s="5">
        <f>Raw_Model!G21</f>
        <v>1.9925057551075426E-7</v>
      </c>
      <c r="E21" s="5">
        <f>Marginal_Model!J21</f>
        <v>1.9925057551075426E-7</v>
      </c>
      <c r="F21" s="5">
        <f>EXP(-(Inputs!$B$7*Raw_Model!N21+(1-Inputs!$B$7)*Marginal_Model!N21))</f>
        <v>1.9925057551075423E-7</v>
      </c>
      <c r="G21" s="6">
        <f t="shared" si="0"/>
        <v>15.428702630895042</v>
      </c>
      <c r="H21" s="5">
        <f>Raw_Model!I21</f>
        <v>1.0885630218026348E-4</v>
      </c>
      <c r="I21" s="5">
        <f>Marginal_Model!K21</f>
        <v>1.1519185415900895E-7</v>
      </c>
      <c r="J21" s="5">
        <f>EXP(-(Inputs!$B$7*Raw_Model!O21+(1-Inputs!$B$7)*Marginal_Model!O21))</f>
        <v>2.7654589461879712E-5</v>
      </c>
      <c r="K21" s="6">
        <f t="shared" si="1"/>
        <v>10.495718859614994</v>
      </c>
      <c r="L21" s="5">
        <f>Raw_Model!K21</f>
        <v>2.7867213358147451E-10</v>
      </c>
      <c r="M21" s="5">
        <f>Marginal_Model!L21</f>
        <v>2.9489114664706294E-13</v>
      </c>
      <c r="N21" s="5">
        <f>EXP(-(Inputs!$B$7*Raw_Model!P21+(1-Inputs!$B$7)*Marginal_Model!P21))</f>
        <v>7.0795749022411863E-11</v>
      </c>
      <c r="O21" s="6">
        <f t="shared" si="2"/>
        <v>23.3712221590878</v>
      </c>
      <c r="P21" s="5" t="str">
        <f>Raw_Model!M21</f>
        <v/>
      </c>
      <c r="Q21" s="5" t="str">
        <f>Marginal_Model!M21</f>
        <v/>
      </c>
      <c r="R21" s="5" t="str">
        <f>IF(P21="","",EXP(-(Inputs!$B$7*Raw_Model!Q21+(1-Inputs!$B$7)*Marginal_Model!Q21)))</f>
        <v/>
      </c>
      <c r="S21" s="6" t="str">
        <f t="shared" si="3"/>
        <v/>
      </c>
    </row>
    <row r="22" spans="1:19">
      <c r="A22">
        <v>2</v>
      </c>
      <c r="B22">
        <f>Inputs!$B$6</f>
        <v>5</v>
      </c>
      <c r="C22">
        <v>10</v>
      </c>
      <c r="D22" s="5">
        <f>Raw_Model!G22</f>
        <v>1.8113688682795842E-8</v>
      </c>
      <c r="E22" s="5">
        <f>Marginal_Model!J22</f>
        <v>1.8113688682795842E-8</v>
      </c>
      <c r="F22" s="5">
        <f>EXP(-(Inputs!$B$7*Raw_Model!N22+(1-Inputs!$B$7)*Marginal_Model!N22))</f>
        <v>1.8113688682795868E-8</v>
      </c>
      <c r="G22" s="6">
        <f t="shared" si="0"/>
        <v>17.826597903693411</v>
      </c>
      <c r="H22" s="5">
        <f>Raw_Model!I22</f>
        <v>7.068591050666459E-5</v>
      </c>
      <c r="I22" s="5">
        <f>Marginal_Model!K22</f>
        <v>1.4959981059611549E-8</v>
      </c>
      <c r="J22" s="5">
        <f>EXP(-(Inputs!$B$7*Raw_Model!O22+(1-Inputs!$B$7)*Marginal_Model!O22))</f>
        <v>1.3015249382679171E-5</v>
      </c>
      <c r="K22" s="6">
        <f t="shared" si="1"/>
        <v>11.249388858527352</v>
      </c>
      <c r="L22" s="5">
        <f>Raw_Model!K22</f>
        <v>3.6191186179412269E-11</v>
      </c>
      <c r="M22" s="5">
        <f>Marginal_Model!L22</f>
        <v>7.6595103025211163E-15</v>
      </c>
      <c r="N22" s="5">
        <f>EXP(-(Inputs!$B$7*Raw_Model!P22+(1-Inputs!$B$7)*Marginal_Model!P22))</f>
        <v>6.6638076839317455E-12</v>
      </c>
      <c r="O22" s="6">
        <f t="shared" si="2"/>
        <v>25.734330070434254</v>
      </c>
      <c r="P22" s="5" t="str">
        <f>Raw_Model!M22</f>
        <v/>
      </c>
      <c r="Q22" s="5" t="str">
        <f>Marginal_Model!M22</f>
        <v/>
      </c>
      <c r="R22" s="5" t="str">
        <f>IF(P22="","",EXP(-(Inputs!$B$7*Raw_Model!Q22+(1-Inputs!$B$7)*Marginal_Model!Q22)))</f>
        <v/>
      </c>
      <c r="S22" s="6" t="str">
        <f t="shared" si="3"/>
        <v/>
      </c>
    </row>
    <row r="23" spans="1:19">
      <c r="A23">
        <v>2</v>
      </c>
      <c r="B23">
        <f>Inputs!$B$6</f>
        <v>5</v>
      </c>
      <c r="C23">
        <v>11</v>
      </c>
      <c r="D23" s="5">
        <f>Raw_Model!G23</f>
        <v>1.3933606679073726E-9</v>
      </c>
      <c r="E23" s="5">
        <f>Marginal_Model!J23</f>
        <v>1.3933606679073726E-9</v>
      </c>
      <c r="F23" s="5">
        <f>EXP(-(Inputs!$B$7*Raw_Model!N23+(1-Inputs!$B$7)*Marginal_Model!N23))</f>
        <v>1.3933606679073703E-9</v>
      </c>
      <c r="G23" s="6">
        <f t="shared" si="0"/>
        <v>20.391547261154951</v>
      </c>
      <c r="H23" s="5">
        <f>Raw_Model!I23</f>
        <v>4.9842629203417343E-5</v>
      </c>
      <c r="I23" s="5">
        <f>Marginal_Model!K23</f>
        <v>1.9179462896937883E-9</v>
      </c>
      <c r="J23" s="5">
        <f>EXP(-(Inputs!$B$7*Raw_Model!O23+(1-Inputs!$B$7)*Marginal_Model!O23))</f>
        <v>6.5260146271381905E-6</v>
      </c>
      <c r="K23" s="6">
        <f t="shared" si="1"/>
        <v>11.939714118432159</v>
      </c>
      <c r="L23" s="5">
        <f>Raw_Model!K23</f>
        <v>5.1038852304299359E-12</v>
      </c>
      <c r="M23" s="5">
        <f>Marginal_Model!L23</f>
        <v>1.9639770006464401E-16</v>
      </c>
      <c r="N23" s="5">
        <f>EXP(-(Inputs!$B$7*Raw_Model!P23+(1-Inputs!$B$7)*Marginal_Model!P23))</f>
        <v>6.6826389781894985E-13</v>
      </c>
      <c r="O23" s="6">
        <f t="shared" si="2"/>
        <v>28.034093242773164</v>
      </c>
      <c r="P23" s="5" t="str">
        <f>Raw_Model!M23</f>
        <v/>
      </c>
      <c r="Q23" s="5" t="str">
        <f>Marginal_Model!M23</f>
        <v/>
      </c>
      <c r="R23" s="5" t="str">
        <f>IF(P23="","",EXP(-(Inputs!$B$7*Raw_Model!Q23+(1-Inputs!$B$7)*Marginal_Model!Q23)))</f>
        <v/>
      </c>
      <c r="S23" s="6" t="str">
        <f t="shared" si="3"/>
        <v/>
      </c>
    </row>
    <row r="24" spans="1:19">
      <c r="A24">
        <v>2</v>
      </c>
      <c r="B24">
        <f>Inputs!$B$6</f>
        <v>5</v>
      </c>
      <c r="C24">
        <v>12</v>
      </c>
      <c r="D24" s="5">
        <f>Raw_Model!G24</f>
        <v>8.7085041744210772E-11</v>
      </c>
      <c r="E24" s="5">
        <f>Marginal_Model!J24</f>
        <v>8.7085041744210785E-11</v>
      </c>
      <c r="F24" s="5">
        <f>EXP(-(Inputs!$B$7*Raw_Model!N24+(1-Inputs!$B$7)*Marginal_Model!N24))</f>
        <v>8.7085041744210927E-11</v>
      </c>
      <c r="G24" s="6">
        <f t="shared" si="0"/>
        <v>23.164135983394729</v>
      </c>
      <c r="H24" s="5">
        <f>Raw_Model!I24</f>
        <v>3.7381971902562994E-5</v>
      </c>
      <c r="I24" s="5">
        <f>Marginal_Model!K24</f>
        <v>2.3974328621172353E-10</v>
      </c>
      <c r="J24" s="5">
        <f>EXP(-(Inputs!$B$7*Raw_Model!O24+(1-Inputs!$B$7)*Marginal_Model!O24))</f>
        <v>3.4204169992081243E-6</v>
      </c>
      <c r="K24" s="6">
        <f t="shared" si="1"/>
        <v>12.58574808472955</v>
      </c>
      <c r="L24" s="5">
        <f>Raw_Model!K24</f>
        <v>7.6558278456449014E-13</v>
      </c>
      <c r="M24" s="5">
        <f>Marginal_Model!L24</f>
        <v>4.9099425016161006E-18</v>
      </c>
      <c r="N24" s="5">
        <f>EXP(-(Inputs!$B$7*Raw_Model!P24+(1-Inputs!$B$7)*Marginal_Model!P24))</f>
        <v>7.0050140143782347E-14</v>
      </c>
      <c r="O24" s="6">
        <f t="shared" si="2"/>
        <v>30.289565121504655</v>
      </c>
      <c r="P24" s="5" t="str">
        <f>Raw_Model!M24</f>
        <v/>
      </c>
      <c r="Q24" s="5" t="str">
        <f>Marginal_Model!M24</f>
        <v/>
      </c>
      <c r="R24" s="5" t="str">
        <f>IF(P24="","",EXP(-(Inputs!$B$7*Raw_Model!Q24+(1-Inputs!$B$7)*Marginal_Model!Q24)))</f>
        <v/>
      </c>
      <c r="S24" s="6" t="str">
        <f t="shared" si="3"/>
        <v/>
      </c>
    </row>
    <row r="25" spans="1:19">
      <c r="A25">
        <v>2</v>
      </c>
      <c r="B25">
        <f>Inputs!$B$6</f>
        <v>5</v>
      </c>
      <c r="C25">
        <v>13</v>
      </c>
      <c r="D25" s="5">
        <f>Raw_Model!G25</f>
        <v>4.146906749724323E-12</v>
      </c>
      <c r="E25" s="5">
        <f>Marginal_Model!J25</f>
        <v>4.146906749724323E-12</v>
      </c>
      <c r="F25" s="5">
        <f>EXP(-(Inputs!$B$7*Raw_Model!N25+(1-Inputs!$B$7)*Marginal_Model!N25))</f>
        <v>4.1469067497243165E-12</v>
      </c>
      <c r="G25" s="6">
        <f t="shared" si="0"/>
        <v>26.208658421118155</v>
      </c>
      <c r="H25" s="5">
        <f>Raw_Model!I25</f>
        <v>2.8926525876983283E-5</v>
      </c>
      <c r="I25" s="5">
        <f>Marginal_Model!K25</f>
        <v>2.8540867406157561E-11</v>
      </c>
      <c r="J25" s="5">
        <f>EXP(-(Inputs!$B$7*Raw_Model!O25+(1-Inputs!$B$7)*Marginal_Model!O25))</f>
        <v>1.8202475510628632E-6</v>
      </c>
      <c r="K25" s="6">
        <f t="shared" si="1"/>
        <v>13.216538049057545</v>
      </c>
      <c r="L25" s="5">
        <f>Raw_Model!K25</f>
        <v>1.1848304999212352E-13</v>
      </c>
      <c r="M25" s="5">
        <f>Marginal_Model!L25</f>
        <v>1.1690339289562144E-19</v>
      </c>
      <c r="N25" s="5">
        <f>EXP(-(Inputs!$B$7*Raw_Model!P25+(1-Inputs!$B$7)*Marginal_Model!P25))</f>
        <v>7.4557339691534894E-15</v>
      </c>
      <c r="O25" s="6">
        <f t="shared" si="2"/>
        <v>32.52979299826675</v>
      </c>
      <c r="P25" s="5" t="str">
        <f>Raw_Model!M25</f>
        <v/>
      </c>
      <c r="Q25" s="5" t="str">
        <f>Marginal_Model!M25</f>
        <v/>
      </c>
      <c r="R25" s="5" t="str">
        <f>IF(P25="","",EXP(-(Inputs!$B$7*Raw_Model!Q25+(1-Inputs!$B$7)*Marginal_Model!Q25)))</f>
        <v/>
      </c>
      <c r="S25" s="6" t="str">
        <f t="shared" si="3"/>
        <v/>
      </c>
    </row>
    <row r="26" spans="1:19">
      <c r="A26">
        <v>2</v>
      </c>
      <c r="B26">
        <f>Inputs!$B$6</f>
        <v>5</v>
      </c>
      <c r="C26">
        <v>14</v>
      </c>
      <c r="D26" s="5">
        <f>Raw_Model!G26</f>
        <v>1.3377118547497815E-13</v>
      </c>
      <c r="E26" s="5">
        <f>Marginal_Model!J26</f>
        <v>1.3377118547497815E-13</v>
      </c>
      <c r="F26" s="5">
        <f>EXP(-(Inputs!$B$7*Raw_Model!N26+(1-Inputs!$B$7)*Marginal_Model!N26))</f>
        <v>1.3377118547497808E-13</v>
      </c>
      <c r="G26" s="6">
        <f t="shared" si="0"/>
        <v>29.642645625603301</v>
      </c>
      <c r="H26" s="5">
        <f>Raw_Model!I26</f>
        <v>2.1772653885901392E-5</v>
      </c>
      <c r="I26" s="5">
        <f>Marginal_Model!K26</f>
        <v>3.0689104737803827E-12</v>
      </c>
      <c r="J26" s="5">
        <f>EXP(-(Inputs!$B$7*Raw_Model!O26+(1-Inputs!$B$7)*Marginal_Model!O26))</f>
        <v>9.283803483693404E-7</v>
      </c>
      <c r="K26" s="6">
        <f t="shared" si="1"/>
        <v>13.889824329972505</v>
      </c>
      <c r="L26" s="5">
        <f>Raw_Model!K26</f>
        <v>1.783615806333042E-14</v>
      </c>
      <c r="M26" s="5">
        <f>Marginal_Model!L26</f>
        <v>2.5140514601208912E-21</v>
      </c>
      <c r="N26" s="5">
        <f>EXP(-(Inputs!$B$7*Raw_Model!P26+(1-Inputs!$B$7)*Marginal_Model!P26))</f>
        <v>7.6052918138416306E-16</v>
      </c>
      <c r="O26" s="6">
        <f t="shared" si="2"/>
        <v>34.812517191615811</v>
      </c>
      <c r="P26" s="5" t="str">
        <f>Raw_Model!M26</f>
        <v/>
      </c>
      <c r="Q26" s="5" t="str">
        <f>Marginal_Model!M26</f>
        <v/>
      </c>
      <c r="R26" s="5" t="str">
        <f>IF(P26="","",EXP(-(Inputs!$B$7*Raw_Model!Q26+(1-Inputs!$B$7)*Marginal_Model!Q26)))</f>
        <v/>
      </c>
      <c r="S26" s="6" t="str">
        <f t="shared" si="3"/>
        <v/>
      </c>
    </row>
    <row r="27" spans="1:19">
      <c r="A27">
        <v>2</v>
      </c>
      <c r="B27">
        <f>Inputs!$B$6</f>
        <v>5</v>
      </c>
      <c r="C27">
        <v>15</v>
      </c>
      <c r="D27" s="5">
        <f>Raw_Model!G27</f>
        <v>2.1929702536881659E-15</v>
      </c>
      <c r="E27" s="5">
        <f>Marginal_Model!J27</f>
        <v>2.1929702536881667E-15</v>
      </c>
      <c r="F27" s="5">
        <f>EXP(-(Inputs!$B$7*Raw_Model!N27+(1-Inputs!$B$7)*Marginal_Model!N27))</f>
        <v>2.1929702536881592E-15</v>
      </c>
      <c r="G27" s="6">
        <f t="shared" si="0"/>
        <v>33.753519489776615</v>
      </c>
      <c r="H27" s="5">
        <f>Raw_Model!I27</f>
        <v>1.3384828208545935E-5</v>
      </c>
      <c r="I27" s="5">
        <f>Marginal_Model!K27</f>
        <v>2.515500388344576E-13</v>
      </c>
      <c r="J27" s="5">
        <f>EXP(-(Inputs!$B$7*Raw_Model!O27+(1-Inputs!$B$7)*Marginal_Model!O27))</f>
        <v>3.8143023801933179E-7</v>
      </c>
      <c r="K27" s="6">
        <f t="shared" si="1"/>
        <v>14.779337865277903</v>
      </c>
      <c r="L27" s="5">
        <f>Raw_Model!K27</f>
        <v>2.1929702536881659E-15</v>
      </c>
      <c r="M27" s="5">
        <f>Marginal_Model!L27</f>
        <v>4.1213958362637565E-23</v>
      </c>
      <c r="N27" s="5">
        <f>EXP(-(Inputs!$B$7*Raw_Model!P27+(1-Inputs!$B$7)*Marginal_Model!P27))</f>
        <v>6.2493530197087097E-17</v>
      </c>
      <c r="O27" s="6">
        <f t="shared" si="2"/>
        <v>37.311468639355311</v>
      </c>
      <c r="P27" s="5" t="str">
        <f>Raw_Model!M27</f>
        <v/>
      </c>
      <c r="Q27" s="5" t="str">
        <f>Marginal_Model!M27</f>
        <v/>
      </c>
      <c r="R27" s="5" t="str">
        <f>IF(P27="","",EXP(-(Inputs!$B$7*Raw_Model!Q27+(1-Inputs!$B$7)*Marginal_Model!Q27)))</f>
        <v/>
      </c>
      <c r="S27" s="6" t="str">
        <f t="shared" si="3"/>
        <v/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workbookViewId="0"/>
  </sheetViews>
  <sheetFormatPr defaultRowHeight="14.15"/>
  <cols>
    <col min="1" max="1" width="157.640625" customWidth="1"/>
    <col min="2" max="2" width="85.140625" customWidth="1"/>
    <col min="3" max="3" width="3.5" customWidth="1"/>
    <col min="4" max="5" width="11.2109375" customWidth="1"/>
  </cols>
  <sheetData>
    <row r="1" spans="1:8" ht="16" customHeight="1">
      <c r="A1" s="44" t="s">
        <v>75</v>
      </c>
      <c r="B1" s="44"/>
      <c r="C1" s="44"/>
      <c r="D1" s="44"/>
      <c r="E1" s="44"/>
      <c r="F1" s="44"/>
      <c r="G1" s="44"/>
      <c r="H1" s="44"/>
    </row>
    <row r="3" spans="1:8">
      <c r="A3" s="1" t="s">
        <v>76</v>
      </c>
      <c r="B3" s="1" t="s">
        <v>77</v>
      </c>
    </row>
    <row r="4" spans="1:8" ht="28.3">
      <c r="A4" s="2" t="s">
        <v>78</v>
      </c>
      <c r="B4" s="3" t="s">
        <v>79</v>
      </c>
    </row>
    <row r="5" spans="1:8">
      <c r="A5" s="2" t="s">
        <v>80</v>
      </c>
      <c r="B5" s="3" t="s">
        <v>81</v>
      </c>
    </row>
    <row r="6" spans="1:8" ht="28.3">
      <c r="A6" s="2" t="s">
        <v>82</v>
      </c>
      <c r="B6" s="3" t="s">
        <v>83</v>
      </c>
    </row>
    <row r="7" spans="1:8" ht="28.3">
      <c r="A7" s="2" t="s">
        <v>84</v>
      </c>
      <c r="B7" s="3" t="s">
        <v>85</v>
      </c>
    </row>
    <row r="8" spans="1:8" ht="28.3">
      <c r="A8" s="2" t="s">
        <v>86</v>
      </c>
      <c r="B8" s="3" t="s">
        <v>87</v>
      </c>
    </row>
    <row r="9" spans="1:8">
      <c r="A9" s="11" t="s">
        <v>88</v>
      </c>
      <c r="B9" s="11" t="s">
        <v>89</v>
      </c>
      <c r="C9" s="11"/>
      <c r="D9" s="11"/>
      <c r="E9" s="11"/>
    </row>
    <row r="11" spans="1:8" ht="28.3">
      <c r="A11" s="1" t="s">
        <v>90</v>
      </c>
      <c r="B11" s="1" t="s">
        <v>28</v>
      </c>
      <c r="C11" s="1" t="s">
        <v>91</v>
      </c>
      <c r="D11" s="1" t="s">
        <v>92</v>
      </c>
      <c r="E11" s="1" t="s">
        <v>67</v>
      </c>
    </row>
    <row r="12" spans="1:8">
      <c r="A12" t="s">
        <v>93</v>
      </c>
      <c r="B12">
        <v>1</v>
      </c>
      <c r="C12">
        <v>15</v>
      </c>
      <c r="D12" s="5">
        <f>Raw_Model!G14</f>
        <v>7.5196324642539908E-14</v>
      </c>
      <c r="E12" s="5">
        <f>Raw_Model!K14</f>
        <v>7.5196324642539908E-14</v>
      </c>
    </row>
    <row r="13" spans="1:8">
      <c r="A13" t="s">
        <v>93</v>
      </c>
      <c r="B13">
        <v>2</v>
      </c>
      <c r="C13">
        <v>15</v>
      </c>
      <c r="D13" s="5">
        <f>Raw_Model!G27</f>
        <v>2.1929702536881659E-15</v>
      </c>
      <c r="E13" s="5">
        <f>Raw_Model!K27</f>
        <v>2.1929702536881659E-15</v>
      </c>
    </row>
    <row r="15" spans="1:8">
      <c r="A15" s="15" t="s">
        <v>94</v>
      </c>
      <c r="B15" s="15"/>
      <c r="C15" s="15"/>
      <c r="D15" s="15"/>
      <c r="E15" s="15"/>
    </row>
    <row r="16" spans="1:8">
      <c r="A16" s="3" t="s">
        <v>95</v>
      </c>
      <c r="B16" s="3"/>
      <c r="C16" s="3"/>
      <c r="D16" s="3"/>
      <c r="E16" s="3"/>
    </row>
    <row r="17" spans="1:5">
      <c r="A17" s="3" t="s">
        <v>96</v>
      </c>
      <c r="B17" s="3"/>
      <c r="C17" s="3"/>
      <c r="D17" s="3"/>
      <c r="E17" s="3"/>
    </row>
    <row r="18" spans="1:5" ht="28.3">
      <c r="A18" s="3" t="s">
        <v>97</v>
      </c>
      <c r="B18" s="3"/>
      <c r="C18" s="3"/>
      <c r="D18" s="3"/>
      <c r="E18" s="3"/>
    </row>
    <row r="19" spans="1:5">
      <c r="A19" s="3" t="s">
        <v>98</v>
      </c>
      <c r="B19" s="3"/>
      <c r="C19" s="3"/>
      <c r="D19" s="3"/>
      <c r="E19" s="3"/>
    </row>
    <row r="20" spans="1:5">
      <c r="A20" s="3" t="s">
        <v>99</v>
      </c>
      <c r="B20" s="3"/>
      <c r="C20" s="3"/>
      <c r="D20" s="3"/>
      <c r="E20" s="3"/>
    </row>
    <row r="22" spans="1:5">
      <c r="A22" s="45" t="s">
        <v>100</v>
      </c>
      <c r="B22" s="43"/>
      <c r="C22" s="43"/>
      <c r="D22" s="43"/>
      <c r="E22" s="43"/>
    </row>
    <row r="23" spans="1:5" ht="18.350000000000001" customHeight="1">
      <c r="A23" s="46" t="s">
        <v>101</v>
      </c>
      <c r="B23" s="43"/>
      <c r="C23" s="43"/>
      <c r="D23" s="43"/>
      <c r="E23" s="43"/>
    </row>
    <row r="24" spans="1:5" ht="18.350000000000001" customHeight="1">
      <c r="A24" s="46" t="s">
        <v>102</v>
      </c>
      <c r="B24" s="43"/>
      <c r="C24" s="43"/>
      <c r="D24" s="43"/>
      <c r="E24" s="43"/>
    </row>
  </sheetData>
  <mergeCells count="4">
    <mergeCell ref="A1:H1"/>
    <mergeCell ref="A22:E22"/>
    <mergeCell ref="A23:E23"/>
    <mergeCell ref="A24:E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2"/>
  <sheetViews>
    <sheetView workbookViewId="0"/>
  </sheetViews>
  <sheetFormatPr defaultRowHeight="14.15"/>
  <cols>
    <col min="1" max="1" width="8" customWidth="1"/>
    <col min="2" max="13" width="14" customWidth="1"/>
  </cols>
  <sheetData>
    <row r="1" spans="1:13" ht="13.75" customHeight="1">
      <c r="A1" s="47" t="s">
        <v>103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0.6" customHeight="1">
      <c r="A2" s="48" t="s">
        <v>104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spans="1:13" ht="12.55" customHeight="1">
      <c r="A4" s="49" t="s">
        <v>105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ht="19.399999999999999" customHeight="1">
      <c r="A5" s="7" t="s">
        <v>91</v>
      </c>
      <c r="B5" s="7" t="s">
        <v>106</v>
      </c>
      <c r="C5" s="7" t="s">
        <v>107</v>
      </c>
      <c r="D5" s="7" t="s">
        <v>108</v>
      </c>
      <c r="E5" s="7" t="s">
        <v>109</v>
      </c>
      <c r="F5" s="7" t="s">
        <v>110</v>
      </c>
      <c r="G5" s="7" t="s">
        <v>111</v>
      </c>
      <c r="H5" s="7" t="s">
        <v>112</v>
      </c>
      <c r="I5" s="7" t="s">
        <v>113</v>
      </c>
      <c r="J5" s="7" t="s">
        <v>114</v>
      </c>
      <c r="K5" s="7" t="s">
        <v>115</v>
      </c>
      <c r="L5" s="7" t="s">
        <v>116</v>
      </c>
      <c r="M5" s="7" t="s">
        <v>117</v>
      </c>
    </row>
    <row r="6" spans="1:13">
      <c r="A6" s="8">
        <f>Raw_Model!C2</f>
        <v>3</v>
      </c>
      <c r="B6" s="9">
        <f>Raw_Model!G2</f>
        <v>5.3185271770894223E-2</v>
      </c>
      <c r="C6" s="9">
        <f>Raw_Model!I2</f>
        <v>2.4313267095265927E-2</v>
      </c>
      <c r="D6" s="9">
        <f>Raw_Model!K2</f>
        <v>1.5195791934541204E-3</v>
      </c>
      <c r="E6" s="9">
        <f>Raw_Model!M2</f>
        <v>1.7533606078316774E-3</v>
      </c>
      <c r="F6" s="9">
        <f>Marginal_Model!J2</f>
        <v>5.3185271770894223E-2</v>
      </c>
      <c r="G6" s="9">
        <f>Marginal_Model!K2</f>
        <v>2.4313267095265927E-2</v>
      </c>
      <c r="H6" s="9">
        <f>Marginal_Model!L2</f>
        <v>1.5195791934541204E-3</v>
      </c>
      <c r="I6" s="9">
        <f>Marginal_Model!M2</f>
        <v>1.7533606078316774E-3</v>
      </c>
      <c r="J6" s="9">
        <f>Combined_Model!F2</f>
        <v>5.3185271770894223E-2</v>
      </c>
      <c r="K6" s="9">
        <f>Combined_Model!J2</f>
        <v>2.4313267095265923E-2</v>
      </c>
      <c r="L6" s="9">
        <f>Combined_Model!N2</f>
        <v>1.5195791934541211E-3</v>
      </c>
      <c r="M6" s="9">
        <f>Combined_Model!R2</f>
        <v>1.753360607831678E-3</v>
      </c>
    </row>
    <row r="7" spans="1:13">
      <c r="A7" s="8">
        <f>Raw_Model!C3</f>
        <v>4</v>
      </c>
      <c r="B7" s="9">
        <f>Raw_Model!G3</f>
        <v>1.1196899320188256E-2</v>
      </c>
      <c r="C7" s="9">
        <f>Raw_Model!I3</f>
        <v>6.2997939032267986E-3</v>
      </c>
      <c r="D7" s="9">
        <f>Raw_Model!K3</f>
        <v>9.8434279737918728E-5</v>
      </c>
      <c r="E7" s="9">
        <f>Raw_Model!M3</f>
        <v>3.0760712418099601E-5</v>
      </c>
      <c r="F7" s="9">
        <f>Marginal_Model!J3</f>
        <v>1.1196899320188258E-2</v>
      </c>
      <c r="G7" s="9">
        <f>Marginal_Model!K3</f>
        <v>3.1498969516133993E-3</v>
      </c>
      <c r="H7" s="9">
        <f>Marginal_Model!L3</f>
        <v>4.9217139868959364E-5</v>
      </c>
      <c r="I7" s="9">
        <f>Marginal_Model!M3</f>
        <v>3.0760712418099601E-5</v>
      </c>
      <c r="J7" s="9">
        <f>Combined_Model!F3</f>
        <v>1.1196899320188258E-2</v>
      </c>
      <c r="K7" s="9">
        <f>Combined_Model!J3</f>
        <v>5.4842891311035792E-3</v>
      </c>
      <c r="L7" s="9">
        <f>Combined_Model!N3</f>
        <v>8.5692017673493371E-5</v>
      </c>
      <c r="M7" s="9">
        <f>Combined_Model!R3</f>
        <v>3.0760712418099615E-5</v>
      </c>
    </row>
    <row r="8" spans="1:13">
      <c r="A8" s="8">
        <f>Raw_Model!C4</f>
        <v>5</v>
      </c>
      <c r="B8" s="9">
        <f>Raw_Model!G4</f>
        <v>2.1993909378941212E-3</v>
      </c>
      <c r="C8" s="9">
        <f>Raw_Model!I4</f>
        <v>2.0624325278421063E-3</v>
      </c>
      <c r="D8" s="9">
        <f>Raw_Model!K4</f>
        <v>8.0563770618832277E-6</v>
      </c>
      <c r="E8" s="9"/>
      <c r="F8" s="9">
        <f>Marginal_Model!J4</f>
        <v>2.199390937894122E-3</v>
      </c>
      <c r="G8" s="9">
        <f>Marginal_Model!K4</f>
        <v>4.1248650556842138E-4</v>
      </c>
      <c r="H8" s="9">
        <f>Marginal_Model!L4</f>
        <v>1.611275412376646E-6</v>
      </c>
      <c r="I8" s="9"/>
      <c r="J8" s="9">
        <f>Combined_Model!F4</f>
        <v>2.1993909378941212E-3</v>
      </c>
      <c r="K8" s="9">
        <f>Combined_Model!J4</f>
        <v>1.4948091538873412E-3</v>
      </c>
      <c r="L8" s="9">
        <f>Combined_Model!N4</f>
        <v>5.8390982573724231E-6</v>
      </c>
      <c r="M8" s="9"/>
    </row>
    <row r="9" spans="1:13">
      <c r="A9" s="8">
        <f>Raw_Model!C5</f>
        <v>6</v>
      </c>
      <c r="B9" s="9">
        <f>Raw_Model!G5</f>
        <v>3.998892614352947E-4</v>
      </c>
      <c r="C9" s="9">
        <f>Raw_Model!I5</f>
        <v>8.1815505236711649E-4</v>
      </c>
      <c r="D9" s="9">
        <f>Raw_Model!K5</f>
        <v>7.989795433272622E-7</v>
      </c>
      <c r="E9" s="9"/>
      <c r="F9" s="9">
        <f>Marginal_Model!J5</f>
        <v>3.9988926143529491E-4</v>
      </c>
      <c r="G9" s="9">
        <f>Marginal_Model!K5</f>
        <v>5.454367015780779E-5</v>
      </c>
      <c r="H9" s="9">
        <f>Marginal_Model!L5</f>
        <v>5.326530288848417E-8</v>
      </c>
      <c r="I9" s="9"/>
      <c r="J9" s="9">
        <f>Combined_Model!F5</f>
        <v>3.9988926143529475E-4</v>
      </c>
      <c r="K9" s="9">
        <f>Combined_Model!J5</f>
        <v>4.7601141212231965E-4</v>
      </c>
      <c r="L9" s="9">
        <f>Combined_Model!N5</f>
        <v>4.6485489465070321E-7</v>
      </c>
      <c r="M9" s="9"/>
    </row>
    <row r="10" spans="1:13">
      <c r="A10" s="8">
        <f>Raw_Model!C6</f>
        <v>7</v>
      </c>
      <c r="B10" s="9">
        <f>Raw_Model!G6</f>
        <v>6.6648210239215824E-5</v>
      </c>
      <c r="C10" s="9">
        <f>Raw_Model!I6</f>
        <v>3.818056911046546E-4</v>
      </c>
      <c r="D10" s="9">
        <f>Raw_Model!K6</f>
        <v>9.3214280054847316E-8</v>
      </c>
      <c r="E10" s="9"/>
      <c r="F10" s="9">
        <f>Marginal_Model!J6</f>
        <v>6.664821023921581E-5</v>
      </c>
      <c r="G10" s="9">
        <f>Marginal_Model!K6</f>
        <v>7.272489354374372E-6</v>
      </c>
      <c r="H10" s="9">
        <f>Marginal_Model!L6</f>
        <v>1.7755100962828057E-9</v>
      </c>
      <c r="I10" s="9"/>
      <c r="J10" s="9">
        <f>Combined_Model!F6</f>
        <v>6.6648210239215824E-5</v>
      </c>
      <c r="K10" s="9">
        <f>Combined_Model!J6</f>
        <v>1.729061882978209E-4</v>
      </c>
      <c r="L10" s="9">
        <f>Combined_Model!N6</f>
        <v>4.2213424877397641E-8</v>
      </c>
      <c r="M10" s="9"/>
    </row>
    <row r="11" spans="1:13">
      <c r="A11" s="8">
        <f>Raw_Model!C7</f>
        <v>8</v>
      </c>
      <c r="B11" s="9">
        <f>Raw_Model!G7</f>
        <v>1.0060107205919364E-5</v>
      </c>
      <c r="C11" s="9">
        <f>Raw_Model!I7</f>
        <v>2.0491039187168036E-4</v>
      </c>
      <c r="D11" s="9">
        <f>Raw_Model!K7</f>
        <v>1.2506737785136741E-8</v>
      </c>
      <c r="E11" s="9"/>
      <c r="F11" s="9">
        <f>Marginal_Model!J7</f>
        <v>1.0060107205919367E-5</v>
      </c>
      <c r="G11" s="9">
        <f>Marginal_Model!K7</f>
        <v>9.7576377081752583E-7</v>
      </c>
      <c r="H11" s="9">
        <f>Marginal_Model!L7</f>
        <v>5.9555894214936879E-11</v>
      </c>
      <c r="I11" s="9"/>
      <c r="J11" s="9">
        <f>Combined_Model!F7</f>
        <v>1.0060107205919367E-5</v>
      </c>
      <c r="K11" s="9">
        <f>Combined_Model!J7</f>
        <v>7.0326681507467895E-5</v>
      </c>
      <c r="L11" s="9">
        <f>Combined_Model!N7</f>
        <v>4.2923999943522984E-9</v>
      </c>
      <c r="M11" s="9"/>
    </row>
    <row r="12" spans="1:13">
      <c r="A12" s="8">
        <f>Raw_Model!C8</f>
        <v>9</v>
      </c>
      <c r="B12" s="9">
        <f>Raw_Model!G8</f>
        <v>1.3542452007968373E-6</v>
      </c>
      <c r="C12" s="9">
        <f>Raw_Model!I8</f>
        <v>1.2412841046072941E-4</v>
      </c>
      <c r="D12" s="9">
        <f>Raw_Model!K8</f>
        <v>1.8940492318836885E-9</v>
      </c>
      <c r="E12" s="9"/>
      <c r="F12" s="9">
        <f>Marginal_Model!J8</f>
        <v>1.3542452007968379E-6</v>
      </c>
      <c r="G12" s="9">
        <f>Marginal_Model!K8</f>
        <v>1.3135281530235925E-7</v>
      </c>
      <c r="H12" s="9">
        <f>Marginal_Model!L8</f>
        <v>2.004284901464222E-12</v>
      </c>
      <c r="I12" s="9"/>
      <c r="J12" s="9">
        <f>Combined_Model!F8</f>
        <v>1.3542452007968384E-6</v>
      </c>
      <c r="K12" s="9">
        <f>Combined_Model!J8</f>
        <v>3.1534418890719447E-5</v>
      </c>
      <c r="L12" s="9">
        <f>Combined_Model!N8</f>
        <v>4.8117704606200267E-10</v>
      </c>
      <c r="M12" s="9"/>
    </row>
    <row r="13" spans="1:13">
      <c r="A13" s="8">
        <f>Raw_Model!C9</f>
        <v>10</v>
      </c>
      <c r="B13" s="9">
        <f>Raw_Model!G9</f>
        <v>1.5932296479962799E-7</v>
      </c>
      <c r="C13" s="9">
        <f>Raw_Model!I9</f>
        <v>8.3447670897969384E-5</v>
      </c>
      <c r="D13" s="9">
        <f>Raw_Model!K9</f>
        <v>3.183276019972587E-10</v>
      </c>
      <c r="E13" s="9"/>
      <c r="F13" s="9">
        <f>Marginal_Model!J9</f>
        <v>1.5932296479962799E-7</v>
      </c>
      <c r="G13" s="9">
        <f>Marginal_Model!K9</f>
        <v>1.7660882729728973E-8</v>
      </c>
      <c r="H13" s="9">
        <f>Marginal_Model!L9</f>
        <v>6.7370921057620899E-14</v>
      </c>
      <c r="I13" s="9"/>
      <c r="J13" s="9">
        <f>Combined_Model!F9</f>
        <v>1.5932296479962791E-7</v>
      </c>
      <c r="K13" s="9">
        <f>Combined_Model!J9</f>
        <v>1.5365045726310738E-5</v>
      </c>
      <c r="L13" s="9">
        <f>Combined_Model!N9</f>
        <v>5.8612997918360883E-11</v>
      </c>
      <c r="M13" s="9"/>
    </row>
    <row r="14" spans="1:13">
      <c r="A14" s="8">
        <f>Raw_Model!C10</f>
        <v>11</v>
      </c>
      <c r="B14" s="9">
        <f>Raw_Model!G10</f>
        <v>1.5932296479962797E-8</v>
      </c>
      <c r="C14" s="9">
        <f>Raw_Model!I10</f>
        <v>6.1194958658510889E-5</v>
      </c>
      <c r="D14" s="9">
        <f>Raw_Model!K10</f>
        <v>5.8360060366164101E-11</v>
      </c>
      <c r="E14" s="9"/>
      <c r="F14" s="9">
        <f>Marginal_Model!J10</f>
        <v>1.5932296479962801E-8</v>
      </c>
      <c r="G14" s="9">
        <f>Marginal_Model!K10</f>
        <v>2.3547843639638631E-9</v>
      </c>
      <c r="H14" s="9">
        <f>Marginal_Model!L10</f>
        <v>2.2456973685873634E-15</v>
      </c>
      <c r="I14" s="9"/>
      <c r="J14" s="9">
        <f>Combined_Model!F10</f>
        <v>1.5932296479962774E-8</v>
      </c>
      <c r="K14" s="9">
        <f>Combined_Model!J10</f>
        <v>8.012402268802811E-6</v>
      </c>
      <c r="L14" s="9">
        <f>Combined_Model!N10</f>
        <v>7.6412222564724073E-12</v>
      </c>
      <c r="M14" s="9"/>
    </row>
    <row r="15" spans="1:13">
      <c r="A15" s="8">
        <f>Raw_Model!C11</f>
        <v>12</v>
      </c>
      <c r="B15" s="9">
        <f>Raw_Model!G11</f>
        <v>1.3005956310173707E-9</v>
      </c>
      <c r="C15" s="9">
        <f>Raw_Model!I11</f>
        <v>4.7956865560955442E-5</v>
      </c>
      <c r="D15" s="9">
        <f>Raw_Model!K11</f>
        <v>1.1433807745207654E-11</v>
      </c>
      <c r="E15" s="9"/>
      <c r="F15" s="9">
        <f>Marginal_Model!J11</f>
        <v>1.3005956310173714E-9</v>
      </c>
      <c r="G15" s="9">
        <f>Marginal_Model!K11</f>
        <v>3.0756367202793319E-10</v>
      </c>
      <c r="H15" s="9">
        <f>Marginal_Model!L11</f>
        <v>7.3328893668158814E-17</v>
      </c>
      <c r="I15" s="9"/>
      <c r="J15" s="9">
        <f>Combined_Model!F11</f>
        <v>1.3005956310173691E-9</v>
      </c>
      <c r="K15" s="9">
        <f>Combined_Model!J11</f>
        <v>4.3880103120559087E-6</v>
      </c>
      <c r="L15" s="9">
        <f>Combined_Model!N11</f>
        <v>1.0461831836833698E-12</v>
      </c>
      <c r="M15" s="9"/>
    </row>
    <row r="16" spans="1:13">
      <c r="A16" s="8">
        <f>Raw_Model!C12</f>
        <v>13</v>
      </c>
      <c r="B16" s="9">
        <f>Raw_Model!G12</f>
        <v>8.1287226938585736E-11</v>
      </c>
      <c r="C16" s="9">
        <f>Raw_Model!I12</f>
        <v>3.8964953268276336E-5</v>
      </c>
      <c r="D16" s="9">
        <f>Raw_Model!K12</f>
        <v>2.322492198245307E-12</v>
      </c>
      <c r="E16" s="9"/>
      <c r="F16" s="9">
        <f>Marginal_Model!J12</f>
        <v>8.128722693858571E-11</v>
      </c>
      <c r="G16" s="9">
        <f>Marginal_Model!K12</f>
        <v>3.8445459003491648E-11</v>
      </c>
      <c r="H16" s="9">
        <f>Marginal_Model!L12</f>
        <v>2.2915279271299629E-18</v>
      </c>
      <c r="I16" s="9"/>
      <c r="J16" s="9">
        <f>Combined_Model!F12</f>
        <v>8.1287226938585827E-11</v>
      </c>
      <c r="K16" s="9">
        <f>Combined_Model!J12</f>
        <v>2.4519315269827971E-6</v>
      </c>
      <c r="L16" s="9">
        <f>Combined_Model!N12</f>
        <v>1.4614650767939043E-13</v>
      </c>
      <c r="M16" s="9"/>
    </row>
    <row r="17" spans="1:13">
      <c r="A17" s="8">
        <f>Raw_Model!C13</f>
        <v>14</v>
      </c>
      <c r="B17" s="9">
        <f>Raw_Model!G13</f>
        <v>3.4590309335568387E-12</v>
      </c>
      <c r="C17" s="9">
        <f>Raw_Model!I13</f>
        <v>3.0950884865581192E-5</v>
      </c>
      <c r="D17" s="9">
        <f>Raw_Model!K13</f>
        <v>4.6120412447424519E-13</v>
      </c>
      <c r="E17" s="9"/>
      <c r="F17" s="9">
        <f>Marginal_Model!J13</f>
        <v>3.4590309335568387E-12</v>
      </c>
      <c r="G17" s="9">
        <f>Marginal_Model!K13</f>
        <v>4.3626052769919598E-12</v>
      </c>
      <c r="H17" s="9">
        <f>Marginal_Model!L13</f>
        <v>6.5007884457587597E-20</v>
      </c>
      <c r="I17" s="9"/>
      <c r="J17" s="9">
        <f>Combined_Model!F13</f>
        <v>3.4590309335568355E-12</v>
      </c>
      <c r="K17" s="9">
        <f>Combined_Model!J13</f>
        <v>1.3197377510535847E-6</v>
      </c>
      <c r="L17" s="9">
        <f>Combined_Model!N13</f>
        <v>1.9665624962055514E-14</v>
      </c>
      <c r="M17" s="9"/>
    </row>
    <row r="18" spans="1:13">
      <c r="A18" s="8">
        <f>Raw_Model!C14</f>
        <v>15</v>
      </c>
      <c r="B18" s="9">
        <f>Raw_Model!G14</f>
        <v>7.5196324642539908E-14</v>
      </c>
      <c r="C18" s="9">
        <f>Raw_Model!I14</f>
        <v>2.0185359694944237E-5</v>
      </c>
      <c r="D18" s="9">
        <f>Raw_Model!K14</f>
        <v>7.5196324642539908E-14</v>
      </c>
      <c r="E18" s="9"/>
      <c r="F18" s="9">
        <f>Marginal_Model!J14</f>
        <v>7.5196324642539971E-14</v>
      </c>
      <c r="G18" s="9">
        <f>Marginal_Model!K14</f>
        <v>3.7935698060799651E-13</v>
      </c>
      <c r="H18" s="9">
        <f>Marginal_Model!L14</f>
        <v>1.4132148795127738E-21</v>
      </c>
      <c r="I18" s="9"/>
      <c r="J18" s="9">
        <f>Combined_Model!F14</f>
        <v>7.5196324642540034E-14</v>
      </c>
      <c r="K18" s="9">
        <f>Combined_Model!J14</f>
        <v>5.7522640059231845E-7</v>
      </c>
      <c r="L18" s="9">
        <f>Combined_Model!N14</f>
        <v>2.1428853295457254E-15</v>
      </c>
      <c r="M18" s="9"/>
    </row>
    <row r="21" spans="1:13" ht="12.55" customHeight="1">
      <c r="A21" s="49" t="s">
        <v>118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</row>
    <row r="22" spans="1:13" ht="19.399999999999999" customHeight="1">
      <c r="A22" s="7" t="s">
        <v>91</v>
      </c>
      <c r="B22" s="7" t="s">
        <v>106</v>
      </c>
      <c r="C22" s="7" t="s">
        <v>107</v>
      </c>
      <c r="D22" s="7" t="s">
        <v>108</v>
      </c>
      <c r="E22" s="7" t="s">
        <v>109</v>
      </c>
      <c r="F22" s="7" t="s">
        <v>110</v>
      </c>
      <c r="G22" s="7" t="s">
        <v>111</v>
      </c>
      <c r="H22" s="7" t="s">
        <v>112</v>
      </c>
      <c r="I22" s="7" t="s">
        <v>113</v>
      </c>
      <c r="J22" s="7" t="s">
        <v>114</v>
      </c>
      <c r="K22" s="7" t="s">
        <v>115</v>
      </c>
      <c r="L22" s="7" t="s">
        <v>116</v>
      </c>
      <c r="M22" s="7" t="s">
        <v>117</v>
      </c>
    </row>
    <row r="23" spans="1:13">
      <c r="A23" s="8">
        <f>Raw_Model!C2</f>
        <v>3</v>
      </c>
      <c r="B23" s="10">
        <f>Raw_Model!N2</f>
        <v>2.9339737673753432</v>
      </c>
      <c r="C23" s="10">
        <f>Raw_Model!O2</f>
        <v>3.716733106624976</v>
      </c>
      <c r="D23" s="10">
        <f>Raw_Model!P2</f>
        <v>6.4893218288647567</v>
      </c>
      <c r="E23" s="10">
        <f>Raw_Model!Q2</f>
        <v>6.3462209852240834</v>
      </c>
      <c r="F23" s="10">
        <f>Marginal_Model!N2</f>
        <v>2.9339737673753432</v>
      </c>
      <c r="G23" s="10">
        <f>Marginal_Model!O2</f>
        <v>3.716733106624976</v>
      </c>
      <c r="H23" s="10">
        <f>Marginal_Model!P2</f>
        <v>6.4893218288647567</v>
      </c>
      <c r="I23" s="10">
        <f>Marginal_Model!Q2</f>
        <v>6.3462209852240834</v>
      </c>
      <c r="J23" s="10">
        <f>Combined_Model!G2</f>
        <v>2.9339737673753432</v>
      </c>
      <c r="K23" s="10">
        <f>Combined_Model!K2</f>
        <v>3.716733106624976</v>
      </c>
      <c r="L23" s="10">
        <f>Combined_Model!O2</f>
        <v>6.4893218288647567</v>
      </c>
      <c r="M23" s="10">
        <f>Combined_Model!S2</f>
        <v>6.3462209852240834</v>
      </c>
    </row>
    <row r="24" spans="1:13">
      <c r="A24" s="8">
        <f>Raw_Model!C3</f>
        <v>4</v>
      </c>
      <c r="B24" s="10">
        <f>Raw_Model!N3</f>
        <v>4.4921183854218931</v>
      </c>
      <c r="C24" s="10">
        <f>Raw_Model!O3</f>
        <v>5.0672383598932811</v>
      </c>
      <c r="D24" s="10">
        <f>Raw_Model!P3</f>
        <v>9.2261214432529535</v>
      </c>
      <c r="E24" s="10">
        <f>Raw_Model!Q3</f>
        <v>10.389272253058634</v>
      </c>
      <c r="F24" s="10">
        <f>Marginal_Model!N3</f>
        <v>4.4921183854218931</v>
      </c>
      <c r="G24" s="10">
        <f>Marginal_Model!O3</f>
        <v>5.7603855404532265</v>
      </c>
      <c r="H24" s="10">
        <f>Marginal_Model!P3</f>
        <v>9.9192686238128989</v>
      </c>
      <c r="I24" s="10">
        <f>Marginal_Model!Q3</f>
        <v>10.389272253058634</v>
      </c>
      <c r="J24" s="10">
        <f>Combined_Model!G3</f>
        <v>4.4921183854218931</v>
      </c>
      <c r="K24" s="10">
        <f>Combined_Model!K3</f>
        <v>5.2058677960052702</v>
      </c>
      <c r="L24" s="10">
        <f>Combined_Model!O3</f>
        <v>9.3647508793649425</v>
      </c>
      <c r="M24" s="10">
        <f>Combined_Model!S3</f>
        <v>10.389272253058634</v>
      </c>
    </row>
    <row r="25" spans="1:13">
      <c r="A25" s="8">
        <f>Raw_Model!C4</f>
        <v>5</v>
      </c>
      <c r="B25" s="10">
        <f>Raw_Model!N4</f>
        <v>6.1195748033586721</v>
      </c>
      <c r="C25" s="10">
        <f>Raw_Model!O4</f>
        <v>6.1838691540640696</v>
      </c>
      <c r="D25" s="10">
        <f>Raw_Model!P4</f>
        <v>11.729046598543633</v>
      </c>
      <c r="E25" s="10"/>
      <c r="F25" s="10">
        <f>Marginal_Model!N4</f>
        <v>6.1195748033586721</v>
      </c>
      <c r="G25" s="10">
        <f>Marginal_Model!O4</f>
        <v>7.7933070664981692</v>
      </c>
      <c r="H25" s="10">
        <f>Marginal_Model!P4</f>
        <v>13.338484510977732</v>
      </c>
      <c r="I25" s="10"/>
      <c r="J25" s="10">
        <f>Combined_Model!G4</f>
        <v>6.1195748033586721</v>
      </c>
      <c r="K25" s="10">
        <f>Combined_Model!K4</f>
        <v>6.5057567365508895</v>
      </c>
      <c r="L25" s="10">
        <f>Combined_Model!O4</f>
        <v>12.050934181030453</v>
      </c>
      <c r="M25" s="10"/>
    </row>
    <row r="26" spans="1:13">
      <c r="A26" s="8">
        <f>Raw_Model!C5</f>
        <v>6</v>
      </c>
      <c r="B26" s="10">
        <f>Raw_Model!N5</f>
        <v>7.8243228955970974</v>
      </c>
      <c r="C26" s="10">
        <f>Raw_Model!O5</f>
        <v>7.1084586887529193</v>
      </c>
      <c r="D26" s="10">
        <f>Raw_Model!P5</f>
        <v>14.039930494352372</v>
      </c>
      <c r="E26" s="10"/>
      <c r="F26" s="10">
        <f>Marginal_Model!N5</f>
        <v>7.8243228955970974</v>
      </c>
      <c r="G26" s="10">
        <f>Marginal_Model!O5</f>
        <v>9.8165088898551289</v>
      </c>
      <c r="H26" s="10">
        <f>Marginal_Model!P5</f>
        <v>16.747980695454583</v>
      </c>
      <c r="I26" s="10"/>
      <c r="J26" s="10">
        <f>Combined_Model!G5</f>
        <v>7.8243228955970974</v>
      </c>
      <c r="K26" s="10">
        <f>Combined_Model!K5</f>
        <v>7.6500687289733609</v>
      </c>
      <c r="L26" s="10">
        <f>Combined_Model!O5</f>
        <v>14.581540534572813</v>
      </c>
      <c r="M26" s="10"/>
    </row>
    <row r="27" spans="1:13">
      <c r="A27" s="8">
        <f>Raw_Model!C6</f>
        <v>7</v>
      </c>
      <c r="B27" s="10">
        <f>Raw_Model!N6</f>
        <v>9.6160823648251519</v>
      </c>
      <c r="C27" s="10">
        <f>Raw_Model!O6</f>
        <v>7.8705987407998155</v>
      </c>
      <c r="D27" s="10">
        <f>Raw_Model!P6</f>
        <v>16.188364907519158</v>
      </c>
      <c r="E27" s="10"/>
      <c r="F27" s="10">
        <f>Marginal_Model!N6</f>
        <v>9.6160823648251519</v>
      </c>
      <c r="G27" s="10">
        <f>Marginal_Model!O6</f>
        <v>11.831411910397394</v>
      </c>
      <c r="H27" s="10">
        <f>Marginal_Model!P6</f>
        <v>20.149178077116737</v>
      </c>
      <c r="I27" s="10"/>
      <c r="J27" s="10">
        <f>Combined_Model!G6</f>
        <v>9.6160823648251519</v>
      </c>
      <c r="K27" s="10">
        <f>Combined_Model!K6</f>
        <v>8.6627613747193308</v>
      </c>
      <c r="L27" s="10">
        <f>Combined_Model!O6</f>
        <v>16.980527541438676</v>
      </c>
      <c r="M27" s="10"/>
    </row>
    <row r="28" spans="1:13">
      <c r="A28" s="8">
        <f>Raw_Model!C7</f>
        <v>8</v>
      </c>
      <c r="B28" s="10">
        <f>Raw_Model!N7</f>
        <v>11.506932736697438</v>
      </c>
      <c r="C28" s="10">
        <f>Raw_Model!O7</f>
        <v>8.4929377872085947</v>
      </c>
      <c r="D28" s="10">
        <f>Raw_Model!P7</f>
        <v>18.196998315047828</v>
      </c>
      <c r="E28" s="10"/>
      <c r="F28" s="10">
        <f>Marginal_Model!N7</f>
        <v>11.506932736697438</v>
      </c>
      <c r="G28" s="10">
        <f>Marginal_Model!O7</f>
        <v>13.840045317926064</v>
      </c>
      <c r="H28" s="10">
        <f>Marginal_Model!P7</f>
        <v>23.544105845765298</v>
      </c>
      <c r="I28" s="10"/>
      <c r="J28" s="10">
        <f>Combined_Model!G7</f>
        <v>11.506932736697438</v>
      </c>
      <c r="K28" s="10">
        <f>Combined_Model!K7</f>
        <v>9.5623592933520882</v>
      </c>
      <c r="L28" s="10">
        <f>Combined_Model!O7</f>
        <v>19.26641982119132</v>
      </c>
      <c r="M28" s="10"/>
    </row>
    <row r="29" spans="1:13">
      <c r="A29" s="8">
        <f>Raw_Model!C8</f>
        <v>9</v>
      </c>
      <c r="B29" s="10">
        <f>Raw_Model!N8</f>
        <v>13.512266306223552</v>
      </c>
      <c r="C29" s="10">
        <f>Raw_Model!O8</f>
        <v>8.9941939599584355</v>
      </c>
      <c r="D29" s="10">
        <f>Raw_Model!P8</f>
        <v>20.08454884891756</v>
      </c>
      <c r="E29" s="10"/>
      <c r="F29" s="10">
        <f>Marginal_Model!N8</f>
        <v>13.512266306223552</v>
      </c>
      <c r="G29" s="10">
        <f>Marginal_Model!O8</f>
        <v>15.845378887452178</v>
      </c>
      <c r="H29" s="10">
        <f>Marginal_Model!P8</f>
        <v>26.935733776411304</v>
      </c>
      <c r="I29" s="10"/>
      <c r="J29" s="10">
        <f>Combined_Model!G8</f>
        <v>13.512266306223552</v>
      </c>
      <c r="K29" s="10">
        <f>Combined_Model!K8</f>
        <v>10.364430945457183</v>
      </c>
      <c r="L29" s="10">
        <f>Combined_Model!O8</f>
        <v>21.45478583441631</v>
      </c>
      <c r="M29" s="10"/>
    </row>
    <row r="30" spans="1:13">
      <c r="A30" s="8">
        <f>Raw_Model!C9</f>
        <v>10</v>
      </c>
      <c r="B30" s="10">
        <f>Raw_Model!N9</f>
        <v>15.652332469719823</v>
      </c>
      <c r="C30" s="10">
        <f>Raw_Model!O9</f>
        <v>9.391290818396083</v>
      </c>
      <c r="D30" s="10">
        <f>Raw_Model!P9</f>
        <v>21.867940068475097</v>
      </c>
      <c r="E30" s="10"/>
      <c r="F30" s="10">
        <f>Marginal_Model!N9</f>
        <v>15.652332469719823</v>
      </c>
      <c r="G30" s="10">
        <f>Marginal_Model!O9</f>
        <v>17.851913658323927</v>
      </c>
      <c r="H30" s="10">
        <f>Marginal_Model!P9</f>
        <v>30.32856290840294</v>
      </c>
      <c r="I30" s="10"/>
      <c r="J30" s="10">
        <f>Combined_Model!G9</f>
        <v>15.652332469719823</v>
      </c>
      <c r="K30" s="10">
        <f>Combined_Model!K9</f>
        <v>11.083415386381651</v>
      </c>
      <c r="L30" s="10">
        <f>Combined_Model!O9</f>
        <v>23.560064636460663</v>
      </c>
      <c r="M30" s="10"/>
    </row>
    <row r="31" spans="1:13">
      <c r="A31" s="8">
        <f>Raw_Model!C10</f>
        <v>11</v>
      </c>
      <c r="B31" s="10">
        <f>Raw_Model!N10</f>
        <v>17.95491756271387</v>
      </c>
      <c r="C31" s="10">
        <f>Raw_Model!O10</f>
        <v>9.7014457466999229</v>
      </c>
      <c r="D31" s="10">
        <f>Raw_Model!P10</f>
        <v>23.564389357898829</v>
      </c>
      <c r="E31" s="10"/>
      <c r="F31" s="10">
        <f>Marginal_Model!N10</f>
        <v>17.95491756271387</v>
      </c>
      <c r="G31" s="10">
        <f>Marginal_Model!O10</f>
        <v>19.86681667886619</v>
      </c>
      <c r="H31" s="10">
        <f>Marginal_Model!P10</f>
        <v>33.729760290065094</v>
      </c>
      <c r="I31" s="10"/>
      <c r="J31" s="10">
        <f>Combined_Model!G10</f>
        <v>17.95491756271387</v>
      </c>
      <c r="K31" s="10">
        <f>Combined_Model!K10</f>
        <v>11.734519933133177</v>
      </c>
      <c r="L31" s="10">
        <f>Combined_Model!O10</f>
        <v>25.597463544332083</v>
      </c>
      <c r="M31" s="10"/>
    </row>
    <row r="32" spans="1:13">
      <c r="A32" s="8">
        <f>Raw_Model!C11</f>
        <v>12</v>
      </c>
      <c r="B32" s="10">
        <f>Raw_Model!N11</f>
        <v>20.460443499704606</v>
      </c>
      <c r="C32" s="10">
        <f>Raw_Model!O11</f>
        <v>9.9452085852168679</v>
      </c>
      <c r="D32" s="10">
        <f>Raw_Model!P11</f>
        <v>25.194446557535667</v>
      </c>
      <c r="E32" s="10"/>
      <c r="F32" s="10">
        <f>Marginal_Model!N11</f>
        <v>20.460443499704606</v>
      </c>
      <c r="G32" s="10">
        <f>Marginal_Model!O11</f>
        <v>21.902338986611191</v>
      </c>
      <c r="H32" s="10">
        <f>Marginal_Model!P11</f>
        <v>37.151576958929986</v>
      </c>
      <c r="I32" s="10"/>
      <c r="J32" s="10">
        <f>Combined_Model!G11</f>
        <v>20.460443499704606</v>
      </c>
      <c r="K32" s="10">
        <f>Combined_Model!K11</f>
        <v>12.336634665495732</v>
      </c>
      <c r="L32" s="10">
        <f>Combined_Model!O11</f>
        <v>27.585872637814532</v>
      </c>
      <c r="M32" s="10"/>
    </row>
    <row r="33" spans="1:13">
      <c r="A33" s="8">
        <f>Raw_Model!C12</f>
        <v>13</v>
      </c>
      <c r="B33" s="10">
        <f>Raw_Model!N12</f>
        <v>23.233032221944384</v>
      </c>
      <c r="C33" s="10">
        <f>Raw_Model!O12</f>
        <v>10.152847949995111</v>
      </c>
      <c r="D33" s="10">
        <f>Raw_Model!P12</f>
        <v>26.788380283433799</v>
      </c>
      <c r="E33" s="10"/>
      <c r="F33" s="10">
        <f>Marginal_Model!N12</f>
        <v>23.233032221944384</v>
      </c>
      <c r="G33" s="10">
        <f>Marginal_Model!O12</f>
        <v>23.981780528291026</v>
      </c>
      <c r="H33" s="10">
        <f>Marginal_Model!P12</f>
        <v>40.617312861729715</v>
      </c>
      <c r="I33" s="10"/>
      <c r="J33" s="10">
        <f>Combined_Model!G12</f>
        <v>23.233032221944384</v>
      </c>
      <c r="K33" s="10">
        <f>Combined_Model!K12</f>
        <v>12.918634465654293</v>
      </c>
      <c r="L33" s="10">
        <f>Combined_Model!O12</f>
        <v>29.554166799092982</v>
      </c>
      <c r="M33" s="10"/>
    </row>
    <row r="34" spans="1:13">
      <c r="A34" s="8">
        <f>Raw_Model!C13</f>
        <v>14</v>
      </c>
      <c r="B34" s="10">
        <f>Raw_Model!N13</f>
        <v>26.3900326430945</v>
      </c>
      <c r="C34" s="10">
        <f>Raw_Model!O13</f>
        <v>10.383108969078187</v>
      </c>
      <c r="D34" s="10">
        <f>Raw_Model!P13</f>
        <v>28.404935663636763</v>
      </c>
      <c r="E34" s="10"/>
      <c r="F34" s="10">
        <f>Marginal_Model!N13</f>
        <v>26.3900326430945</v>
      </c>
      <c r="G34" s="10">
        <f>Marginal_Model!O13</f>
        <v>26.157951696429414</v>
      </c>
      <c r="H34" s="10">
        <f>Marginal_Model!P13</f>
        <v>44.179778390987991</v>
      </c>
      <c r="I34" s="10"/>
      <c r="J34" s="10">
        <f>Combined_Model!G13</f>
        <v>26.3900326430945</v>
      </c>
      <c r="K34" s="10">
        <f>Combined_Model!K13</f>
        <v>13.538077514548432</v>
      </c>
      <c r="L34" s="10">
        <f>Combined_Model!O13</f>
        <v>31.559904209107007</v>
      </c>
      <c r="M34" s="10"/>
    </row>
    <row r="35" spans="1:13">
      <c r="A35" s="8">
        <f>Raw_Model!C14</f>
        <v>15</v>
      </c>
      <c r="B35" s="10">
        <f>Raw_Model!N14</f>
        <v>30.218674039583593</v>
      </c>
      <c r="C35" s="10">
        <f>Raw_Model!O14</f>
        <v>10.810552983905126</v>
      </c>
      <c r="D35" s="10">
        <f>Raw_Model!P14</f>
        <v>30.218674039583593</v>
      </c>
      <c r="E35" s="10"/>
      <c r="F35" s="10">
        <f>Marginal_Model!N14</f>
        <v>30.218674039583593</v>
      </c>
      <c r="G35" s="10">
        <f>Marginal_Model!O14</f>
        <v>28.600298731798617</v>
      </c>
      <c r="H35" s="10">
        <f>Marginal_Model!P14</f>
        <v>48.008419787477088</v>
      </c>
      <c r="I35" s="10"/>
      <c r="J35" s="10">
        <f>Combined_Model!G14</f>
        <v>30.218674039583593</v>
      </c>
      <c r="K35" s="10">
        <f>Combined_Model!K14</f>
        <v>14.368502133483823</v>
      </c>
      <c r="L35" s="10">
        <f>Combined_Model!O14</f>
        <v>33.776623189162294</v>
      </c>
      <c r="M35" s="10"/>
    </row>
    <row r="39" spans="1:13" ht="12.55" customHeight="1">
      <c r="A39" s="49" t="s">
        <v>119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</row>
    <row r="40" spans="1:13" ht="19.399999999999999" customHeight="1">
      <c r="A40" s="7" t="s">
        <v>91</v>
      </c>
      <c r="B40" s="7" t="s">
        <v>106</v>
      </c>
      <c r="C40" s="7" t="s">
        <v>107</v>
      </c>
      <c r="D40" s="7" t="s">
        <v>108</v>
      </c>
      <c r="E40" s="7" t="s">
        <v>109</v>
      </c>
      <c r="F40" s="7" t="s">
        <v>110</v>
      </c>
      <c r="G40" s="7" t="s">
        <v>111</v>
      </c>
      <c r="H40" s="7" t="s">
        <v>112</v>
      </c>
      <c r="I40" s="7" t="s">
        <v>113</v>
      </c>
      <c r="J40" s="7" t="s">
        <v>114</v>
      </c>
      <c r="K40" s="7" t="s">
        <v>115</v>
      </c>
      <c r="L40" s="7" t="s">
        <v>116</v>
      </c>
      <c r="M40" s="7" t="s">
        <v>117</v>
      </c>
    </row>
    <row r="41" spans="1:13">
      <c r="A41" s="8">
        <f>Raw_Model!C15</f>
        <v>3</v>
      </c>
      <c r="B41" s="9">
        <f>Raw_Model!G15</f>
        <v>3.3691225472047399E-2</v>
      </c>
      <c r="C41" s="9">
        <f>Raw_Model!I15</f>
        <v>2.4065161051462423E-2</v>
      </c>
      <c r="D41" s="9">
        <f>Raw_Model!K15</f>
        <v>9.6260644205849687E-4</v>
      </c>
      <c r="E41" s="9">
        <f>Raw_Model!M15</f>
        <v>2.2213994816734544E-3</v>
      </c>
      <c r="F41" s="9">
        <f>Marginal_Model!J15</f>
        <v>3.3691225472047399E-2</v>
      </c>
      <c r="G41" s="9">
        <f>Marginal_Model!K15</f>
        <v>2.4065161051462423E-2</v>
      </c>
      <c r="H41" s="9">
        <f>Marginal_Model!L15</f>
        <v>9.6260644205849687E-4</v>
      </c>
      <c r="I41" s="9">
        <f>Marginal_Model!M15</f>
        <v>2.2213994816734544E-3</v>
      </c>
      <c r="J41" s="9">
        <f>Combined_Model!F15</f>
        <v>3.3691225472047406E-2</v>
      </c>
      <c r="K41" s="9">
        <f>Combined_Model!J15</f>
        <v>2.4065161051462419E-2</v>
      </c>
      <c r="L41" s="9">
        <f>Combined_Model!N15</f>
        <v>9.6260644205849698E-4</v>
      </c>
      <c r="M41" s="9">
        <f>Combined_Model!R15</f>
        <v>2.2213994816734548E-3</v>
      </c>
    </row>
    <row r="42" spans="1:13">
      <c r="A42" s="8">
        <f>Raw_Model!C16</f>
        <v>4</v>
      </c>
      <c r="B42" s="9">
        <f>Raw_Model!G16</f>
        <v>5.6152042453412312E-3</v>
      </c>
      <c r="C42" s="9">
        <f>Raw_Model!I16</f>
        <v>6.1705541157595955E-3</v>
      </c>
      <c r="D42" s="9">
        <f>Raw_Model!K16</f>
        <v>4.936443292607676E-5</v>
      </c>
      <c r="E42" s="9">
        <f>Raw_Model!M16</f>
        <v>6.1705541157595955E-5</v>
      </c>
      <c r="F42" s="9">
        <f>Marginal_Model!J16</f>
        <v>5.6152042453412329E-3</v>
      </c>
      <c r="G42" s="9">
        <f>Marginal_Model!K16</f>
        <v>3.0852770578797973E-3</v>
      </c>
      <c r="H42" s="9">
        <f>Marginal_Model!L16</f>
        <v>2.468221646303838E-5</v>
      </c>
      <c r="I42" s="9">
        <f>Marginal_Model!M16</f>
        <v>6.1705541157595955E-5</v>
      </c>
      <c r="J42" s="9">
        <f>Combined_Model!F16</f>
        <v>5.6152042453412321E-3</v>
      </c>
      <c r="K42" s="9">
        <f>Combined_Model!J16</f>
        <v>5.3717793613237324E-3</v>
      </c>
      <c r="L42" s="9">
        <f>Combined_Model!N16</f>
        <v>4.2974234890589874E-5</v>
      </c>
      <c r="M42" s="9">
        <f>Combined_Model!R16</f>
        <v>6.1705541157595914E-5</v>
      </c>
    </row>
    <row r="43" spans="1:13">
      <c r="A43" s="8">
        <f>Raw_Model!C17</f>
        <v>5</v>
      </c>
      <c r="B43" s="9">
        <f>Raw_Model!G17</f>
        <v>8.6996122110920488E-4</v>
      </c>
      <c r="C43" s="9">
        <f>Raw_Model!I17</f>
        <v>1.9916694622463481E-3</v>
      </c>
      <c r="D43" s="9">
        <f>Raw_Model!K17</f>
        <v>3.1866711395941571E-6</v>
      </c>
      <c r="E43" s="9">
        <f>Raw_Model!M17</f>
        <v>8.6909212898022464E-7</v>
      </c>
      <c r="F43" s="9">
        <f>Marginal_Model!J17</f>
        <v>8.6996122110920499E-4</v>
      </c>
      <c r="G43" s="9">
        <f>Marginal_Model!K17</f>
        <v>3.9833389244926961E-4</v>
      </c>
      <c r="H43" s="9">
        <f>Marginal_Model!L17</f>
        <v>6.3733422791883147E-7</v>
      </c>
      <c r="I43" s="9">
        <f>Marginal_Model!M17</f>
        <v>8.6909212898022475E-7</v>
      </c>
      <c r="J43" s="9">
        <f>Combined_Model!F17</f>
        <v>8.6996122110920499E-4</v>
      </c>
      <c r="K43" s="9">
        <f>Combined_Model!J17</f>
        <v>1.4435215230040447E-3</v>
      </c>
      <c r="L43" s="9">
        <f>Combined_Model!N17</f>
        <v>2.3096344368064705E-6</v>
      </c>
      <c r="M43" s="9">
        <f>Combined_Model!R17</f>
        <v>8.6909212898022496E-7</v>
      </c>
    </row>
    <row r="44" spans="1:13">
      <c r="A44" s="8">
        <f>Raw_Model!C18</f>
        <v>6</v>
      </c>
      <c r="B44" s="9">
        <f>Raw_Model!G18</f>
        <v>1.2428017444417213E-4</v>
      </c>
      <c r="C44" s="9">
        <f>Raw_Model!I18</f>
        <v>7.7597511516091491E-4</v>
      </c>
      <c r="D44" s="9">
        <f>Raw_Model!K18</f>
        <v>2.4831203685149274E-7</v>
      </c>
      <c r="E44" s="9"/>
      <c r="F44" s="9">
        <f>Marginal_Model!J18</f>
        <v>1.2428017444417213E-4</v>
      </c>
      <c r="G44" s="9">
        <f>Marginal_Model!K18</f>
        <v>5.1731674344060982E-5</v>
      </c>
      <c r="H44" s="9">
        <f>Marginal_Model!L18</f>
        <v>1.6554135790099519E-8</v>
      </c>
      <c r="I44" s="9"/>
      <c r="J44" s="9">
        <f>Combined_Model!F18</f>
        <v>1.2428017444417213E-4</v>
      </c>
      <c r="K44" s="9">
        <f>Combined_Model!J18</f>
        <v>4.5147067083536663E-4</v>
      </c>
      <c r="L44" s="9">
        <f>Combined_Model!N18</f>
        <v>1.4447061466731749E-7</v>
      </c>
      <c r="M44" s="9"/>
    </row>
    <row r="45" spans="1:13">
      <c r="A45" s="8">
        <f>Raw_Model!C19</f>
        <v>7</v>
      </c>
      <c r="B45" s="9">
        <f>Raw_Model!G19</f>
        <v>1.6210457536196364E-5</v>
      </c>
      <c r="C45" s="9">
        <f>Raw_Model!I19</f>
        <v>3.542495090952003E-4</v>
      </c>
      <c r="D45" s="9">
        <f>Raw_Model!K19</f>
        <v>2.2671968582092816E-8</v>
      </c>
      <c r="E45" s="9"/>
      <c r="F45" s="9">
        <f>Marginal_Model!J19</f>
        <v>1.6210457536196364E-5</v>
      </c>
      <c r="G45" s="9">
        <f>Marginal_Model!K19</f>
        <v>6.7476096970514322E-6</v>
      </c>
      <c r="H45" s="9">
        <f>Marginal_Model!L19</f>
        <v>4.3184702061129177E-10</v>
      </c>
      <c r="I45" s="9"/>
      <c r="J45" s="9">
        <f>Combined_Model!F19</f>
        <v>1.6210457536196354E-5</v>
      </c>
      <c r="K45" s="9">
        <f>Combined_Model!J19</f>
        <v>1.6042697568705426E-4</v>
      </c>
      <c r="L45" s="9">
        <f>Combined_Model!N19</f>
        <v>1.0267326443971447E-8</v>
      </c>
      <c r="M45" s="9"/>
    </row>
    <row r="46" spans="1:13">
      <c r="A46" s="8">
        <f>Raw_Model!C20</f>
        <v>8</v>
      </c>
      <c r="B46" s="9">
        <f>Raw_Model!G20</f>
        <v>1.9071126513172191E-6</v>
      </c>
      <c r="C46" s="9">
        <f>Raw_Model!I20</f>
        <v>1.8522850148768643E-4</v>
      </c>
      <c r="D46" s="9">
        <f>Raw_Model!K20</f>
        <v>2.3709248190423861E-9</v>
      </c>
      <c r="E46" s="9"/>
      <c r="F46" s="9">
        <f>Marginal_Model!J20</f>
        <v>1.9071126513172193E-6</v>
      </c>
      <c r="G46" s="9">
        <f>Marginal_Model!K20</f>
        <v>8.8204048327469711E-7</v>
      </c>
      <c r="H46" s="9">
        <f>Marginal_Model!L20</f>
        <v>1.1290118185916125E-11</v>
      </c>
      <c r="I46" s="9"/>
      <c r="J46" s="9">
        <f>Combined_Model!F20</f>
        <v>1.9071126513172199E-6</v>
      </c>
      <c r="K46" s="9">
        <f>Combined_Model!J20</f>
        <v>6.3571718892556478E-5</v>
      </c>
      <c r="L46" s="9">
        <f>Combined_Model!N20</f>
        <v>8.1371800182472139E-10</v>
      </c>
      <c r="M46" s="9"/>
    </row>
    <row r="47" spans="1:13">
      <c r="A47" s="8">
        <f>Raw_Model!C21</f>
        <v>9</v>
      </c>
      <c r="B47" s="9">
        <f>Raw_Model!G21</f>
        <v>1.9925057551075426E-7</v>
      </c>
      <c r="C47" s="9">
        <f>Raw_Model!I21</f>
        <v>1.0885630218026348E-4</v>
      </c>
      <c r="D47" s="9">
        <f>Raw_Model!K21</f>
        <v>2.7867213358147451E-10</v>
      </c>
      <c r="E47" s="9"/>
      <c r="F47" s="9">
        <f>Marginal_Model!J21</f>
        <v>1.9925057551075426E-7</v>
      </c>
      <c r="G47" s="9">
        <f>Marginal_Model!K21</f>
        <v>1.1519185415900895E-7</v>
      </c>
      <c r="H47" s="9">
        <f>Marginal_Model!L21</f>
        <v>2.9489114664706294E-13</v>
      </c>
      <c r="I47" s="9"/>
      <c r="J47" s="9">
        <f>Combined_Model!F21</f>
        <v>1.9925057551075423E-7</v>
      </c>
      <c r="K47" s="9">
        <f>Combined_Model!J21</f>
        <v>2.7654589461879712E-5</v>
      </c>
      <c r="L47" s="9">
        <f>Combined_Model!N21</f>
        <v>7.0795749022411863E-11</v>
      </c>
      <c r="M47" s="9"/>
    </row>
    <row r="48" spans="1:13">
      <c r="A48" s="8">
        <f>Raw_Model!C22</f>
        <v>10</v>
      </c>
      <c r="B48" s="9">
        <f>Raw_Model!G22</f>
        <v>1.8113688682795842E-8</v>
      </c>
      <c r="C48" s="9">
        <f>Raw_Model!I22</f>
        <v>7.068591050666459E-5</v>
      </c>
      <c r="D48" s="9">
        <f>Raw_Model!K22</f>
        <v>3.6191186179412269E-11</v>
      </c>
      <c r="E48" s="9"/>
      <c r="F48" s="9">
        <f>Marginal_Model!J22</f>
        <v>1.8113688682795842E-8</v>
      </c>
      <c r="G48" s="9">
        <f>Marginal_Model!K22</f>
        <v>1.4959981059611549E-8</v>
      </c>
      <c r="H48" s="9">
        <f>Marginal_Model!L22</f>
        <v>7.6595103025211163E-15</v>
      </c>
      <c r="I48" s="9"/>
      <c r="J48" s="9">
        <f>Combined_Model!F22</f>
        <v>1.8113688682795868E-8</v>
      </c>
      <c r="K48" s="9">
        <f>Combined_Model!J22</f>
        <v>1.3015249382679171E-5</v>
      </c>
      <c r="L48" s="9">
        <f>Combined_Model!N22</f>
        <v>6.6638076839317455E-12</v>
      </c>
      <c r="M48" s="9"/>
    </row>
    <row r="49" spans="1:13">
      <c r="A49" s="8">
        <f>Raw_Model!C23</f>
        <v>11</v>
      </c>
      <c r="B49" s="9">
        <f>Raw_Model!G23</f>
        <v>1.3933606679073726E-9</v>
      </c>
      <c r="C49" s="9">
        <f>Raw_Model!I23</f>
        <v>4.9842629203417343E-5</v>
      </c>
      <c r="D49" s="9">
        <f>Raw_Model!K23</f>
        <v>5.1038852304299359E-12</v>
      </c>
      <c r="E49" s="9"/>
      <c r="F49" s="9">
        <f>Marginal_Model!J23</f>
        <v>1.3933606679073726E-9</v>
      </c>
      <c r="G49" s="9">
        <f>Marginal_Model!K23</f>
        <v>1.9179462896937883E-9</v>
      </c>
      <c r="H49" s="9">
        <f>Marginal_Model!L23</f>
        <v>1.9639770006464401E-16</v>
      </c>
      <c r="I49" s="9"/>
      <c r="J49" s="9">
        <f>Combined_Model!F23</f>
        <v>1.3933606679073703E-9</v>
      </c>
      <c r="K49" s="9">
        <f>Combined_Model!J23</f>
        <v>6.5260146271381905E-6</v>
      </c>
      <c r="L49" s="9">
        <f>Combined_Model!N23</f>
        <v>6.6826389781894985E-13</v>
      </c>
      <c r="M49" s="9"/>
    </row>
    <row r="50" spans="1:13">
      <c r="A50" s="8">
        <f>Raw_Model!C24</f>
        <v>12</v>
      </c>
      <c r="B50" s="9">
        <f>Raw_Model!G24</f>
        <v>8.7085041744210772E-11</v>
      </c>
      <c r="C50" s="9">
        <f>Raw_Model!I24</f>
        <v>3.7381971902562994E-5</v>
      </c>
      <c r="D50" s="9">
        <f>Raw_Model!K24</f>
        <v>7.6558278456449014E-13</v>
      </c>
      <c r="E50" s="9"/>
      <c r="F50" s="9">
        <f>Marginal_Model!J24</f>
        <v>8.7085041744210785E-11</v>
      </c>
      <c r="G50" s="9">
        <f>Marginal_Model!K24</f>
        <v>2.3974328621172353E-10</v>
      </c>
      <c r="H50" s="9">
        <f>Marginal_Model!L24</f>
        <v>4.9099425016161006E-18</v>
      </c>
      <c r="I50" s="9"/>
      <c r="J50" s="9">
        <f>Combined_Model!F24</f>
        <v>8.7085041744210927E-11</v>
      </c>
      <c r="K50" s="9">
        <f>Combined_Model!J24</f>
        <v>3.4204169992081243E-6</v>
      </c>
      <c r="L50" s="9">
        <f>Combined_Model!N24</f>
        <v>7.0050140143782347E-14</v>
      </c>
      <c r="M50" s="9"/>
    </row>
    <row r="51" spans="1:13">
      <c r="A51" s="8">
        <f>Raw_Model!C25</f>
        <v>13</v>
      </c>
      <c r="B51" s="9">
        <f>Raw_Model!G25</f>
        <v>4.146906749724323E-12</v>
      </c>
      <c r="C51" s="9">
        <f>Raw_Model!I25</f>
        <v>2.8926525876983283E-5</v>
      </c>
      <c r="D51" s="9">
        <f>Raw_Model!K25</f>
        <v>1.1848304999212352E-13</v>
      </c>
      <c r="E51" s="9"/>
      <c r="F51" s="9">
        <f>Marginal_Model!J25</f>
        <v>4.146906749724323E-12</v>
      </c>
      <c r="G51" s="9">
        <f>Marginal_Model!K25</f>
        <v>2.8540867406157561E-11</v>
      </c>
      <c r="H51" s="9">
        <f>Marginal_Model!L25</f>
        <v>1.1690339289562144E-19</v>
      </c>
      <c r="I51" s="9"/>
      <c r="J51" s="9">
        <f>Combined_Model!F25</f>
        <v>4.1469067497243165E-12</v>
      </c>
      <c r="K51" s="9">
        <f>Combined_Model!J25</f>
        <v>1.8202475510628632E-6</v>
      </c>
      <c r="L51" s="9">
        <f>Combined_Model!N25</f>
        <v>7.4557339691534894E-15</v>
      </c>
      <c r="M51" s="9"/>
    </row>
    <row r="52" spans="1:13">
      <c r="A52" s="8">
        <f>Raw_Model!C26</f>
        <v>14</v>
      </c>
      <c r="B52" s="9">
        <f>Raw_Model!G26</f>
        <v>1.3377118547497815E-13</v>
      </c>
      <c r="C52" s="9">
        <f>Raw_Model!I26</f>
        <v>2.1772653885901392E-5</v>
      </c>
      <c r="D52" s="9">
        <f>Raw_Model!K26</f>
        <v>1.783615806333042E-14</v>
      </c>
      <c r="E52" s="9"/>
      <c r="F52" s="9">
        <f>Marginal_Model!J26</f>
        <v>1.3377118547497815E-13</v>
      </c>
      <c r="G52" s="9">
        <f>Marginal_Model!K26</f>
        <v>3.0689104737803827E-12</v>
      </c>
      <c r="H52" s="9">
        <f>Marginal_Model!L26</f>
        <v>2.5140514601208912E-21</v>
      </c>
      <c r="I52" s="9"/>
      <c r="J52" s="9">
        <f>Combined_Model!F26</f>
        <v>1.3377118547497808E-13</v>
      </c>
      <c r="K52" s="9">
        <f>Combined_Model!J26</f>
        <v>9.283803483693404E-7</v>
      </c>
      <c r="L52" s="9">
        <f>Combined_Model!N26</f>
        <v>7.6052918138416306E-16</v>
      </c>
      <c r="M52" s="9"/>
    </row>
    <row r="53" spans="1:13">
      <c r="A53" s="8">
        <f>Raw_Model!C27</f>
        <v>15</v>
      </c>
      <c r="B53" s="9">
        <f>Raw_Model!G27</f>
        <v>2.1929702536881659E-15</v>
      </c>
      <c r="C53" s="9">
        <f>Raw_Model!I27</f>
        <v>1.3384828208545935E-5</v>
      </c>
      <c r="D53" s="9">
        <f>Raw_Model!K27</f>
        <v>2.1929702536881659E-15</v>
      </c>
      <c r="E53" s="9"/>
      <c r="F53" s="9">
        <f>Marginal_Model!J27</f>
        <v>2.1929702536881667E-15</v>
      </c>
      <c r="G53" s="9">
        <f>Marginal_Model!K27</f>
        <v>2.515500388344576E-13</v>
      </c>
      <c r="H53" s="9">
        <f>Marginal_Model!L27</f>
        <v>4.1213958362637565E-23</v>
      </c>
      <c r="I53" s="9"/>
      <c r="J53" s="9">
        <f>Combined_Model!F27</f>
        <v>2.1929702536881592E-15</v>
      </c>
      <c r="K53" s="9">
        <f>Combined_Model!J27</f>
        <v>3.8143023801933179E-7</v>
      </c>
      <c r="L53" s="9">
        <f>Combined_Model!N27</f>
        <v>6.2493530197087097E-17</v>
      </c>
      <c r="M53" s="9"/>
    </row>
    <row r="56" spans="1:13" ht="12.55" customHeight="1">
      <c r="A56" s="49" t="s">
        <v>120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</row>
    <row r="57" spans="1:13" ht="19.399999999999999" customHeight="1">
      <c r="A57" s="7" t="s">
        <v>91</v>
      </c>
      <c r="B57" s="7" t="s">
        <v>106</v>
      </c>
      <c r="C57" s="7" t="s">
        <v>107</v>
      </c>
      <c r="D57" s="7" t="s">
        <v>108</v>
      </c>
      <c r="E57" s="7" t="s">
        <v>109</v>
      </c>
      <c r="F57" s="7" t="s">
        <v>110</v>
      </c>
      <c r="G57" s="7" t="s">
        <v>111</v>
      </c>
      <c r="H57" s="7" t="s">
        <v>112</v>
      </c>
      <c r="I57" s="7" t="s">
        <v>113</v>
      </c>
      <c r="J57" s="7" t="s">
        <v>114</v>
      </c>
      <c r="K57" s="7" t="s">
        <v>115</v>
      </c>
      <c r="L57" s="7" t="s">
        <v>116</v>
      </c>
      <c r="M57" s="7" t="s">
        <v>117</v>
      </c>
    </row>
    <row r="58" spans="1:13">
      <c r="A58" s="8">
        <f>Raw_Model!C15</f>
        <v>3</v>
      </c>
      <c r="B58" s="10">
        <f>Raw_Model!N15</f>
        <v>3.3905178472757651</v>
      </c>
      <c r="C58" s="10">
        <f>Raw_Model!O15</f>
        <v>3.7269900838969785</v>
      </c>
      <c r="D58" s="10">
        <f>Raw_Model!P15</f>
        <v>6.9458659087651791</v>
      </c>
      <c r="E58" s="10">
        <f>Raw_Model!Q15</f>
        <v>6.1096178845645603</v>
      </c>
      <c r="F58" s="10">
        <f>Marginal_Model!N15</f>
        <v>3.3905178472757651</v>
      </c>
      <c r="G58" s="10">
        <f>Marginal_Model!O15</f>
        <v>3.7269900838969785</v>
      </c>
      <c r="H58" s="10">
        <f>Marginal_Model!P15</f>
        <v>6.9458659087651791</v>
      </c>
      <c r="I58" s="10">
        <f>Marginal_Model!Q15</f>
        <v>6.1096178845645603</v>
      </c>
      <c r="J58" s="10">
        <f>Combined_Model!G15</f>
        <v>3.3905178472757651</v>
      </c>
      <c r="K58" s="10">
        <f>Combined_Model!K15</f>
        <v>3.7269900838969785</v>
      </c>
      <c r="L58" s="10">
        <f>Combined_Model!O15</f>
        <v>6.9458659087651791</v>
      </c>
      <c r="M58" s="10">
        <f>Combined_Model!S15</f>
        <v>6.1096178845645603</v>
      </c>
    </row>
    <row r="59" spans="1:13">
      <c r="A59" s="8">
        <f>Raw_Model!C16</f>
        <v>4</v>
      </c>
      <c r="B59" s="10">
        <f>Raw_Model!N16</f>
        <v>5.1822773165038205</v>
      </c>
      <c r="C59" s="10">
        <f>Raw_Model!O16</f>
        <v>5.0879666370325793</v>
      </c>
      <c r="D59" s="10">
        <f>Raw_Model!P16</f>
        <v>9.91628037433488</v>
      </c>
      <c r="E59" s="10">
        <f>Raw_Model!Q16</f>
        <v>9.6931368230206711</v>
      </c>
      <c r="F59" s="10">
        <f>Marginal_Model!N16</f>
        <v>5.1822773165038205</v>
      </c>
      <c r="G59" s="10">
        <f>Marginal_Model!O16</f>
        <v>5.7811138175925247</v>
      </c>
      <c r="H59" s="10">
        <f>Marginal_Model!P16</f>
        <v>10.609427554894825</v>
      </c>
      <c r="I59" s="10">
        <f>Marginal_Model!Q16</f>
        <v>9.6931368230206711</v>
      </c>
      <c r="J59" s="10">
        <f>Combined_Model!G16</f>
        <v>5.1822773165038205</v>
      </c>
      <c r="K59" s="10">
        <f>Combined_Model!K16</f>
        <v>5.2265960731445684</v>
      </c>
      <c r="L59" s="10">
        <f>Combined_Model!O16</f>
        <v>10.054909810446869</v>
      </c>
      <c r="M59" s="10">
        <f>Combined_Model!S16</f>
        <v>9.6931368230206711</v>
      </c>
    </row>
    <row r="60" spans="1:13">
      <c r="A60" s="8">
        <f>Raw_Model!C17</f>
        <v>5</v>
      </c>
      <c r="B60" s="10">
        <f>Raw_Model!N17</f>
        <v>7.0470619207467653</v>
      </c>
      <c r="C60" s="10">
        <f>Raw_Model!O17</f>
        <v>6.2187820661953239</v>
      </c>
      <c r="D60" s="10">
        <f>Raw_Model!P17</f>
        <v>12.656533715931726</v>
      </c>
      <c r="E60" s="10">
        <f>Raw_Model!Q17</f>
        <v>13.955816700061986</v>
      </c>
      <c r="F60" s="10">
        <f>Marginal_Model!N17</f>
        <v>7.0470619207467653</v>
      </c>
      <c r="G60" s="10">
        <f>Marginal_Model!O17</f>
        <v>7.8282199786294244</v>
      </c>
      <c r="H60" s="10">
        <f>Marginal_Model!P17</f>
        <v>14.265971628365826</v>
      </c>
      <c r="I60" s="10">
        <f>Marginal_Model!Q17</f>
        <v>13.955816700061986</v>
      </c>
      <c r="J60" s="10">
        <f>Combined_Model!G17</f>
        <v>7.0470619207467653</v>
      </c>
      <c r="K60" s="10">
        <f>Combined_Model!K17</f>
        <v>6.5406696486821438</v>
      </c>
      <c r="L60" s="10">
        <f>Combined_Model!O17</f>
        <v>12.978421298418546</v>
      </c>
      <c r="M60" s="10">
        <f>Combined_Model!S17</f>
        <v>13.955816700061986</v>
      </c>
    </row>
    <row r="61" spans="1:13">
      <c r="A61" s="8">
        <f>Raw_Model!C18</f>
        <v>6</v>
      </c>
      <c r="B61" s="10">
        <f>Raw_Model!N18</f>
        <v>8.9929720698020787</v>
      </c>
      <c r="C61" s="10">
        <f>Raw_Model!O18</f>
        <v>7.1613901063868521</v>
      </c>
      <c r="D61" s="10">
        <f>Raw_Model!P18</f>
        <v>15.208579668557354</v>
      </c>
      <c r="E61" s="10"/>
      <c r="F61" s="10">
        <f>Marginal_Model!N18</f>
        <v>8.9929720698020787</v>
      </c>
      <c r="G61" s="10">
        <f>Marginal_Model!O18</f>
        <v>9.8694403074890626</v>
      </c>
      <c r="H61" s="10">
        <f>Marginal_Model!P18</f>
        <v>17.916629869659563</v>
      </c>
      <c r="I61" s="10"/>
      <c r="J61" s="10">
        <f>Combined_Model!G18</f>
        <v>8.9929720698020787</v>
      </c>
      <c r="K61" s="10">
        <f>Combined_Model!K18</f>
        <v>7.7030001466072937</v>
      </c>
      <c r="L61" s="10">
        <f>Combined_Model!O18</f>
        <v>15.750189708777794</v>
      </c>
      <c r="M61" s="10"/>
    </row>
    <row r="62" spans="1:13">
      <c r="A62" s="8">
        <f>Raw_Model!C19</f>
        <v>7</v>
      </c>
      <c r="B62" s="10">
        <f>Raw_Model!N19</f>
        <v>11.029853997063119</v>
      </c>
      <c r="C62" s="10">
        <f>Raw_Model!O19</f>
        <v>7.9455090651525238</v>
      </c>
      <c r="D62" s="10">
        <f>Raw_Model!P19</f>
        <v>17.602136539757126</v>
      </c>
      <c r="E62" s="10"/>
      <c r="F62" s="10">
        <f>Marginal_Model!N19</f>
        <v>11.029853997063119</v>
      </c>
      <c r="G62" s="10">
        <f>Marginal_Model!O19</f>
        <v>11.906322234750103</v>
      </c>
      <c r="H62" s="10">
        <f>Marginal_Model!P19</f>
        <v>21.562949709354704</v>
      </c>
      <c r="I62" s="10"/>
      <c r="J62" s="10">
        <f>Combined_Model!G19</f>
        <v>11.029853997063119</v>
      </c>
      <c r="K62" s="10">
        <f>Combined_Model!K19</f>
        <v>8.7376716990720382</v>
      </c>
      <c r="L62" s="10">
        <f>Combined_Model!O19</f>
        <v>18.394299173676643</v>
      </c>
      <c r="M62" s="10"/>
    </row>
    <row r="63" spans="1:13">
      <c r="A63" s="8">
        <f>Raw_Model!C20</f>
        <v>8</v>
      </c>
      <c r="B63" s="10">
        <f>Raw_Model!N20</f>
        <v>13.169920160559389</v>
      </c>
      <c r="C63" s="10">
        <f>Raw_Model!O20</f>
        <v>8.5939203518710787</v>
      </c>
      <c r="D63" s="10">
        <f>Raw_Model!P20</f>
        <v>19.859985738909781</v>
      </c>
      <c r="E63" s="10"/>
      <c r="F63" s="10">
        <f>Marginal_Model!N20</f>
        <v>13.169920160559389</v>
      </c>
      <c r="G63" s="10">
        <f>Marginal_Model!O20</f>
        <v>13.941027882588546</v>
      </c>
      <c r="H63" s="10">
        <f>Marginal_Model!P20</f>
        <v>25.207093269627251</v>
      </c>
      <c r="I63" s="10"/>
      <c r="J63" s="10">
        <f>Combined_Model!G20</f>
        <v>13.169920160559389</v>
      </c>
      <c r="K63" s="10">
        <f>Combined_Model!K20</f>
        <v>9.6633418580145722</v>
      </c>
      <c r="L63" s="10">
        <f>Combined_Model!O20</f>
        <v>20.929407245053277</v>
      </c>
      <c r="M63" s="10"/>
    </row>
    <row r="64" spans="1:13">
      <c r="A64" s="8">
        <f>Raw_Model!C21</f>
        <v>9</v>
      </c>
      <c r="B64" s="10">
        <f>Raw_Model!N21</f>
        <v>15.428702630895042</v>
      </c>
      <c r="C64" s="10">
        <f>Raw_Model!O21</f>
        <v>9.1254818741162467</v>
      </c>
      <c r="D64" s="10">
        <f>Raw_Model!P21</f>
        <v>22.000985173589051</v>
      </c>
      <c r="E64" s="10"/>
      <c r="F64" s="10">
        <f>Marginal_Model!N21</f>
        <v>15.428702630895042</v>
      </c>
      <c r="G64" s="10">
        <f>Marginal_Model!O21</f>
        <v>15.976666801609991</v>
      </c>
      <c r="H64" s="10">
        <f>Marginal_Model!P21</f>
        <v>28.852170101082791</v>
      </c>
      <c r="I64" s="10"/>
      <c r="J64" s="10">
        <f>Combined_Model!G21</f>
        <v>15.428702630895042</v>
      </c>
      <c r="K64" s="10">
        <f>Combined_Model!K21</f>
        <v>10.495718859614994</v>
      </c>
      <c r="L64" s="10">
        <f>Combined_Model!O21</f>
        <v>23.3712221590878</v>
      </c>
      <c r="M64" s="10"/>
    </row>
    <row r="65" spans="1:13">
      <c r="A65" s="8">
        <f>Raw_Model!C22</f>
        <v>10</v>
      </c>
      <c r="B65" s="10">
        <f>Raw_Model!N22</f>
        <v>17.826597903693411</v>
      </c>
      <c r="C65" s="10">
        <f>Raw_Model!O22</f>
        <v>9.5572642905417844</v>
      </c>
      <c r="D65" s="10">
        <f>Raw_Model!P22</f>
        <v>24.042205502448688</v>
      </c>
      <c r="E65" s="10"/>
      <c r="F65" s="10">
        <f>Marginal_Model!N22</f>
        <v>17.826597903693411</v>
      </c>
      <c r="G65" s="10">
        <f>Marginal_Model!O22</f>
        <v>18.017887130469628</v>
      </c>
      <c r="H65" s="10">
        <f>Marginal_Model!P22</f>
        <v>32.502828342376532</v>
      </c>
      <c r="I65" s="10"/>
      <c r="J65" s="10">
        <f>Combined_Model!G22</f>
        <v>17.826597903693411</v>
      </c>
      <c r="K65" s="10">
        <f>Combined_Model!K22</f>
        <v>11.249388858527352</v>
      </c>
      <c r="L65" s="10">
        <f>Combined_Model!O22</f>
        <v>25.734330070434254</v>
      </c>
      <c r="M65" s="10"/>
    </row>
    <row r="66" spans="1:13">
      <c r="A66" s="8">
        <f>Raw_Model!C23</f>
        <v>11</v>
      </c>
      <c r="B66" s="10">
        <f>Raw_Model!N23</f>
        <v>20.391547261154951</v>
      </c>
      <c r="C66" s="10">
        <f>Raw_Model!O23</f>
        <v>9.9066399319989049</v>
      </c>
      <c r="D66" s="10">
        <f>Raw_Model!P23</f>
        <v>26.00101905633991</v>
      </c>
      <c r="E66" s="10"/>
      <c r="F66" s="10">
        <f>Marginal_Model!N23</f>
        <v>20.391547261154951</v>
      </c>
      <c r="G66" s="10">
        <f>Marginal_Model!O23</f>
        <v>20.072010864165176</v>
      </c>
      <c r="H66" s="10">
        <f>Marginal_Model!P23</f>
        <v>36.166389988506175</v>
      </c>
      <c r="I66" s="10"/>
      <c r="J66" s="10">
        <f>Combined_Model!G23</f>
        <v>20.391547261154951</v>
      </c>
      <c r="K66" s="10">
        <f>Combined_Model!K23</f>
        <v>11.939714118432159</v>
      </c>
      <c r="L66" s="10">
        <f>Combined_Model!O23</f>
        <v>28.034093242773164</v>
      </c>
      <c r="M66" s="10"/>
    </row>
    <row r="67" spans="1:13">
      <c r="A67" s="8">
        <f>Raw_Model!C24</f>
        <v>12</v>
      </c>
      <c r="B67" s="10">
        <f>Raw_Model!N24</f>
        <v>23.164135983394729</v>
      </c>
      <c r="C67" s="10">
        <f>Raw_Model!O24</f>
        <v>10.194322004450687</v>
      </c>
      <c r="D67" s="10">
        <f>Raw_Model!P24</f>
        <v>27.898139041225789</v>
      </c>
      <c r="E67" s="10"/>
      <c r="F67" s="10">
        <f>Marginal_Model!N24</f>
        <v>23.164135983394729</v>
      </c>
      <c r="G67" s="10">
        <f>Marginal_Model!O24</f>
        <v>22.15145240584501</v>
      </c>
      <c r="H67" s="10">
        <f>Marginal_Model!P24</f>
        <v>39.855269442620113</v>
      </c>
      <c r="I67" s="10"/>
      <c r="J67" s="10">
        <f>Combined_Model!G24</f>
        <v>23.164135983394729</v>
      </c>
      <c r="K67" s="10">
        <f>Combined_Model!K24</f>
        <v>12.58574808472955</v>
      </c>
      <c r="L67" s="10">
        <f>Combined_Model!O24</f>
        <v>30.289565121504655</v>
      </c>
      <c r="M67" s="10"/>
    </row>
    <row r="68" spans="1:13">
      <c r="A68" s="8">
        <f>Raw_Model!C25</f>
        <v>13</v>
      </c>
      <c r="B68" s="10">
        <f>Raw_Model!N25</f>
        <v>26.208658421118155</v>
      </c>
      <c r="C68" s="10">
        <f>Raw_Model!O25</f>
        <v>10.450751533398362</v>
      </c>
      <c r="D68" s="10">
        <f>Raw_Model!P25</f>
        <v>29.764006482607567</v>
      </c>
      <c r="E68" s="10"/>
      <c r="F68" s="10">
        <f>Marginal_Model!N25</f>
        <v>26.208658421118155</v>
      </c>
      <c r="G68" s="10">
        <f>Marginal_Model!O25</f>
        <v>24.279684111694277</v>
      </c>
      <c r="H68" s="10">
        <f>Marginal_Model!P25</f>
        <v>43.592939060903483</v>
      </c>
      <c r="I68" s="10"/>
      <c r="J68" s="10">
        <f>Combined_Model!G25</f>
        <v>26.208658421118155</v>
      </c>
      <c r="K68" s="10">
        <f>Combined_Model!K25</f>
        <v>13.216538049057545</v>
      </c>
      <c r="L68" s="10">
        <f>Combined_Model!O25</f>
        <v>32.52979299826675</v>
      </c>
      <c r="M68" s="10"/>
    </row>
    <row r="69" spans="1:13">
      <c r="A69" s="8">
        <f>Raw_Model!C26</f>
        <v>14</v>
      </c>
      <c r="B69" s="10">
        <f>Raw_Model!N26</f>
        <v>29.642645625603301</v>
      </c>
      <c r="C69" s="10">
        <f>Raw_Model!O26</f>
        <v>10.73485578450226</v>
      </c>
      <c r="D69" s="10">
        <f>Raw_Model!P26</f>
        <v>31.657548646145564</v>
      </c>
      <c r="E69" s="10"/>
      <c r="F69" s="10">
        <f>Marginal_Model!N26</f>
        <v>29.642645625603301</v>
      </c>
      <c r="G69" s="10">
        <f>Marginal_Model!O26</f>
        <v>26.50969851185349</v>
      </c>
      <c r="H69" s="10">
        <f>Marginal_Model!P26</f>
        <v>47.432391373496792</v>
      </c>
      <c r="I69" s="10"/>
      <c r="J69" s="10">
        <f>Combined_Model!G26</f>
        <v>29.642645625603301</v>
      </c>
      <c r="K69" s="10">
        <f>Combined_Model!K26</f>
        <v>13.889824329972505</v>
      </c>
      <c r="L69" s="10">
        <f>Combined_Model!O26</f>
        <v>34.812517191615811</v>
      </c>
      <c r="M69" s="10"/>
    </row>
    <row r="70" spans="1:13">
      <c r="A70" s="8">
        <f>Raw_Model!C27</f>
        <v>15</v>
      </c>
      <c r="B70" s="10">
        <f>Raw_Model!N27</f>
        <v>33.753519489776615</v>
      </c>
      <c r="C70" s="10">
        <f>Raw_Model!O27</f>
        <v>11.221388715699206</v>
      </c>
      <c r="D70" s="10">
        <f>Raw_Model!P27</f>
        <v>33.753519489776615</v>
      </c>
      <c r="E70" s="10"/>
      <c r="F70" s="10">
        <f>Marginal_Model!N27</f>
        <v>33.753519489776615</v>
      </c>
      <c r="G70" s="10">
        <f>Marginal_Model!O27</f>
        <v>29.0111344635927</v>
      </c>
      <c r="H70" s="10">
        <f>Marginal_Model!P27</f>
        <v>51.543265237670106</v>
      </c>
      <c r="I70" s="10"/>
      <c r="J70" s="10">
        <f>Combined_Model!G27</f>
        <v>33.753519489776615</v>
      </c>
      <c r="K70" s="10">
        <f>Combined_Model!K27</f>
        <v>14.779337865277903</v>
      </c>
      <c r="L70" s="10">
        <f>Combined_Model!O27</f>
        <v>37.311468639355311</v>
      </c>
      <c r="M70" s="10"/>
    </row>
    <row r="72" spans="1:13">
      <c r="A72" s="28" t="s">
        <v>121</v>
      </c>
      <c r="B72" s="28" t="s">
        <v>122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</row>
  </sheetData>
  <mergeCells count="6">
    <mergeCell ref="A56:M56"/>
    <mergeCell ref="A1:M1"/>
    <mergeCell ref="A2:M2"/>
    <mergeCell ref="A4:M4"/>
    <mergeCell ref="A21:M21"/>
    <mergeCell ref="A39:M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7"/>
  <sheetViews>
    <sheetView workbookViewId="0"/>
  </sheetViews>
  <sheetFormatPr defaultRowHeight="14.15"/>
  <cols>
    <col min="1" max="1" width="4.2109375" customWidth="1"/>
    <col min="2" max="2" width="8.2109375" customWidth="1"/>
    <col min="3" max="3" width="11.85546875" customWidth="1"/>
    <col min="4" max="4" width="4.85546875" customWidth="1"/>
    <col min="5" max="5" width="10.2109375" customWidth="1"/>
    <col min="6" max="6" width="5.7109375" customWidth="1"/>
    <col min="7" max="7" width="10.7109375" customWidth="1"/>
    <col min="8" max="8" width="6.640625" customWidth="1"/>
    <col min="9" max="9" width="8.35546875" customWidth="1"/>
    <col min="10" max="12" width="10.2109375" customWidth="1"/>
    <col min="13" max="13" width="11.5" customWidth="1"/>
    <col min="14" max="14" width="11.640625" customWidth="1"/>
    <col min="15" max="15" width="11.5" customWidth="1"/>
    <col min="16" max="16" width="12.5" customWidth="1"/>
    <col min="17" max="17" width="14.2109375" customWidth="1"/>
    <col min="18" max="21" width="10.2109375" customWidth="1"/>
  </cols>
  <sheetData>
    <row r="1" spans="1:21" ht="28.3">
      <c r="A1" s="12" t="s">
        <v>28</v>
      </c>
      <c r="B1" s="12" t="s">
        <v>29</v>
      </c>
      <c r="C1" s="12" t="s">
        <v>123</v>
      </c>
      <c r="D1" s="12" t="s">
        <v>30</v>
      </c>
      <c r="E1" s="12" t="s">
        <v>31</v>
      </c>
      <c r="F1" s="16" t="s">
        <v>124</v>
      </c>
      <c r="G1" s="16" t="s">
        <v>125</v>
      </c>
      <c r="H1" s="16" t="s">
        <v>126</v>
      </c>
      <c r="I1" s="16" t="s">
        <v>127</v>
      </c>
      <c r="J1" s="17" t="s">
        <v>128</v>
      </c>
      <c r="K1" s="17" t="s">
        <v>129</v>
      </c>
      <c r="L1" s="17" t="s">
        <v>130</v>
      </c>
      <c r="M1" s="17" t="s">
        <v>131</v>
      </c>
      <c r="N1" s="17" t="s">
        <v>132</v>
      </c>
      <c r="O1" s="17" t="s">
        <v>133</v>
      </c>
      <c r="P1" s="17" t="s">
        <v>134</v>
      </c>
      <c r="Q1" s="17" t="s">
        <v>135</v>
      </c>
      <c r="R1" s="18" t="s">
        <v>136</v>
      </c>
      <c r="S1" s="18" t="s">
        <v>137</v>
      </c>
      <c r="T1" s="18" t="s">
        <v>138</v>
      </c>
      <c r="U1" s="18" t="s">
        <v>139</v>
      </c>
    </row>
    <row r="2" spans="1:21">
      <c r="A2">
        <v>1</v>
      </c>
      <c r="B2">
        <f>IF(A2=1,Inputs!$B$5,Inputs!$B$6)</f>
        <v>4</v>
      </c>
      <c r="C2">
        <f>Inputs!$B$9</f>
        <v>15</v>
      </c>
      <c r="D2">
        <v>3</v>
      </c>
      <c r="E2">
        <f>B2*Inputs!$B$4</f>
        <v>60</v>
      </c>
      <c r="F2">
        <f>B2*COMBIN(Inputs!$B$4,D2)</f>
        <v>1820.0000000000002</v>
      </c>
      <c r="G2">
        <f>(Inputs!$B$4-D2+1)*B2^D2</f>
        <v>832</v>
      </c>
      <c r="H2">
        <f>B2*(Inputs!$B$4-D2+1)</f>
        <v>52</v>
      </c>
      <c r="I2">
        <f>IF(D2&lt;=B2,Inputs!$B$4*COMBIN(B2,D2),"")</f>
        <v>60</v>
      </c>
      <c r="J2">
        <f t="shared" ref="J2:J27" si="0">IF(C2&lt;D2,0,F2*COMBIN(E2-D2,C2-D2)/COMBIN(E2,C2))</f>
        <v>24.199298655756863</v>
      </c>
      <c r="K2">
        <f t="shared" ref="K2:K27" si="1">IF(C2&lt;D2,0,G2*COMBIN(E2-D2,C2-D2)/COMBIN(E2,C2))</f>
        <v>11.062536528345992</v>
      </c>
      <c r="L2">
        <f t="shared" ref="L2:L27" si="2">IF(C2&lt;D2,0,H2*COMBIN(E2-D2,C2-D2)/COMBIN(E2,C2))</f>
        <v>0.69140853302162453</v>
      </c>
      <c r="M2">
        <f t="shared" ref="M2:M27" si="3">IF(I2="","",IF(C2&lt;D2,0,I2*COMBIN(E2-D2,C2-D2)/COMBIN(E2,C2)))</f>
        <v>0.79777907656341307</v>
      </c>
      <c r="N2">
        <f t="shared" ref="N2:N27" si="4">IF(D2&gt;C2,"",IF(J2&lt;0.00000001,J2,1-EXP(-J2)))</f>
        <v>0.99999999996907007</v>
      </c>
      <c r="O2">
        <f t="shared" ref="O2:O27" si="5">IF(D2&gt;C2,"",IF(K2&lt;0.00000001,K2,1-EXP(-K2)))</f>
        <v>0.99998431077721828</v>
      </c>
      <c r="P2">
        <f t="shared" ref="P2:P27" si="6">IF(D2&gt;C2,"",IF(L2&lt;0.00000001,L2,1-EXP(-L2)))</f>
        <v>0.49912992006885437</v>
      </c>
      <c r="Q2">
        <f t="shared" ref="Q2:Q27" si="7">IF(OR(D2&gt;C2,D2&gt;B2),"",IF(M2&lt;0.00000001,M2,1-EXP(-M2)))</f>
        <v>0.54967200167703711</v>
      </c>
      <c r="R2">
        <f t="shared" ref="R2:R27" si="8">IF(D2&gt;C2,"",-LN(N2))</f>
        <v>3.0929925288115491E-11</v>
      </c>
      <c r="S2">
        <f t="shared" ref="S2:S27" si="9">IF(D2&gt;C2,"",-LN(O2))</f>
        <v>1.5689345858865983E-5</v>
      </c>
      <c r="T2">
        <f t="shared" ref="T2:T27" si="10">IF(D2&gt;C2,"",-LN(P2))</f>
        <v>0.69488885625919738</v>
      </c>
      <c r="U2">
        <f t="shared" ref="U2:U27" si="11">IF(OR(D2&gt;C2,D2&gt;B2),"",-LN(Q2))</f>
        <v>0.59843353923653009</v>
      </c>
    </row>
    <row r="3" spans="1:21">
      <c r="A3">
        <v>1</v>
      </c>
      <c r="B3">
        <f>IF(A3=1,Inputs!$B$5,Inputs!$B$6)</f>
        <v>4</v>
      </c>
      <c r="C3">
        <f>Inputs!$B$9</f>
        <v>15</v>
      </c>
      <c r="D3">
        <v>4</v>
      </c>
      <c r="E3">
        <f>B3*Inputs!$B$4</f>
        <v>60</v>
      </c>
      <c r="F3">
        <f>B3*COMBIN(Inputs!$B$4,D3)</f>
        <v>5460</v>
      </c>
      <c r="G3">
        <f>(Inputs!$B$4-D3+1)*B3^D3</f>
        <v>3072</v>
      </c>
      <c r="H3">
        <f>B3*(Inputs!$B$4-D3+1)</f>
        <v>48</v>
      </c>
      <c r="I3">
        <f>IF(D3&lt;=B3,Inputs!$B$4*COMBIN(B3,D3),"")</f>
        <v>15</v>
      </c>
      <c r="J3">
        <f t="shared" si="0"/>
        <v>15.283767572056965</v>
      </c>
      <c r="K3">
        <f t="shared" si="1"/>
        <v>8.5992186779045774</v>
      </c>
      <c r="L3">
        <f t="shared" si="2"/>
        <v>0.13436279184225902</v>
      </c>
      <c r="M3">
        <f t="shared" si="3"/>
        <v>4.1988372450705948E-2</v>
      </c>
      <c r="N3">
        <f t="shared" si="4"/>
        <v>0.99999976967340842</v>
      </c>
      <c r="O3">
        <f t="shared" si="5"/>
        <v>0.99981575030419834</v>
      </c>
      <c r="P3">
        <f t="shared" si="6"/>
        <v>0.12572717198852157</v>
      </c>
      <c r="Q3">
        <f t="shared" si="7"/>
        <v>4.1119070057055507E-2</v>
      </c>
      <c r="R3">
        <f t="shared" si="8"/>
        <v>2.3032661810224149E-7</v>
      </c>
      <c r="S3">
        <f t="shared" si="9"/>
        <v>1.8426667186211991E-4</v>
      </c>
      <c r="T3">
        <f t="shared" si="10"/>
        <v>2.073641021364272</v>
      </c>
      <c r="U3">
        <f t="shared" si="11"/>
        <v>3.191283273434939</v>
      </c>
    </row>
    <row r="4" spans="1:21">
      <c r="A4">
        <v>1</v>
      </c>
      <c r="B4">
        <f>IF(A4=1,Inputs!$B$5,Inputs!$B$6)</f>
        <v>4</v>
      </c>
      <c r="C4">
        <f>Inputs!$B$9</f>
        <v>15</v>
      </c>
      <c r="D4">
        <v>5</v>
      </c>
      <c r="E4">
        <f>B4*Inputs!$B$4</f>
        <v>60</v>
      </c>
      <c r="F4">
        <f>B4*COMBIN(Inputs!$B$4,D4)</f>
        <v>12012</v>
      </c>
      <c r="G4">
        <f>(Inputs!$B$4-D4+1)*B4^D4</f>
        <v>11264</v>
      </c>
      <c r="H4">
        <f>B4*(Inputs!$B$4-D4+1)</f>
        <v>44</v>
      </c>
      <c r="I4" t="str">
        <f>IF(D4&lt;=B4,Inputs!$B$4*COMBIN(B4,D4),"")</f>
        <v/>
      </c>
      <c r="J4">
        <f t="shared" si="0"/>
        <v>6.6047709864960451</v>
      </c>
      <c r="K4">
        <f t="shared" si="1"/>
        <v>6.1934848811098444</v>
      </c>
      <c r="L4">
        <f t="shared" si="2"/>
        <v>2.419330031683533E-2</v>
      </c>
      <c r="M4" t="str">
        <f t="shared" si="3"/>
        <v/>
      </c>
      <c r="N4">
        <f t="shared" si="4"/>
        <v>0.99864610680202093</v>
      </c>
      <c r="O4">
        <f t="shared" si="5"/>
        <v>0.99795730421674655</v>
      </c>
      <c r="P4">
        <f t="shared" si="6"/>
        <v>2.3902988340820053E-2</v>
      </c>
      <c r="Q4" t="str">
        <f t="shared" si="7"/>
        <v/>
      </c>
      <c r="R4">
        <f t="shared" si="8"/>
        <v>1.354810539456582E-3</v>
      </c>
      <c r="S4">
        <f t="shared" si="9"/>
        <v>2.0447849317662948E-3</v>
      </c>
      <c r="T4">
        <f t="shared" si="10"/>
        <v>3.7337517926801636</v>
      </c>
      <c r="U4" t="str">
        <f t="shared" si="11"/>
        <v/>
      </c>
    </row>
    <row r="5" spans="1:21">
      <c r="A5">
        <v>1</v>
      </c>
      <c r="B5">
        <f>IF(A5=1,Inputs!$B$5,Inputs!$B$6)</f>
        <v>4</v>
      </c>
      <c r="C5">
        <f>Inputs!$B$9</f>
        <v>15</v>
      </c>
      <c r="D5">
        <v>6</v>
      </c>
      <c r="E5">
        <f>B5*Inputs!$B$4</f>
        <v>60</v>
      </c>
      <c r="F5">
        <f>B5*COMBIN(Inputs!$B$4,D5)</f>
        <v>20020</v>
      </c>
      <c r="G5">
        <f>(Inputs!$B$4-D5+1)*B5^D5</f>
        <v>40960</v>
      </c>
      <c r="H5">
        <f>B5*(Inputs!$B$4-D5+1)</f>
        <v>40</v>
      </c>
      <c r="I5" t="str">
        <f>IF(D5&lt;=B5,Inputs!$B$4*COMBIN(B5,D5),"")</f>
        <v/>
      </c>
      <c r="J5">
        <f t="shared" si="0"/>
        <v>2.0014457534836496</v>
      </c>
      <c r="K5">
        <f t="shared" si="1"/>
        <v>4.0948660370974164</v>
      </c>
      <c r="L5">
        <f t="shared" si="2"/>
        <v>3.9988926143529457E-3</v>
      </c>
      <c r="M5" t="str">
        <f t="shared" si="3"/>
        <v/>
      </c>
      <c r="N5">
        <f t="shared" si="4"/>
        <v>0.86486023684960811</v>
      </c>
      <c r="O5">
        <f t="shared" si="5"/>
        <v>0.98334202231551537</v>
      </c>
      <c r="P5">
        <f t="shared" si="6"/>
        <v>3.9909076904460772E-3</v>
      </c>
      <c r="Q5" t="str">
        <f t="shared" si="7"/>
        <v/>
      </c>
      <c r="R5">
        <f t="shared" si="8"/>
        <v>0.14518736100145593</v>
      </c>
      <c r="S5">
        <f t="shared" si="9"/>
        <v>1.6798282102354206E-2</v>
      </c>
      <c r="T5">
        <f t="shared" si="10"/>
        <v>5.5237365826127274</v>
      </c>
      <c r="U5" t="str">
        <f t="shared" si="11"/>
        <v/>
      </c>
    </row>
    <row r="6" spans="1:21">
      <c r="A6">
        <v>1</v>
      </c>
      <c r="B6">
        <f>IF(A6=1,Inputs!$B$5,Inputs!$B$6)</f>
        <v>4</v>
      </c>
      <c r="C6">
        <f>Inputs!$B$9</f>
        <v>15</v>
      </c>
      <c r="D6">
        <v>7</v>
      </c>
      <c r="E6">
        <f>B6*Inputs!$B$4</f>
        <v>60</v>
      </c>
      <c r="F6">
        <f>B6*COMBIN(Inputs!$B$4,D6)</f>
        <v>25739.999999999996</v>
      </c>
      <c r="G6">
        <f>(Inputs!$B$4-D6+1)*B6^D6</f>
        <v>147456</v>
      </c>
      <c r="H6">
        <f>B6*(Inputs!$B$4-D6+1)</f>
        <v>36</v>
      </c>
      <c r="I6" t="str">
        <f>IF(D6&lt;=B6,Inputs!$B$4*COMBIN(B6,D6),"")</f>
        <v/>
      </c>
      <c r="J6">
        <f t="shared" si="0"/>
        <v>0.42888123288935348</v>
      </c>
      <c r="K6">
        <f t="shared" si="1"/>
        <v>2.4569196222584502</v>
      </c>
      <c r="L6">
        <f t="shared" si="2"/>
        <v>5.9983389215294194E-4</v>
      </c>
      <c r="M6" t="str">
        <f t="shared" si="3"/>
        <v/>
      </c>
      <c r="N6">
        <f t="shared" si="4"/>
        <v>0.34876272984291867</v>
      </c>
      <c r="O6">
        <f t="shared" si="5"/>
        <v>0.9143014713603892</v>
      </c>
      <c r="P6">
        <f t="shared" si="6"/>
        <v>5.9965402776851473E-4</v>
      </c>
      <c r="Q6" t="str">
        <f t="shared" si="7"/>
        <v/>
      </c>
      <c r="R6">
        <f t="shared" si="8"/>
        <v>1.0533634451710172</v>
      </c>
      <c r="S6">
        <f t="shared" si="9"/>
        <v>8.9594924537770293E-2</v>
      </c>
      <c r="T6">
        <f t="shared" si="10"/>
        <v>7.4191576894434057</v>
      </c>
      <c r="U6" t="str">
        <f t="shared" si="11"/>
        <v/>
      </c>
    </row>
    <row r="7" spans="1:21">
      <c r="A7">
        <v>1</v>
      </c>
      <c r="B7">
        <f>IF(A7=1,Inputs!$B$5,Inputs!$B$6)</f>
        <v>4</v>
      </c>
      <c r="C7">
        <f>Inputs!$B$9</f>
        <v>15</v>
      </c>
      <c r="D7">
        <v>8</v>
      </c>
      <c r="E7">
        <f>B7*Inputs!$B$4</f>
        <v>60</v>
      </c>
      <c r="F7">
        <f>B7*COMBIN(Inputs!$B$4,D7)</f>
        <v>25739.999999999996</v>
      </c>
      <c r="G7">
        <f>(Inputs!$B$4-D7+1)*B7^D7</f>
        <v>524288</v>
      </c>
      <c r="H7">
        <f>B7*(Inputs!$B$4-D7+1)</f>
        <v>32</v>
      </c>
      <c r="I7" t="str">
        <f>IF(D7&lt;=B7,Inputs!$B$4*COMBIN(B7,D7),"")</f>
        <v/>
      </c>
      <c r="J7">
        <f t="shared" si="0"/>
        <v>6.4736789870091085E-2</v>
      </c>
      <c r="K7">
        <f t="shared" si="1"/>
        <v>1.3185983716942626</v>
      </c>
      <c r="L7">
        <f t="shared" si="2"/>
        <v>8.0480857647354897E-5</v>
      </c>
      <c r="M7" t="str">
        <f t="shared" si="3"/>
        <v/>
      </c>
      <c r="N7">
        <f t="shared" si="4"/>
        <v>6.2685858511162817E-2</v>
      </c>
      <c r="O7">
        <f t="shared" si="5"/>
        <v>0.73249001110889378</v>
      </c>
      <c r="P7">
        <f t="shared" si="6"/>
        <v>8.0477619149976753E-5</v>
      </c>
      <c r="Q7" t="str">
        <f t="shared" si="7"/>
        <v/>
      </c>
      <c r="R7">
        <f t="shared" si="8"/>
        <v>2.769619398868421</v>
      </c>
      <c r="S7">
        <f t="shared" si="9"/>
        <v>0.31130557489530331</v>
      </c>
      <c r="T7">
        <f t="shared" si="10"/>
        <v>9.4275314351769666</v>
      </c>
      <c r="U7" t="str">
        <f t="shared" si="11"/>
        <v/>
      </c>
    </row>
    <row r="8" spans="1:21">
      <c r="A8">
        <v>1</v>
      </c>
      <c r="B8">
        <f>IF(A8=1,Inputs!$B$5,Inputs!$B$6)</f>
        <v>4</v>
      </c>
      <c r="C8">
        <f>Inputs!$B$9</f>
        <v>15</v>
      </c>
      <c r="D8">
        <v>9</v>
      </c>
      <c r="E8">
        <f>B8*Inputs!$B$4</f>
        <v>60</v>
      </c>
      <c r="F8">
        <f>B8*COMBIN(Inputs!$B$4,D8)</f>
        <v>20020</v>
      </c>
      <c r="G8">
        <f>(Inputs!$B$4-D8+1)*B8^D8</f>
        <v>1835008</v>
      </c>
      <c r="H8">
        <f>B8*(Inputs!$B$4-D8+1)</f>
        <v>28</v>
      </c>
      <c r="I8" t="str">
        <f>IF(D8&lt;=B8,Inputs!$B$4*COMBIN(B8,D8),"")</f>
        <v/>
      </c>
      <c r="J8">
        <f t="shared" si="0"/>
        <v>6.77799722998817E-3</v>
      </c>
      <c r="K8">
        <f t="shared" si="1"/>
        <v>0.62126269435595061</v>
      </c>
      <c r="L8">
        <f t="shared" si="2"/>
        <v>9.4797164055778596E-6</v>
      </c>
      <c r="M8" t="str">
        <f t="shared" si="3"/>
        <v/>
      </c>
      <c r="N8">
        <f t="shared" si="4"/>
        <v>6.7550784172143441E-3</v>
      </c>
      <c r="O8">
        <f t="shared" si="5"/>
        <v>0.46273439314242737</v>
      </c>
      <c r="P8">
        <f t="shared" si="6"/>
        <v>9.4796714732447995E-6</v>
      </c>
      <c r="Q8" t="str">
        <f t="shared" si="7"/>
        <v/>
      </c>
      <c r="R8">
        <f t="shared" si="8"/>
        <v>4.9974606988713539</v>
      </c>
      <c r="S8">
        <f t="shared" si="9"/>
        <v>0.77060205442374252</v>
      </c>
      <c r="T8">
        <f t="shared" si="10"/>
        <v>11.566360897018845</v>
      </c>
      <c r="U8" t="str">
        <f t="shared" si="11"/>
        <v/>
      </c>
    </row>
    <row r="9" spans="1:21">
      <c r="A9">
        <v>1</v>
      </c>
      <c r="B9">
        <f>IF(A9=1,Inputs!$B$5,Inputs!$B$6)</f>
        <v>4</v>
      </c>
      <c r="C9">
        <f>Inputs!$B$9</f>
        <v>15</v>
      </c>
      <c r="D9">
        <v>10</v>
      </c>
      <c r="E9">
        <f>B9*Inputs!$B$4</f>
        <v>60</v>
      </c>
      <c r="F9">
        <f>B9*COMBIN(Inputs!$B$4,D9)</f>
        <v>12012</v>
      </c>
      <c r="G9">
        <f>(Inputs!$B$4-D9+1)*B9^D9</f>
        <v>6291456</v>
      </c>
      <c r="H9">
        <f>B9*(Inputs!$B$4-D9+1)</f>
        <v>24</v>
      </c>
      <c r="I9" t="str">
        <f>IF(D9&lt;=B9,Inputs!$B$4*COMBIN(B9,D9),"")</f>
        <v/>
      </c>
      <c r="J9">
        <f t="shared" si="0"/>
        <v>4.784468632932825E-4</v>
      </c>
      <c r="K9">
        <f t="shared" si="1"/>
        <v>0.25059335570660191</v>
      </c>
      <c r="L9">
        <f t="shared" si="2"/>
        <v>9.5593778879776728E-7</v>
      </c>
      <c r="M9" t="str">
        <f t="shared" si="3"/>
        <v/>
      </c>
      <c r="N9">
        <f t="shared" si="4"/>
        <v>4.7833242584427449E-4</v>
      </c>
      <c r="O9">
        <f t="shared" si="5"/>
        <v>0.22166118574806515</v>
      </c>
      <c r="P9">
        <f t="shared" si="6"/>
        <v>9.5593733184795582E-7</v>
      </c>
      <c r="Q9" t="str">
        <f t="shared" si="7"/>
        <v/>
      </c>
      <c r="R9">
        <f t="shared" si="8"/>
        <v>7.6452046156301323</v>
      </c>
      <c r="S9">
        <f t="shared" si="9"/>
        <v>1.5066052532486622</v>
      </c>
      <c r="T9">
        <f t="shared" si="10"/>
        <v>13.860573478503964</v>
      </c>
      <c r="U9" t="str">
        <f t="shared" si="11"/>
        <v/>
      </c>
    </row>
    <row r="10" spans="1:21">
      <c r="A10">
        <v>1</v>
      </c>
      <c r="B10">
        <f>IF(A10=1,Inputs!$B$5,Inputs!$B$6)</f>
        <v>4</v>
      </c>
      <c r="C10">
        <f>Inputs!$B$9</f>
        <v>15</v>
      </c>
      <c r="D10">
        <v>11</v>
      </c>
      <c r="E10">
        <f>B10*Inputs!$B$4</f>
        <v>60</v>
      </c>
      <c r="F10">
        <f>B10*COMBIN(Inputs!$B$4,D10)</f>
        <v>5460</v>
      </c>
      <c r="G10">
        <f>(Inputs!$B$4-D10+1)*B10^D10</f>
        <v>20971520</v>
      </c>
      <c r="H10">
        <f>B10*(Inputs!$B$4-D10+1)</f>
        <v>20</v>
      </c>
      <c r="I10" t="str">
        <f>IF(D10&lt;=B10,Inputs!$B$4*COMBIN(B10,D10),"")</f>
        <v/>
      </c>
      <c r="J10">
        <f t="shared" si="0"/>
        <v>2.1747584695149204E-5</v>
      </c>
      <c r="K10">
        <f t="shared" si="1"/>
        <v>8.3531118568867302E-2</v>
      </c>
      <c r="L10">
        <f t="shared" si="2"/>
        <v>7.966148239981394E-8</v>
      </c>
      <c r="M10" t="str">
        <f t="shared" si="3"/>
        <v/>
      </c>
      <c r="N10">
        <f t="shared" si="4"/>
        <v>2.1747348218137397E-5</v>
      </c>
      <c r="O10">
        <f t="shared" si="5"/>
        <v>8.0137538577503831E-2</v>
      </c>
      <c r="P10">
        <f t="shared" si="6"/>
        <v>7.9661479190917817E-8</v>
      </c>
      <c r="Q10" t="str">
        <f t="shared" si="7"/>
        <v/>
      </c>
      <c r="R10">
        <f t="shared" si="8"/>
        <v>10.736018728867728</v>
      </c>
      <c r="S10">
        <f t="shared" si="9"/>
        <v>2.5240108882774708</v>
      </c>
      <c r="T10">
        <f t="shared" si="10"/>
        <v>16.345479690561422</v>
      </c>
      <c r="U10" t="str">
        <f t="shared" si="11"/>
        <v/>
      </c>
    </row>
    <row r="11" spans="1:21">
      <c r="A11">
        <v>1</v>
      </c>
      <c r="B11">
        <f>IF(A11=1,Inputs!$B$5,Inputs!$B$6)</f>
        <v>4</v>
      </c>
      <c r="C11">
        <f>Inputs!$B$9</f>
        <v>15</v>
      </c>
      <c r="D11">
        <v>12</v>
      </c>
      <c r="E11">
        <f>B11*Inputs!$B$4</f>
        <v>60</v>
      </c>
      <c r="F11">
        <f>B11*COMBIN(Inputs!$B$4,D11)</f>
        <v>1820.0000000000002</v>
      </c>
      <c r="G11">
        <f>(Inputs!$B$4-D11+1)*B11^D11</f>
        <v>67108864</v>
      </c>
      <c r="H11">
        <f>B11*(Inputs!$B$4-D11+1)</f>
        <v>16</v>
      </c>
      <c r="I11" t="str">
        <f>IF(D11&lt;=B11,Inputs!$B$4*COMBIN(B11,D11),"")</f>
        <v/>
      </c>
      <c r="J11">
        <f t="shared" si="0"/>
        <v>5.9177101211290354E-7</v>
      </c>
      <c r="K11">
        <f t="shared" si="1"/>
        <v>2.1820373830234722E-2</v>
      </c>
      <c r="L11">
        <f t="shared" si="2"/>
        <v>5.2023825240694813E-9</v>
      </c>
      <c r="M11" t="str">
        <f t="shared" si="3"/>
        <v/>
      </c>
      <c r="N11">
        <f t="shared" si="4"/>
        <v>5.9177083699957223E-7</v>
      </c>
      <c r="O11">
        <f t="shared" si="5"/>
        <v>2.1584031619577559E-2</v>
      </c>
      <c r="P11">
        <f t="shared" si="6"/>
        <v>5.2023825240694813E-9</v>
      </c>
      <c r="Q11" t="str">
        <f t="shared" si="7"/>
        <v/>
      </c>
      <c r="R11">
        <f t="shared" si="8"/>
        <v>14.340146376667706</v>
      </c>
      <c r="S11">
        <f t="shared" si="9"/>
        <v>3.8358015145633271</v>
      </c>
      <c r="T11">
        <f t="shared" si="10"/>
        <v>19.074149138584716</v>
      </c>
      <c r="U11" t="str">
        <f t="shared" si="11"/>
        <v/>
      </c>
    </row>
    <row r="12" spans="1:21">
      <c r="A12">
        <v>1</v>
      </c>
      <c r="B12">
        <f>IF(A12=1,Inputs!$B$5,Inputs!$B$6)</f>
        <v>4</v>
      </c>
      <c r="C12">
        <f>Inputs!$B$9</f>
        <v>15</v>
      </c>
      <c r="D12">
        <v>13</v>
      </c>
      <c r="E12">
        <f>B12*Inputs!$B$4</f>
        <v>60</v>
      </c>
      <c r="F12">
        <f>B12*COMBIN(Inputs!$B$4,D12)</f>
        <v>420</v>
      </c>
      <c r="G12">
        <f>(Inputs!$B$4-D12+1)*B12^D12</f>
        <v>201326592</v>
      </c>
      <c r="H12">
        <f>B12*(Inputs!$B$4-D12+1)</f>
        <v>12</v>
      </c>
      <c r="I12" t="str">
        <f>IF(D12&lt;=B12,Inputs!$B$4*COMBIN(B12,D12),"")</f>
        <v/>
      </c>
      <c r="J12">
        <f t="shared" si="0"/>
        <v>8.5351588285514931E-9</v>
      </c>
      <c r="K12">
        <f t="shared" si="1"/>
        <v>4.0913200931690106E-3</v>
      </c>
      <c r="L12">
        <f t="shared" si="2"/>
        <v>2.4386168081575695E-10</v>
      </c>
      <c r="M12" t="str">
        <f t="shared" si="3"/>
        <v/>
      </c>
      <c r="N12">
        <f t="shared" si="4"/>
        <v>8.5351588285514931E-9</v>
      </c>
      <c r="O12">
        <f t="shared" si="5"/>
        <v>4.0829620454846394E-3</v>
      </c>
      <c r="P12">
        <f t="shared" si="6"/>
        <v>2.4386168081575695E-10</v>
      </c>
      <c r="Q12" t="str">
        <f t="shared" si="7"/>
        <v/>
      </c>
      <c r="R12">
        <f t="shared" si="8"/>
        <v>18.579071871786862</v>
      </c>
      <c r="S12">
        <f t="shared" si="9"/>
        <v>5.5009325624300933</v>
      </c>
      <c r="T12">
        <f t="shared" si="10"/>
        <v>22.134419933276277</v>
      </c>
      <c r="U12" t="str">
        <f t="shared" si="11"/>
        <v/>
      </c>
    </row>
    <row r="13" spans="1:21">
      <c r="A13">
        <v>1</v>
      </c>
      <c r="B13">
        <f>IF(A13=1,Inputs!$B$5,Inputs!$B$6)</f>
        <v>4</v>
      </c>
      <c r="C13">
        <f>Inputs!$B$9</f>
        <v>15</v>
      </c>
      <c r="D13">
        <v>14</v>
      </c>
      <c r="E13">
        <f>B13*Inputs!$B$4</f>
        <v>60</v>
      </c>
      <c r="F13">
        <f>B13*COMBIN(Inputs!$B$4,D13)</f>
        <v>60</v>
      </c>
      <c r="G13">
        <f>(Inputs!$B$4-D13+1)*B13^D13</f>
        <v>536870912</v>
      </c>
      <c r="H13">
        <f>B13*(Inputs!$B$4-D13+1)</f>
        <v>8</v>
      </c>
      <c r="I13" t="str">
        <f>IF(D13&lt;=B13,Inputs!$B$4*COMBIN(B13,D13),"")</f>
        <v/>
      </c>
      <c r="J13">
        <f t="shared" si="0"/>
        <v>5.1885464003352544E-11</v>
      </c>
      <c r="K13">
        <f t="shared" si="1"/>
        <v>4.6426327298371747E-4</v>
      </c>
      <c r="L13">
        <f t="shared" si="2"/>
        <v>6.9180618671136717E-12</v>
      </c>
      <c r="M13" t="str">
        <f t="shared" si="3"/>
        <v/>
      </c>
      <c r="N13">
        <f t="shared" si="4"/>
        <v>5.1885464003352544E-11</v>
      </c>
      <c r="O13">
        <f t="shared" si="5"/>
        <v>4.6415551946632494E-4</v>
      </c>
      <c r="P13">
        <f t="shared" si="6"/>
        <v>6.9180618671136717E-12</v>
      </c>
      <c r="Q13" t="str">
        <f t="shared" si="7"/>
        <v/>
      </c>
      <c r="R13">
        <f t="shared" si="8"/>
        <v>23.68198244199229</v>
      </c>
      <c r="S13">
        <f t="shared" si="9"/>
        <v>7.6752908906317279</v>
      </c>
      <c r="T13">
        <f t="shared" si="10"/>
        <v>25.696885462534553</v>
      </c>
      <c r="U13" t="str">
        <f t="shared" si="11"/>
        <v/>
      </c>
    </row>
    <row r="14" spans="1:21">
      <c r="A14">
        <v>1</v>
      </c>
      <c r="B14">
        <f>IF(A14=1,Inputs!$B$5,Inputs!$B$6)</f>
        <v>4</v>
      </c>
      <c r="C14">
        <f>Inputs!$B$9</f>
        <v>15</v>
      </c>
      <c r="D14">
        <v>15</v>
      </c>
      <c r="E14">
        <f>B14*Inputs!$B$4</f>
        <v>60</v>
      </c>
      <c r="F14">
        <f>B14*COMBIN(Inputs!$B$4,D14)</f>
        <v>4</v>
      </c>
      <c r="G14">
        <f>(Inputs!$B$4-D14+1)*B14^D14</f>
        <v>1073741824</v>
      </c>
      <c r="H14">
        <f>B14*(Inputs!$B$4-D14+1)</f>
        <v>4</v>
      </c>
      <c r="I14" t="str">
        <f>IF(D14&lt;=B14,Inputs!$B$4*COMBIN(B14,D14),"")</f>
        <v/>
      </c>
      <c r="J14">
        <f t="shared" si="0"/>
        <v>7.5196324642539908E-14</v>
      </c>
      <c r="K14">
        <f t="shared" si="1"/>
        <v>2.0185359694944237E-5</v>
      </c>
      <c r="L14">
        <f t="shared" si="2"/>
        <v>7.5196324642539908E-14</v>
      </c>
      <c r="M14" t="str">
        <f t="shared" si="3"/>
        <v/>
      </c>
      <c r="N14">
        <f t="shared" si="4"/>
        <v>7.5196324642539908E-14</v>
      </c>
      <c r="O14">
        <f t="shared" si="5"/>
        <v>2.0185155971907953E-5</v>
      </c>
      <c r="P14">
        <f t="shared" si="6"/>
        <v>7.5196324642539908E-14</v>
      </c>
      <c r="Q14" t="str">
        <f t="shared" si="7"/>
        <v/>
      </c>
      <c r="R14">
        <f t="shared" si="8"/>
        <v>30.218674039583593</v>
      </c>
      <c r="S14">
        <f t="shared" si="9"/>
        <v>10.810563076569682</v>
      </c>
      <c r="T14">
        <f t="shared" si="10"/>
        <v>30.218674039583593</v>
      </c>
      <c r="U14" t="str">
        <f t="shared" si="11"/>
        <v/>
      </c>
    </row>
    <row r="15" spans="1:21">
      <c r="A15">
        <v>2</v>
      </c>
      <c r="B15">
        <f>IF(A15=1,Inputs!$B$5,Inputs!$B$6)</f>
        <v>5</v>
      </c>
      <c r="C15">
        <f>Inputs!$B$9</f>
        <v>15</v>
      </c>
      <c r="D15">
        <v>3</v>
      </c>
      <c r="E15">
        <f>B15*Inputs!$B$4</f>
        <v>75</v>
      </c>
      <c r="F15">
        <f>B15*COMBIN(Inputs!$B$4,D15)</f>
        <v>2275.0000000000005</v>
      </c>
      <c r="G15">
        <f>(Inputs!$B$4-D15+1)*B15^D15</f>
        <v>1625</v>
      </c>
      <c r="H15">
        <f>B15*(Inputs!$B$4-D15+1)</f>
        <v>65</v>
      </c>
      <c r="I15">
        <f>IF(D15&lt;=B15,Inputs!$B$4*COMBIN(B15,D15),"")</f>
        <v>150</v>
      </c>
      <c r="J15">
        <f t="shared" si="0"/>
        <v>15.329507589781565</v>
      </c>
      <c r="K15">
        <f t="shared" si="1"/>
        <v>10.949648278415403</v>
      </c>
      <c r="L15">
        <f t="shared" si="2"/>
        <v>0.4379859311366161</v>
      </c>
      <c r="M15">
        <f t="shared" si="3"/>
        <v>1.0107367641614218</v>
      </c>
      <c r="N15">
        <f t="shared" si="4"/>
        <v>0.9999997799712439</v>
      </c>
      <c r="O15">
        <f t="shared" si="5"/>
        <v>0.99998243580807977</v>
      </c>
      <c r="P15">
        <f t="shared" si="6"/>
        <v>0.35466513807856237</v>
      </c>
      <c r="Q15">
        <f t="shared" si="7"/>
        <v>0.63604926509087356</v>
      </c>
      <c r="R15">
        <f t="shared" si="8"/>
        <v>2.2002878031015974E-7</v>
      </c>
      <c r="S15">
        <f t="shared" si="9"/>
        <v>1.756434617245252E-5</v>
      </c>
      <c r="T15">
        <f t="shared" si="10"/>
        <v>1.0365812076868104</v>
      </c>
      <c r="U15">
        <f t="shared" si="11"/>
        <v>0.45247925780724357</v>
      </c>
    </row>
    <row r="16" spans="1:21">
      <c r="A16">
        <v>2</v>
      </c>
      <c r="B16">
        <f>IF(A16=1,Inputs!$B$5,Inputs!$B$6)</f>
        <v>5</v>
      </c>
      <c r="C16">
        <f>Inputs!$B$9</f>
        <v>15</v>
      </c>
      <c r="D16">
        <v>4</v>
      </c>
      <c r="E16">
        <f>B16*Inputs!$B$4</f>
        <v>75</v>
      </c>
      <c r="F16">
        <f>B16*COMBIN(Inputs!$B$4,D16)</f>
        <v>6825</v>
      </c>
      <c r="G16">
        <f>(Inputs!$B$4-D16+1)*B16^D16</f>
        <v>7500</v>
      </c>
      <c r="H16">
        <f>B16*(Inputs!$B$4-D16+1)</f>
        <v>60</v>
      </c>
      <c r="I16">
        <f>IF(D16&lt;=B16,Inputs!$B$4*COMBIN(B16,D16),"")</f>
        <v>75</v>
      </c>
      <c r="J16">
        <f t="shared" si="0"/>
        <v>7.6647537948907809</v>
      </c>
      <c r="K16">
        <f t="shared" si="1"/>
        <v>8.4228063680118481</v>
      </c>
      <c r="L16">
        <f t="shared" si="2"/>
        <v>6.7382450944094785E-2</v>
      </c>
      <c r="M16">
        <f t="shared" si="3"/>
        <v>8.4228063680118467E-2</v>
      </c>
      <c r="N16">
        <f t="shared" si="4"/>
        <v>0.99953092777095853</v>
      </c>
      <c r="O16">
        <f t="shared" si="5"/>
        <v>0.99978020304465232</v>
      </c>
      <c r="P16">
        <f t="shared" si="6"/>
        <v>6.5162396564701353E-2</v>
      </c>
      <c r="Q16">
        <f t="shared" si="7"/>
        <v>8.077840887136567E-2</v>
      </c>
      <c r="R16">
        <f t="shared" si="8"/>
        <v>4.6918227783473033E-4</v>
      </c>
      <c r="S16">
        <f t="shared" si="9"/>
        <v>2.1982111423857285E-4</v>
      </c>
      <c r="T16">
        <f t="shared" si="10"/>
        <v>2.7308727162330997</v>
      </c>
      <c r="U16">
        <f t="shared" si="11"/>
        <v>2.5160455661024388</v>
      </c>
    </row>
    <row r="17" spans="1:21">
      <c r="A17">
        <v>2</v>
      </c>
      <c r="B17">
        <f>IF(A17=1,Inputs!$B$5,Inputs!$B$6)</f>
        <v>5</v>
      </c>
      <c r="C17">
        <f>Inputs!$B$9</f>
        <v>15</v>
      </c>
      <c r="D17">
        <v>5</v>
      </c>
      <c r="E17">
        <f>B17*Inputs!$B$4</f>
        <v>75</v>
      </c>
      <c r="F17">
        <f>B17*COMBIN(Inputs!$B$4,D17)</f>
        <v>15015</v>
      </c>
      <c r="G17">
        <f>(Inputs!$B$4-D17+1)*B17^D17</f>
        <v>34375</v>
      </c>
      <c r="H17">
        <f>B17*(Inputs!$B$4-D17+1)</f>
        <v>55</v>
      </c>
      <c r="I17">
        <f>IF(D17&lt;=B17,Inputs!$B$4*COMBIN(B17,D17),"")</f>
        <v>15</v>
      </c>
      <c r="J17">
        <f t="shared" si="0"/>
        <v>2.6124935469909421</v>
      </c>
      <c r="K17">
        <f t="shared" si="1"/>
        <v>5.9809833951257829</v>
      </c>
      <c r="L17">
        <f t="shared" si="2"/>
        <v>9.5695734322012536E-3</v>
      </c>
      <c r="M17">
        <f t="shared" si="3"/>
        <v>2.6098836633276145E-3</v>
      </c>
      <c r="N17">
        <f t="shared" si="4"/>
        <v>0.92664858965648977</v>
      </c>
      <c r="O17">
        <f t="shared" si="5"/>
        <v>0.9974736593208503</v>
      </c>
      <c r="P17">
        <f t="shared" si="6"/>
        <v>9.5239307739855006E-3</v>
      </c>
      <c r="Q17">
        <f t="shared" si="7"/>
        <v>2.6064808778946125E-3</v>
      </c>
      <c r="R17">
        <f t="shared" si="8"/>
        <v>7.6180868720778103E-2</v>
      </c>
      <c r="S17">
        <f t="shared" si="9"/>
        <v>2.5295372626708825E-3</v>
      </c>
      <c r="T17">
        <f t="shared" si="10"/>
        <v>4.6539476189700881</v>
      </c>
      <c r="U17">
        <f t="shared" si="11"/>
        <v>5.9497542900981548</v>
      </c>
    </row>
    <row r="18" spans="1:21">
      <c r="A18">
        <v>2</v>
      </c>
      <c r="B18">
        <f>IF(A18=1,Inputs!$B$5,Inputs!$B$6)</f>
        <v>5</v>
      </c>
      <c r="C18">
        <f>Inputs!$B$9</f>
        <v>15</v>
      </c>
      <c r="D18">
        <v>6</v>
      </c>
      <c r="E18">
        <f>B18*Inputs!$B$4</f>
        <v>75</v>
      </c>
      <c r="F18">
        <f>B18*COMBIN(Inputs!$B$4,D18)</f>
        <v>25025</v>
      </c>
      <c r="G18">
        <f>(Inputs!$B$4-D18+1)*B18^D18</f>
        <v>156250</v>
      </c>
      <c r="H18">
        <f>B18*(Inputs!$B$4-D18+1)</f>
        <v>50</v>
      </c>
      <c r="I18" t="str">
        <f>IF(D18&lt;=B18,Inputs!$B$4*COMBIN(B18,D18),"")</f>
        <v/>
      </c>
      <c r="J18">
        <f t="shared" si="0"/>
        <v>0.62202227309308145</v>
      </c>
      <c r="K18">
        <f t="shared" si="1"/>
        <v>3.8837554513803787</v>
      </c>
      <c r="L18">
        <f t="shared" si="2"/>
        <v>1.2428017444417211E-3</v>
      </c>
      <c r="M18" t="str">
        <f t="shared" si="3"/>
        <v/>
      </c>
      <c r="N18">
        <f t="shared" si="4"/>
        <v>0.46314233372247893</v>
      </c>
      <c r="O18">
        <f t="shared" si="5"/>
        <v>0.97942658254676562</v>
      </c>
      <c r="P18">
        <f t="shared" si="6"/>
        <v>1.2420297861838181E-3</v>
      </c>
      <c r="Q18" t="str">
        <f t="shared" si="7"/>
        <v/>
      </c>
      <c r="R18">
        <f t="shared" si="8"/>
        <v>0.76972085589134098</v>
      </c>
      <c r="S18">
        <f t="shared" si="9"/>
        <v>2.0787998417182398E-2</v>
      </c>
      <c r="T18">
        <f t="shared" si="10"/>
        <v>6.6910083133237874</v>
      </c>
      <c r="U18" t="str">
        <f t="shared" si="11"/>
        <v/>
      </c>
    </row>
    <row r="19" spans="1:21">
      <c r="A19">
        <v>2</v>
      </c>
      <c r="B19">
        <f>IF(A19=1,Inputs!$B$5,Inputs!$B$6)</f>
        <v>5</v>
      </c>
      <c r="C19">
        <f>Inputs!$B$9</f>
        <v>15</v>
      </c>
      <c r="D19">
        <v>7</v>
      </c>
      <c r="E19">
        <f>B19*Inputs!$B$4</f>
        <v>75</v>
      </c>
      <c r="F19">
        <f>B19*COMBIN(Inputs!$B$4,D19)</f>
        <v>32174.999999999996</v>
      </c>
      <c r="G19">
        <f>(Inputs!$B$4-D19+1)*B19^D19</f>
        <v>703125</v>
      </c>
      <c r="H19">
        <f>B19*(Inputs!$B$4-D19+1)</f>
        <v>45</v>
      </c>
      <c r="I19" t="str">
        <f>IF(D19&lt;=B19,Inputs!$B$4*COMBIN(B19,D19),"")</f>
        <v/>
      </c>
      <c r="J19">
        <f t="shared" si="0"/>
        <v>0.10431429424542359</v>
      </c>
      <c r="K19">
        <f t="shared" si="1"/>
        <v>2.2795955910276136</v>
      </c>
      <c r="L19">
        <f t="shared" si="2"/>
        <v>1.4589411782576727E-4</v>
      </c>
      <c r="M19" t="str">
        <f t="shared" si="3"/>
        <v/>
      </c>
      <c r="N19">
        <f t="shared" si="4"/>
        <v>9.9057907996357053E-2</v>
      </c>
      <c r="O19">
        <f t="shared" si="5"/>
        <v>0.8976744202682877</v>
      </c>
      <c r="P19">
        <f t="shared" si="6"/>
        <v>1.458834757964711E-4</v>
      </c>
      <c r="Q19" t="str">
        <f t="shared" si="7"/>
        <v/>
      </c>
      <c r="R19">
        <f t="shared" si="8"/>
        <v>2.3120506705958523</v>
      </c>
      <c r="S19">
        <f t="shared" si="9"/>
        <v>0.10794783736950339</v>
      </c>
      <c r="T19">
        <f t="shared" si="10"/>
        <v>8.832702365899145</v>
      </c>
      <c r="U19" t="str">
        <f t="shared" si="11"/>
        <v/>
      </c>
    </row>
    <row r="20" spans="1:21">
      <c r="A20">
        <v>2</v>
      </c>
      <c r="B20">
        <f>IF(A20=1,Inputs!$B$5,Inputs!$B$6)</f>
        <v>5</v>
      </c>
      <c r="C20">
        <f>Inputs!$B$9</f>
        <v>15</v>
      </c>
      <c r="D20">
        <v>8</v>
      </c>
      <c r="E20">
        <f>B20*Inputs!$B$4</f>
        <v>75</v>
      </c>
      <c r="F20">
        <f>B20*COMBIN(Inputs!$B$4,D20)</f>
        <v>32174.999999999996</v>
      </c>
      <c r="G20">
        <f>(Inputs!$B$4-D20+1)*B20^D20</f>
        <v>3125000</v>
      </c>
      <c r="H20">
        <f>B20*(Inputs!$B$4-D20+1)</f>
        <v>40</v>
      </c>
      <c r="I20" t="str">
        <f>IF(D20&lt;=B20,Inputs!$B$4*COMBIN(B20,D20),"")</f>
        <v/>
      </c>
      <c r="J20">
        <f t="shared" si="0"/>
        <v>1.2272269911226303E-2</v>
      </c>
      <c r="K20">
        <f t="shared" si="1"/>
        <v>1.191945407073262</v>
      </c>
      <c r="L20">
        <f t="shared" si="2"/>
        <v>1.5256901210537754E-5</v>
      </c>
      <c r="M20" t="str">
        <f t="shared" si="3"/>
        <v/>
      </c>
      <c r="N20">
        <f t="shared" si="4"/>
        <v>1.2197272715614216E-2</v>
      </c>
      <c r="O20">
        <f t="shared" si="5"/>
        <v>0.69636999482615825</v>
      </c>
      <c r="P20">
        <f t="shared" si="6"/>
        <v>1.5256784824613234E-5</v>
      </c>
      <c r="Q20" t="str">
        <f t="shared" si="7"/>
        <v/>
      </c>
      <c r="R20">
        <f t="shared" si="8"/>
        <v>4.4065429001339567</v>
      </c>
      <c r="S20">
        <f t="shared" si="9"/>
        <v>0.36187415813615531</v>
      </c>
      <c r="T20">
        <f t="shared" si="10"/>
        <v>11.090486247320404</v>
      </c>
      <c r="U20" t="str">
        <f t="shared" si="11"/>
        <v/>
      </c>
    </row>
    <row r="21" spans="1:21">
      <c r="A21">
        <v>2</v>
      </c>
      <c r="B21">
        <f>IF(A21=1,Inputs!$B$5,Inputs!$B$6)</f>
        <v>5</v>
      </c>
      <c r="C21">
        <f>Inputs!$B$9</f>
        <v>15</v>
      </c>
      <c r="D21">
        <v>9</v>
      </c>
      <c r="E21">
        <f>B21*Inputs!$B$4</f>
        <v>75</v>
      </c>
      <c r="F21">
        <f>B21*COMBIN(Inputs!$B$4,D21)</f>
        <v>25025</v>
      </c>
      <c r="G21">
        <f>(Inputs!$B$4-D21+1)*B21^D21</f>
        <v>13671875</v>
      </c>
      <c r="H21">
        <f>B21*(Inputs!$B$4-D21+1)</f>
        <v>35</v>
      </c>
      <c r="I21" t="str">
        <f>IF(D21&lt;=B21,Inputs!$B$4*COMBIN(B21,D21),"")</f>
        <v/>
      </c>
      <c r="J21">
        <f t="shared" si="0"/>
        <v>9.9724913043132499E-4</v>
      </c>
      <c r="K21">
        <f t="shared" si="1"/>
        <v>0.54482579241221862</v>
      </c>
      <c r="L21">
        <f t="shared" si="2"/>
        <v>1.3947540285752797E-6</v>
      </c>
      <c r="M21" t="str">
        <f t="shared" si="3"/>
        <v/>
      </c>
      <c r="N21">
        <f t="shared" si="4"/>
        <v>9.9675204277105411E-4</v>
      </c>
      <c r="O21">
        <f t="shared" si="5"/>
        <v>0.42005719502267069</v>
      </c>
      <c r="P21">
        <f t="shared" si="6"/>
        <v>1.3947530559388355E-6</v>
      </c>
      <c r="Q21" t="str">
        <f t="shared" si="7"/>
        <v/>
      </c>
      <c r="R21">
        <f t="shared" si="8"/>
        <v>6.9110085222732023</v>
      </c>
      <c r="S21">
        <f t="shared" si="9"/>
        <v>0.86736439835078394</v>
      </c>
      <c r="T21">
        <f t="shared" si="10"/>
        <v>13.482793179193358</v>
      </c>
      <c r="U21" t="str">
        <f t="shared" si="11"/>
        <v/>
      </c>
    </row>
    <row r="22" spans="1:21">
      <c r="A22">
        <v>2</v>
      </c>
      <c r="B22">
        <f>IF(A22=1,Inputs!$B$5,Inputs!$B$6)</f>
        <v>5</v>
      </c>
      <c r="C22">
        <f>Inputs!$B$9</f>
        <v>15</v>
      </c>
      <c r="D22">
        <v>10</v>
      </c>
      <c r="E22">
        <f>B22*Inputs!$B$4</f>
        <v>75</v>
      </c>
      <c r="F22">
        <f>B22*COMBIN(Inputs!$B$4,D22)</f>
        <v>15015</v>
      </c>
      <c r="G22">
        <f>(Inputs!$B$4-D22+1)*B22^D22</f>
        <v>58593750</v>
      </c>
      <c r="H22">
        <f>B22*(Inputs!$B$4-D22+1)</f>
        <v>30</v>
      </c>
      <c r="I22" t="str">
        <f>IF(D22&lt;=B22,Inputs!$B$4*COMBIN(B22,D22),"")</f>
        <v/>
      </c>
      <c r="J22">
        <f t="shared" si="0"/>
        <v>5.439540711443591E-5</v>
      </c>
      <c r="K22">
        <f t="shared" si="1"/>
        <v>0.21226978925151377</v>
      </c>
      <c r="L22">
        <f t="shared" si="2"/>
        <v>1.0868213209677505E-7</v>
      </c>
      <c r="M22" t="str">
        <f t="shared" si="3"/>
        <v/>
      </c>
      <c r="N22">
        <f t="shared" si="4"/>
        <v>5.4393927711116064E-5</v>
      </c>
      <c r="O22">
        <f t="shared" si="5"/>
        <v>0.19125352297565568</v>
      </c>
      <c r="P22">
        <f t="shared" si="6"/>
        <v>1.0868212618753148E-7</v>
      </c>
      <c r="Q22" t="str">
        <f t="shared" si="7"/>
        <v/>
      </c>
      <c r="R22">
        <f t="shared" si="8"/>
        <v>9.819258033290108</v>
      </c>
      <c r="S22">
        <f t="shared" si="9"/>
        <v>1.6541553856574103</v>
      </c>
      <c r="T22">
        <f t="shared" si="10"/>
        <v>16.034838488837163</v>
      </c>
      <c r="U22" t="str">
        <f t="shared" si="11"/>
        <v/>
      </c>
    </row>
    <row r="23" spans="1:21">
      <c r="A23">
        <v>2</v>
      </c>
      <c r="B23">
        <f>IF(A23=1,Inputs!$B$5,Inputs!$B$6)</f>
        <v>5</v>
      </c>
      <c r="C23">
        <f>Inputs!$B$9</f>
        <v>15</v>
      </c>
      <c r="D23">
        <v>11</v>
      </c>
      <c r="E23">
        <f>B23*Inputs!$B$4</f>
        <v>75</v>
      </c>
      <c r="F23">
        <f>B23*COMBIN(Inputs!$B$4,D23)</f>
        <v>6825</v>
      </c>
      <c r="G23">
        <f>(Inputs!$B$4-D23+1)*B23^D23</f>
        <v>244140625</v>
      </c>
      <c r="H23">
        <f>B23*(Inputs!$B$4-D23+1)</f>
        <v>25</v>
      </c>
      <c r="I23" t="str">
        <f>IF(D23&lt;=B23,Inputs!$B$4*COMBIN(B23,D23),"")</f>
        <v/>
      </c>
      <c r="J23">
        <f t="shared" si="0"/>
        <v>1.9019373116935629E-6</v>
      </c>
      <c r="K23">
        <f t="shared" si="1"/>
        <v>6.8035188862664658E-2</v>
      </c>
      <c r="L23">
        <f t="shared" si="2"/>
        <v>6.9668033395368607E-9</v>
      </c>
      <c r="M23" t="str">
        <f t="shared" si="3"/>
        <v/>
      </c>
      <c r="N23">
        <f t="shared" si="4"/>
        <v>1.9019355029792351E-6</v>
      </c>
      <c r="O23">
        <f t="shared" si="5"/>
        <v>6.5772401407864112E-2</v>
      </c>
      <c r="P23">
        <f t="shared" si="6"/>
        <v>6.9668033395368607E-9</v>
      </c>
      <c r="Q23" t="str">
        <f t="shared" si="7"/>
        <v/>
      </c>
      <c r="R23">
        <f t="shared" si="8"/>
        <v>13.172638504521592</v>
      </c>
      <c r="S23">
        <f t="shared" si="9"/>
        <v>2.7215549601282838</v>
      </c>
      <c r="T23">
        <f t="shared" si="10"/>
        <v>18.782109348720848</v>
      </c>
      <c r="U23" t="str">
        <f t="shared" si="11"/>
        <v/>
      </c>
    </row>
    <row r="24" spans="1:21">
      <c r="A24">
        <v>2</v>
      </c>
      <c r="B24">
        <f>IF(A24=1,Inputs!$B$5,Inputs!$B$6)</f>
        <v>5</v>
      </c>
      <c r="C24">
        <f>Inputs!$B$9</f>
        <v>15</v>
      </c>
      <c r="D24">
        <v>12</v>
      </c>
      <c r="E24">
        <f>B24*Inputs!$B$4</f>
        <v>75</v>
      </c>
      <c r="F24">
        <f>B24*COMBIN(Inputs!$B$4,D24)</f>
        <v>2275.0000000000005</v>
      </c>
      <c r="G24">
        <f>(Inputs!$B$4-D24+1)*B24^D24</f>
        <v>976562500</v>
      </c>
      <c r="H24">
        <f>B24*(Inputs!$B$4-D24+1)</f>
        <v>20</v>
      </c>
      <c r="I24" t="str">
        <f>IF(D24&lt;=B24,Inputs!$B$4*COMBIN(B24,D24),"")</f>
        <v/>
      </c>
      <c r="J24">
        <f t="shared" si="0"/>
        <v>3.9623693993615899E-8</v>
      </c>
      <c r="K24">
        <f t="shared" si="1"/>
        <v>1.7008797215666165E-2</v>
      </c>
      <c r="L24">
        <f t="shared" si="2"/>
        <v>3.4834016697684304E-10</v>
      </c>
      <c r="M24" t="str">
        <f t="shared" si="3"/>
        <v/>
      </c>
      <c r="N24">
        <f t="shared" si="4"/>
        <v>3.9623693215418143E-8</v>
      </c>
      <c r="O24">
        <f t="shared" si="5"/>
        <v>1.6864964254071801E-2</v>
      </c>
      <c r="P24">
        <f t="shared" si="6"/>
        <v>3.4834016697684304E-10</v>
      </c>
      <c r="Q24" t="str">
        <f t="shared" si="7"/>
        <v/>
      </c>
      <c r="R24">
        <f t="shared" si="8"/>
        <v>17.043838584083488</v>
      </c>
      <c r="S24">
        <f t="shared" si="9"/>
        <v>4.0825169300040161</v>
      </c>
      <c r="T24">
        <f t="shared" si="10"/>
        <v>21.777841622274842</v>
      </c>
      <c r="U24" t="str">
        <f t="shared" si="11"/>
        <v/>
      </c>
    </row>
    <row r="25" spans="1:21">
      <c r="A25">
        <v>2</v>
      </c>
      <c r="B25">
        <f>IF(A25=1,Inputs!$B$5,Inputs!$B$6)</f>
        <v>5</v>
      </c>
      <c r="C25">
        <f>Inputs!$B$9</f>
        <v>15</v>
      </c>
      <c r="D25">
        <v>13</v>
      </c>
      <c r="E25">
        <f>B25*Inputs!$B$4</f>
        <v>75</v>
      </c>
      <c r="F25">
        <f>B25*COMBIN(Inputs!$B$4,D25)</f>
        <v>525</v>
      </c>
      <c r="G25">
        <f>(Inputs!$B$4-D25+1)*B25^D25</f>
        <v>3662109375</v>
      </c>
      <c r="H25">
        <f>B25*(Inputs!$B$4-D25+1)</f>
        <v>15</v>
      </c>
      <c r="I25" t="str">
        <f>IF(D25&lt;=B25,Inputs!$B$4*COMBIN(B25,D25),"")</f>
        <v/>
      </c>
      <c r="J25">
        <f t="shared" si="0"/>
        <v>4.3542520872105379E-10</v>
      </c>
      <c r="K25">
        <f t="shared" si="1"/>
        <v>3.0372852170832436E-3</v>
      </c>
      <c r="L25">
        <f t="shared" si="2"/>
        <v>1.2440720249172966E-11</v>
      </c>
      <c r="M25" t="str">
        <f t="shared" si="3"/>
        <v/>
      </c>
      <c r="N25">
        <f t="shared" si="4"/>
        <v>4.3542520872105379E-10</v>
      </c>
      <c r="O25">
        <f t="shared" si="5"/>
        <v>3.0326773326718737E-3</v>
      </c>
      <c r="P25">
        <f t="shared" si="6"/>
        <v>1.2440720249172966E-11</v>
      </c>
      <c r="Q25" t="str">
        <f t="shared" si="7"/>
        <v/>
      </c>
      <c r="R25">
        <f t="shared" si="8"/>
        <v>21.55469807096063</v>
      </c>
      <c r="S25">
        <f t="shared" si="9"/>
        <v>5.7983094414701908</v>
      </c>
      <c r="T25">
        <f t="shared" si="10"/>
        <v>25.110046132450044</v>
      </c>
      <c r="U25" t="str">
        <f t="shared" si="11"/>
        <v/>
      </c>
    </row>
    <row r="26" spans="1:21">
      <c r="A26">
        <v>2</v>
      </c>
      <c r="B26">
        <f>IF(A26=1,Inputs!$B$5,Inputs!$B$6)</f>
        <v>5</v>
      </c>
      <c r="C26">
        <f>Inputs!$B$9</f>
        <v>15</v>
      </c>
      <c r="D26">
        <v>14</v>
      </c>
      <c r="E26">
        <f>B26*Inputs!$B$4</f>
        <v>75</v>
      </c>
      <c r="F26">
        <f>B26*COMBIN(Inputs!$B$4,D26)</f>
        <v>75</v>
      </c>
      <c r="G26">
        <f>(Inputs!$B$4-D26+1)*B26^D26</f>
        <v>12207031250</v>
      </c>
      <c r="H26">
        <f>B26*(Inputs!$B$4-D26+1)</f>
        <v>10</v>
      </c>
      <c r="I26" t="str">
        <f>IF(D26&lt;=B26,Inputs!$B$4*COMBIN(B26,D26),"")</f>
        <v/>
      </c>
      <c r="J26">
        <f t="shared" si="0"/>
        <v>2.0065677821246717E-12</v>
      </c>
      <c r="K26">
        <f t="shared" si="1"/>
        <v>3.2658980828852082E-4</v>
      </c>
      <c r="L26">
        <f t="shared" si="2"/>
        <v>2.6754237094995625E-13</v>
      </c>
      <c r="M26" t="str">
        <f t="shared" si="3"/>
        <v/>
      </c>
      <c r="N26">
        <f t="shared" si="4"/>
        <v>2.0065677821246717E-12</v>
      </c>
      <c r="O26">
        <f t="shared" si="5"/>
        <v>3.2653648364233678E-4</v>
      </c>
      <c r="P26">
        <f t="shared" si="6"/>
        <v>2.6754237094995625E-13</v>
      </c>
      <c r="Q26" t="str">
        <f t="shared" si="7"/>
        <v/>
      </c>
      <c r="R26">
        <f t="shared" si="8"/>
        <v>26.93459542450109</v>
      </c>
      <c r="S26">
        <f t="shared" si="9"/>
        <v>8.0269688738599854</v>
      </c>
      <c r="T26">
        <f t="shared" si="10"/>
        <v>28.949498445043353</v>
      </c>
      <c r="U26" t="str">
        <f t="shared" si="11"/>
        <v/>
      </c>
    </row>
    <row r="27" spans="1:21">
      <c r="A27">
        <v>2</v>
      </c>
      <c r="B27">
        <f>IF(A27=1,Inputs!$B$5,Inputs!$B$6)</f>
        <v>5</v>
      </c>
      <c r="C27">
        <f>Inputs!$B$9</f>
        <v>15</v>
      </c>
      <c r="D27">
        <v>15</v>
      </c>
      <c r="E27">
        <f>B27*Inputs!$B$4</f>
        <v>75</v>
      </c>
      <c r="F27">
        <f>B27*COMBIN(Inputs!$B$4,D27)</f>
        <v>5</v>
      </c>
      <c r="G27">
        <f>(Inputs!$B$4-D27+1)*B27^D27</f>
        <v>30517578125</v>
      </c>
      <c r="H27">
        <f>B27*(Inputs!$B$4-D27+1)</f>
        <v>5</v>
      </c>
      <c r="I27" t="str">
        <f>IF(D27&lt;=B27,Inputs!$B$4*COMBIN(B27,D27),"")</f>
        <v/>
      </c>
      <c r="J27">
        <f t="shared" si="0"/>
        <v>2.1929702536881659E-15</v>
      </c>
      <c r="K27">
        <f t="shared" si="1"/>
        <v>1.3384828208545935E-5</v>
      </c>
      <c r="L27">
        <f t="shared" si="2"/>
        <v>2.1929702536881659E-15</v>
      </c>
      <c r="M27" t="str">
        <f t="shared" si="3"/>
        <v/>
      </c>
      <c r="N27">
        <f t="shared" si="4"/>
        <v>2.1929702536881659E-15</v>
      </c>
      <c r="O27">
        <f t="shared" si="5"/>
        <v>1.3384738632105098E-5</v>
      </c>
      <c r="P27">
        <f t="shared" si="6"/>
        <v>2.1929702536881659E-15</v>
      </c>
      <c r="Q27" t="str">
        <f t="shared" si="7"/>
        <v/>
      </c>
      <c r="R27">
        <f t="shared" si="8"/>
        <v>33.753519489776615</v>
      </c>
      <c r="S27">
        <f t="shared" si="9"/>
        <v>11.221395408107893</v>
      </c>
      <c r="T27">
        <f t="shared" si="10"/>
        <v>33.753519489776615</v>
      </c>
      <c r="U27" t="str">
        <f t="shared" si="11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7"/>
  <sheetViews>
    <sheetView workbookViewId="0"/>
  </sheetViews>
  <sheetFormatPr defaultRowHeight="14.15"/>
  <cols>
    <col min="1" max="1" width="4.2109375" customWidth="1"/>
    <col min="2" max="2" width="8.2109375" customWidth="1"/>
    <col min="3" max="3" width="11.85546875" customWidth="1"/>
    <col min="4" max="4" width="4.85546875" customWidth="1"/>
    <col min="5" max="10" width="10.2109375" customWidth="1"/>
    <col min="11" max="11" width="11" customWidth="1"/>
    <col min="12" max="12" width="12.7109375" customWidth="1"/>
    <col min="13" max="15" width="10.2109375" customWidth="1"/>
    <col min="16" max="16" width="11.5" customWidth="1"/>
    <col min="17" max="18" width="11.640625" customWidth="1"/>
    <col min="19" max="19" width="12.640625" customWidth="1"/>
    <col min="20" max="20" width="14.35546875" customWidth="1"/>
    <col min="21" max="22" width="12.640625" customWidth="1"/>
    <col min="23" max="23" width="13.640625" customWidth="1"/>
    <col min="24" max="24" width="15.35546875" customWidth="1"/>
    <col min="25" max="25" width="11.140625" customWidth="1"/>
    <col min="26" max="26" width="11" customWidth="1"/>
    <col min="27" max="27" width="12" customWidth="1"/>
    <col min="28" max="28" width="13.7109375" customWidth="1"/>
  </cols>
  <sheetData>
    <row r="1" spans="1:28" ht="28.3">
      <c r="A1" s="19" t="s">
        <v>28</v>
      </c>
      <c r="B1" s="19" t="s">
        <v>29</v>
      </c>
      <c r="C1" s="19" t="s">
        <v>123</v>
      </c>
      <c r="D1" s="19" t="s">
        <v>30</v>
      </c>
      <c r="E1" s="20" t="s">
        <v>140</v>
      </c>
      <c r="F1" s="20" t="s">
        <v>141</v>
      </c>
      <c r="G1" s="20" t="s">
        <v>142</v>
      </c>
      <c r="H1" s="20" t="s">
        <v>143</v>
      </c>
      <c r="I1" s="20" t="s">
        <v>144</v>
      </c>
      <c r="J1" s="20" t="s">
        <v>145</v>
      </c>
      <c r="K1" s="20" t="s">
        <v>146</v>
      </c>
      <c r="L1" s="20" t="s">
        <v>147</v>
      </c>
      <c r="M1" s="21" t="s">
        <v>148</v>
      </c>
      <c r="N1" s="21" t="s">
        <v>149</v>
      </c>
      <c r="O1" s="21" t="s">
        <v>150</v>
      </c>
      <c r="P1" s="21" t="s">
        <v>151</v>
      </c>
      <c r="Q1" s="21" t="s">
        <v>152</v>
      </c>
      <c r="R1" s="21" t="s">
        <v>153</v>
      </c>
      <c r="S1" s="21" t="s">
        <v>154</v>
      </c>
      <c r="T1" s="21" t="s">
        <v>155</v>
      </c>
      <c r="U1" s="21" t="s">
        <v>156</v>
      </c>
      <c r="V1" s="21" t="s">
        <v>157</v>
      </c>
      <c r="W1" s="21" t="s">
        <v>158</v>
      </c>
      <c r="X1" s="21" t="s">
        <v>159</v>
      </c>
      <c r="Y1" s="20" t="s">
        <v>160</v>
      </c>
      <c r="Z1" s="20" t="s">
        <v>161</v>
      </c>
      <c r="AA1" s="20" t="s">
        <v>162</v>
      </c>
      <c r="AB1" s="20" t="s">
        <v>163</v>
      </c>
    </row>
    <row r="2" spans="1:28">
      <c r="A2">
        <f>Fixed_Opportunity!A2</f>
        <v>1</v>
      </c>
      <c r="B2">
        <f>Fixed_Opportunity!B2</f>
        <v>4</v>
      </c>
      <c r="C2">
        <f>Fixed_Opportunity!C2</f>
        <v>15</v>
      </c>
      <c r="D2">
        <f>Fixed_Opportunity!D2</f>
        <v>3</v>
      </c>
      <c r="E2">
        <f>IF(D2&gt;C2,"",Fixed_Opportunity!N2)</f>
        <v>0.99999999996907007</v>
      </c>
      <c r="F2">
        <f>IF(D2&gt;C2,"",Fixed_Opportunity!O2)</f>
        <v>0.99998431077721828</v>
      </c>
      <c r="G2">
        <f>IF(D2&gt;C2,"",Fixed_Opportunity!P2)</f>
        <v>0.49912992006885437</v>
      </c>
      <c r="H2">
        <f>IF(OR(D2&gt;C2,D2&gt;B2),"",Fixed_Opportunity!Q2)</f>
        <v>0.54967200167703711</v>
      </c>
      <c r="I2">
        <f>Marginal_Model!J2</f>
        <v>5.3185271770894223E-2</v>
      </c>
      <c r="J2">
        <f>Marginal_Model!K2</f>
        <v>2.4313267095265927E-2</v>
      </c>
      <c r="K2">
        <f>Marginal_Model!L2</f>
        <v>1.5195791934541204E-3</v>
      </c>
      <c r="L2">
        <f>IF(D2&gt;B2,"",Marginal_Model!M2)</f>
        <v>1.7533606078316774E-3</v>
      </c>
      <c r="M2">
        <f>IF(D2&gt;C2,"",Fixed_Opportunity!R2)</f>
        <v>3.0929925288115491E-11</v>
      </c>
      <c r="N2">
        <f>IF(D2&gt;C2,"",Fixed_Opportunity!S2)</f>
        <v>1.5689345858865983E-5</v>
      </c>
      <c r="O2">
        <f>IF(D2&gt;C2,"",Fixed_Opportunity!T2)</f>
        <v>0.69488885625919738</v>
      </c>
      <c r="P2">
        <f>IF(OR(D2&gt;C2,D2&gt;B2),"",Fixed_Opportunity!U2)</f>
        <v>0.59843353923653009</v>
      </c>
      <c r="Q2">
        <f>Marginal_Model!N2</f>
        <v>2.9339737673753432</v>
      </c>
      <c r="R2">
        <f>Marginal_Model!O2</f>
        <v>3.716733106624976</v>
      </c>
      <c r="S2">
        <f>Marginal_Model!P2</f>
        <v>6.4893218288647567</v>
      </c>
      <c r="T2">
        <f>IF(D2&gt;B2,"",Marginal_Model!Q2)</f>
        <v>6.3462209852240834</v>
      </c>
      <c r="U2">
        <f>IF(D2&gt;C2,"",Inputs!$B$7*M2+Inputs!$B$8*Q2)</f>
        <v>0.58679475349981247</v>
      </c>
      <c r="V2">
        <f>IF(D2&gt;C2,"",Inputs!$B$7*N2+Inputs!$B$8*R2)</f>
        <v>0.74335917280168218</v>
      </c>
      <c r="W2">
        <f>IF(D2&gt;C2,"",Inputs!$B$7*O2+Inputs!$B$8*S2)</f>
        <v>1.8537754507803093</v>
      </c>
      <c r="X2">
        <f>IF(OR(D2&gt;C2,D2&gt;B2),"",Inputs!$B$7*P2+Inputs!$B$8*T2)</f>
        <v>1.7479910284340405</v>
      </c>
      <c r="Y2">
        <f t="shared" ref="Y2:Y27" si="0">IF(D2&gt;C2,"",EXP(-U2))</f>
        <v>0.55610689083839826</v>
      </c>
      <c r="Z2">
        <f t="shared" ref="Z2:Z27" si="1">IF(D2&gt;C2,"",EXP(-V2))</f>
        <v>0.4755138963077804</v>
      </c>
      <c r="AA2">
        <f t="shared" ref="AA2:AA27" si="2">IF(D2&gt;C2,"",EXP(-W2))</f>
        <v>0.15664464435394132</v>
      </c>
      <c r="AB2">
        <f t="shared" ref="AB2:AB27" si="3">IF(OR(D2&gt;C2,D2&gt;B2),"",EXP(-X2))</f>
        <v>0.1741234012696195</v>
      </c>
    </row>
    <row r="3" spans="1:28">
      <c r="A3">
        <f>Fixed_Opportunity!A3</f>
        <v>1</v>
      </c>
      <c r="B3">
        <f>Fixed_Opportunity!B3</f>
        <v>4</v>
      </c>
      <c r="C3">
        <f>Fixed_Opportunity!C3</f>
        <v>15</v>
      </c>
      <c r="D3">
        <f>Fixed_Opportunity!D3</f>
        <v>4</v>
      </c>
      <c r="E3">
        <f>IF(D3&gt;C3,"",Fixed_Opportunity!N3)</f>
        <v>0.99999976967340842</v>
      </c>
      <c r="F3">
        <f>IF(D3&gt;C3,"",Fixed_Opportunity!O3)</f>
        <v>0.99981575030419834</v>
      </c>
      <c r="G3">
        <f>IF(D3&gt;C3,"",Fixed_Opportunity!P3)</f>
        <v>0.12572717198852157</v>
      </c>
      <c r="H3">
        <f>IF(OR(D3&gt;C3,D3&gt;B3),"",Fixed_Opportunity!Q3)</f>
        <v>4.1119070057055507E-2</v>
      </c>
      <c r="I3">
        <f>Marginal_Model!J3</f>
        <v>1.1196899320188258E-2</v>
      </c>
      <c r="J3">
        <f>Marginal_Model!K3</f>
        <v>3.1498969516133993E-3</v>
      </c>
      <c r="K3">
        <f>Marginal_Model!L3</f>
        <v>4.9217139868959364E-5</v>
      </c>
      <c r="L3">
        <f>IF(D3&gt;B3,"",Marginal_Model!M3)</f>
        <v>3.0760712418099601E-5</v>
      </c>
      <c r="M3">
        <f>IF(D3&gt;C3,"",Fixed_Opportunity!R3)</f>
        <v>2.3032661810224149E-7</v>
      </c>
      <c r="N3">
        <f>IF(D3&gt;C3,"",Fixed_Opportunity!S3)</f>
        <v>1.8426667186211991E-4</v>
      </c>
      <c r="O3">
        <f>IF(D3&gt;C3,"",Fixed_Opportunity!T3)</f>
        <v>2.073641021364272</v>
      </c>
      <c r="P3">
        <f>IF(OR(D3&gt;C3,D3&gt;B3),"",Fixed_Opportunity!U3)</f>
        <v>3.191283273434939</v>
      </c>
      <c r="Q3">
        <f>Marginal_Model!N3</f>
        <v>4.4921183854218931</v>
      </c>
      <c r="R3">
        <f>Marginal_Model!O3</f>
        <v>5.7603855404532265</v>
      </c>
      <c r="S3">
        <f>Marginal_Model!P3</f>
        <v>9.9192686238128989</v>
      </c>
      <c r="T3">
        <f>IF(D3&gt;B3,"",Marginal_Model!Q3)</f>
        <v>10.389272253058634</v>
      </c>
      <c r="U3">
        <f>IF(D3&gt;C3,"",Inputs!$B$7*M3+Inputs!$B$8*Q3)</f>
        <v>0.89842386134567287</v>
      </c>
      <c r="V3">
        <f>IF(D3&gt;C3,"",Inputs!$B$7*N3+Inputs!$B$8*R3)</f>
        <v>1.1522245214281348</v>
      </c>
      <c r="W3">
        <f>IF(D3&gt;C3,"",Inputs!$B$7*O3+Inputs!$B$8*S3)</f>
        <v>3.6427665418539972</v>
      </c>
      <c r="X3">
        <f>IF(OR(D3&gt;C3,D3&gt;B3),"",Inputs!$B$7*P3+Inputs!$B$8*T3)</f>
        <v>4.6308810693596776</v>
      </c>
      <c r="Y3">
        <f t="shared" si="0"/>
        <v>0.4072109751652444</v>
      </c>
      <c r="Z3">
        <f t="shared" si="1"/>
        <v>0.31593318695785988</v>
      </c>
      <c r="AA3">
        <f t="shared" si="2"/>
        <v>2.6179816129248083E-2</v>
      </c>
      <c r="AB3">
        <f t="shared" si="3"/>
        <v>9.7461682681029473E-3</v>
      </c>
    </row>
    <row r="4" spans="1:28">
      <c r="A4">
        <f>Fixed_Opportunity!A4</f>
        <v>1</v>
      </c>
      <c r="B4">
        <f>Fixed_Opportunity!B4</f>
        <v>4</v>
      </c>
      <c r="C4">
        <f>Fixed_Opportunity!C4</f>
        <v>15</v>
      </c>
      <c r="D4">
        <f>Fixed_Opportunity!D4</f>
        <v>5</v>
      </c>
      <c r="E4">
        <f>IF(D4&gt;C4,"",Fixed_Opportunity!N4)</f>
        <v>0.99864610680202093</v>
      </c>
      <c r="F4">
        <f>IF(D4&gt;C4,"",Fixed_Opportunity!O4)</f>
        <v>0.99795730421674655</v>
      </c>
      <c r="G4">
        <f>IF(D4&gt;C4,"",Fixed_Opportunity!P4)</f>
        <v>2.3902988340820053E-2</v>
      </c>
      <c r="H4" t="str">
        <f>IF(OR(D4&gt;C4,D4&gt;B4),"",Fixed_Opportunity!Q4)</f>
        <v/>
      </c>
      <c r="I4">
        <f>Marginal_Model!J4</f>
        <v>2.199390937894122E-3</v>
      </c>
      <c r="J4">
        <f>Marginal_Model!K4</f>
        <v>4.1248650556842138E-4</v>
      </c>
      <c r="K4">
        <f>Marginal_Model!L4</f>
        <v>1.611275412376646E-6</v>
      </c>
      <c r="L4" t="str">
        <f>IF(D4&gt;B4,"",Marginal_Model!M4)</f>
        <v/>
      </c>
      <c r="M4">
        <f>IF(D4&gt;C4,"",Fixed_Opportunity!R4)</f>
        <v>1.354810539456582E-3</v>
      </c>
      <c r="N4">
        <f>IF(D4&gt;C4,"",Fixed_Opportunity!S4)</f>
        <v>2.0447849317662948E-3</v>
      </c>
      <c r="O4">
        <f>IF(D4&gt;C4,"",Fixed_Opportunity!T4)</f>
        <v>3.7337517926801636</v>
      </c>
      <c r="P4" t="str">
        <f>IF(OR(D4&gt;C4,D4&gt;B4),"",Fixed_Opportunity!U4)</f>
        <v/>
      </c>
      <c r="Q4">
        <f>Marginal_Model!N4</f>
        <v>6.1195748033586721</v>
      </c>
      <c r="R4">
        <f>Marginal_Model!O4</f>
        <v>7.7933070664981692</v>
      </c>
      <c r="S4">
        <f>Marginal_Model!P4</f>
        <v>13.338484510977732</v>
      </c>
      <c r="T4" t="str">
        <f>IF(D4&gt;B4,"",Marginal_Model!Q4)</f>
        <v/>
      </c>
      <c r="U4">
        <f>IF(D4&gt;C4,"",Inputs!$B$7*M4+Inputs!$B$8*Q4)</f>
        <v>1.2249988091032993</v>
      </c>
      <c r="V4">
        <f>IF(D4&gt;C4,"",Inputs!$B$7*N4+Inputs!$B$8*R4)</f>
        <v>1.5602972412450464</v>
      </c>
      <c r="W4">
        <f>IF(D4&gt;C4,"",Inputs!$B$7*O4+Inputs!$B$8*S4)</f>
        <v>5.6546983363396768</v>
      </c>
      <c r="X4" t="str">
        <f>IF(OR(D4&gt;C4,D4&gt;B4),"",Inputs!$B$7*P4+Inputs!$B$8*T4)</f>
        <v/>
      </c>
      <c r="Y4">
        <f t="shared" si="0"/>
        <v>0.29375805015881723</v>
      </c>
      <c r="Z4">
        <f t="shared" si="1"/>
        <v>0.21007361937542082</v>
      </c>
      <c r="AA4">
        <f t="shared" si="2"/>
        <v>3.5010290607660425E-3</v>
      </c>
      <c r="AB4" t="str">
        <f t="shared" si="3"/>
        <v/>
      </c>
    </row>
    <row r="5" spans="1:28">
      <c r="A5">
        <f>Fixed_Opportunity!A5</f>
        <v>1</v>
      </c>
      <c r="B5">
        <f>Fixed_Opportunity!B5</f>
        <v>4</v>
      </c>
      <c r="C5">
        <f>Fixed_Opportunity!C5</f>
        <v>15</v>
      </c>
      <c r="D5">
        <f>Fixed_Opportunity!D5</f>
        <v>6</v>
      </c>
      <c r="E5">
        <f>IF(D5&gt;C5,"",Fixed_Opportunity!N5)</f>
        <v>0.86486023684960811</v>
      </c>
      <c r="F5">
        <f>IF(D5&gt;C5,"",Fixed_Opportunity!O5)</f>
        <v>0.98334202231551537</v>
      </c>
      <c r="G5">
        <f>IF(D5&gt;C5,"",Fixed_Opportunity!P5)</f>
        <v>3.9909076904460772E-3</v>
      </c>
      <c r="H5" t="str">
        <f>IF(OR(D5&gt;C5,D5&gt;B5),"",Fixed_Opportunity!Q5)</f>
        <v/>
      </c>
      <c r="I5">
        <f>Marginal_Model!J5</f>
        <v>3.9988926143529491E-4</v>
      </c>
      <c r="J5">
        <f>Marginal_Model!K5</f>
        <v>5.454367015780779E-5</v>
      </c>
      <c r="K5">
        <f>Marginal_Model!L5</f>
        <v>5.326530288848417E-8</v>
      </c>
      <c r="L5" t="str">
        <f>IF(D5&gt;B5,"",Marginal_Model!M5)</f>
        <v/>
      </c>
      <c r="M5">
        <f>IF(D5&gt;C5,"",Fixed_Opportunity!R5)</f>
        <v>0.14518736100145593</v>
      </c>
      <c r="N5">
        <f>IF(D5&gt;C5,"",Fixed_Opportunity!S5)</f>
        <v>1.6798282102354206E-2</v>
      </c>
      <c r="O5">
        <f>IF(D5&gt;C5,"",Fixed_Opportunity!T5)</f>
        <v>5.5237365826127274</v>
      </c>
      <c r="P5" t="str">
        <f>IF(OR(D5&gt;C5,D5&gt;B5),"",Fixed_Opportunity!U5)</f>
        <v/>
      </c>
      <c r="Q5">
        <f>Marginal_Model!N5</f>
        <v>7.8243228955970974</v>
      </c>
      <c r="R5">
        <f>Marginal_Model!O5</f>
        <v>9.8165088898551289</v>
      </c>
      <c r="S5">
        <f>Marginal_Model!P5</f>
        <v>16.747980695454583</v>
      </c>
      <c r="T5" t="str">
        <f>IF(D5&gt;B5,"",Marginal_Model!Q5)</f>
        <v/>
      </c>
      <c r="U5">
        <f>IF(D5&gt;C5,"",Inputs!$B$7*M5+Inputs!$B$8*Q5)</f>
        <v>1.6810144679205838</v>
      </c>
      <c r="V5">
        <f>IF(D5&gt;C5,"",Inputs!$B$7*N5+Inputs!$B$8*R5)</f>
        <v>1.9767404036529088</v>
      </c>
      <c r="W5">
        <f>IF(D5&gt;C5,"",Inputs!$B$7*O5+Inputs!$B$8*S5)</f>
        <v>7.7685854051810974</v>
      </c>
      <c r="X5" t="str">
        <f>IF(OR(D5&gt;C5,D5&gt;B5),"",Inputs!$B$7*P5+Inputs!$B$8*T5)</f>
        <v/>
      </c>
      <c r="Y5">
        <f t="shared" si="0"/>
        <v>0.18618500149000228</v>
      </c>
      <c r="Z5">
        <f t="shared" si="1"/>
        <v>0.13852002158072604</v>
      </c>
      <c r="AA5">
        <f t="shared" si="2"/>
        <v>4.2281095014898057E-4</v>
      </c>
      <c r="AB5" t="str">
        <f t="shared" si="3"/>
        <v/>
      </c>
    </row>
    <row r="6" spans="1:28">
      <c r="A6">
        <f>Fixed_Opportunity!A6</f>
        <v>1</v>
      </c>
      <c r="B6">
        <f>Fixed_Opportunity!B6</f>
        <v>4</v>
      </c>
      <c r="C6">
        <f>Fixed_Opportunity!C6</f>
        <v>15</v>
      </c>
      <c r="D6">
        <f>Fixed_Opportunity!D6</f>
        <v>7</v>
      </c>
      <c r="E6">
        <f>IF(D6&gt;C6,"",Fixed_Opportunity!N6)</f>
        <v>0.34876272984291867</v>
      </c>
      <c r="F6">
        <f>IF(D6&gt;C6,"",Fixed_Opportunity!O6)</f>
        <v>0.9143014713603892</v>
      </c>
      <c r="G6">
        <f>IF(D6&gt;C6,"",Fixed_Opportunity!P6)</f>
        <v>5.9965402776851473E-4</v>
      </c>
      <c r="H6" t="str">
        <f>IF(OR(D6&gt;C6,D6&gt;B6),"",Fixed_Opportunity!Q6)</f>
        <v/>
      </c>
      <c r="I6">
        <f>Marginal_Model!J6</f>
        <v>6.664821023921581E-5</v>
      </c>
      <c r="J6">
        <f>Marginal_Model!K6</f>
        <v>7.272489354374372E-6</v>
      </c>
      <c r="K6">
        <f>Marginal_Model!L6</f>
        <v>1.7755100962828057E-9</v>
      </c>
      <c r="L6" t="str">
        <f>IF(D6&gt;B6,"",Marginal_Model!M6)</f>
        <v/>
      </c>
      <c r="M6">
        <f>IF(D6&gt;C6,"",Fixed_Opportunity!R6)</f>
        <v>1.0533634451710172</v>
      </c>
      <c r="N6">
        <f>IF(D6&gt;C6,"",Fixed_Opportunity!S6)</f>
        <v>8.9594924537770293E-2</v>
      </c>
      <c r="O6">
        <f>IF(D6&gt;C6,"",Fixed_Opportunity!T6)</f>
        <v>7.4191576894434057</v>
      </c>
      <c r="P6" t="str">
        <f>IF(OR(D6&gt;C6,D6&gt;B6),"",Fixed_Opportunity!U6)</f>
        <v/>
      </c>
      <c r="Q6">
        <f>Marginal_Model!N6</f>
        <v>9.6160823648251519</v>
      </c>
      <c r="R6">
        <f>Marginal_Model!O6</f>
        <v>11.831411910397394</v>
      </c>
      <c r="S6">
        <f>Marginal_Model!P6</f>
        <v>20.149178077116737</v>
      </c>
      <c r="T6" t="str">
        <f>IF(D6&gt;B6,"",Marginal_Model!Q6)</f>
        <v/>
      </c>
      <c r="U6">
        <f>IF(D6&gt;C6,"",Inputs!$B$7*M6+Inputs!$B$8*Q6)</f>
        <v>2.7659072291018436</v>
      </c>
      <c r="V6">
        <f>IF(D6&gt;C6,"",Inputs!$B$7*N6+Inputs!$B$8*R6)</f>
        <v>2.4379583217096945</v>
      </c>
      <c r="W6">
        <f>IF(D6&gt;C6,"",Inputs!$B$7*O6+Inputs!$B$8*S6)</f>
        <v>9.9651617669780705</v>
      </c>
      <c r="X6" t="str">
        <f>IF(OR(D6&gt;C6,D6&gt;B6),"",Inputs!$B$7*P6+Inputs!$B$8*T6)</f>
        <v/>
      </c>
      <c r="Y6">
        <f t="shared" si="0"/>
        <v>6.2918991506830654E-2</v>
      </c>
      <c r="Z6">
        <f t="shared" si="1"/>
        <v>8.7338987666707391E-2</v>
      </c>
      <c r="AA6">
        <f t="shared" si="2"/>
        <v>4.7009456847255043E-5</v>
      </c>
      <c r="AB6" t="str">
        <f t="shared" si="3"/>
        <v/>
      </c>
    </row>
    <row r="7" spans="1:28">
      <c r="A7">
        <f>Fixed_Opportunity!A7</f>
        <v>1</v>
      </c>
      <c r="B7">
        <f>Fixed_Opportunity!B7</f>
        <v>4</v>
      </c>
      <c r="C7">
        <f>Fixed_Opportunity!C7</f>
        <v>15</v>
      </c>
      <c r="D7">
        <f>Fixed_Opportunity!D7</f>
        <v>8</v>
      </c>
      <c r="E7">
        <f>IF(D7&gt;C7,"",Fixed_Opportunity!N7)</f>
        <v>6.2685858511162817E-2</v>
      </c>
      <c r="F7">
        <f>IF(D7&gt;C7,"",Fixed_Opportunity!O7)</f>
        <v>0.73249001110889378</v>
      </c>
      <c r="G7">
        <f>IF(D7&gt;C7,"",Fixed_Opportunity!P7)</f>
        <v>8.0477619149976753E-5</v>
      </c>
      <c r="H7" t="str">
        <f>IF(OR(D7&gt;C7,D7&gt;B7),"",Fixed_Opportunity!Q7)</f>
        <v/>
      </c>
      <c r="I7">
        <f>Marginal_Model!J7</f>
        <v>1.0060107205919367E-5</v>
      </c>
      <c r="J7">
        <f>Marginal_Model!K7</f>
        <v>9.7576377081752583E-7</v>
      </c>
      <c r="K7">
        <f>Marginal_Model!L7</f>
        <v>5.9555894214936879E-11</v>
      </c>
      <c r="L7" t="str">
        <f>IF(D7&gt;B7,"",Marginal_Model!M7)</f>
        <v/>
      </c>
      <c r="M7">
        <f>IF(D7&gt;C7,"",Fixed_Opportunity!R7)</f>
        <v>2.769619398868421</v>
      </c>
      <c r="N7">
        <f>IF(D7&gt;C7,"",Fixed_Opportunity!S7)</f>
        <v>0.31130557489530331</v>
      </c>
      <c r="O7">
        <f>IF(D7&gt;C7,"",Fixed_Opportunity!T7)</f>
        <v>9.4275314351769666</v>
      </c>
      <c r="P7" t="str">
        <f>IF(OR(D7&gt;C7,D7&gt;B7),"",Fixed_Opportunity!U7)</f>
        <v/>
      </c>
      <c r="Q7">
        <f>Marginal_Model!N7</f>
        <v>11.506932736697438</v>
      </c>
      <c r="R7">
        <f>Marginal_Model!O7</f>
        <v>13.840045317926064</v>
      </c>
      <c r="S7">
        <f>Marginal_Model!P7</f>
        <v>23.544105845765298</v>
      </c>
      <c r="T7" t="str">
        <f>IF(D7&gt;B7,"",Marginal_Model!Q7)</f>
        <v/>
      </c>
      <c r="U7">
        <f>IF(D7&gt;C7,"",Inputs!$B$7*M7+Inputs!$B$8*Q7)</f>
        <v>4.5170820664342237</v>
      </c>
      <c r="V7">
        <f>IF(D7&gt;C7,"",Inputs!$B$7*N7+Inputs!$B$8*R7)</f>
        <v>3.0170535235014548</v>
      </c>
      <c r="W7">
        <f>IF(D7&gt;C7,"",Inputs!$B$7*O7+Inputs!$B$8*S7)</f>
        <v>12.250846317294631</v>
      </c>
      <c r="X7" t="str">
        <f>IF(OR(D7&gt;C7,D7&gt;B7),"",Inputs!$B$7*P7+Inputs!$B$8*T7)</f>
        <v/>
      </c>
      <c r="Y7">
        <f t="shared" si="0"/>
        <v>1.0920843517741382E-2</v>
      </c>
      <c r="Z7">
        <f t="shared" si="1"/>
        <v>4.8945222052578639E-2</v>
      </c>
      <c r="AA7">
        <f t="shared" si="2"/>
        <v>4.781069377717132E-6</v>
      </c>
      <c r="AB7" t="str">
        <f t="shared" si="3"/>
        <v/>
      </c>
    </row>
    <row r="8" spans="1:28">
      <c r="A8">
        <f>Fixed_Opportunity!A8</f>
        <v>1</v>
      </c>
      <c r="B8">
        <f>Fixed_Opportunity!B8</f>
        <v>4</v>
      </c>
      <c r="C8">
        <f>Fixed_Opportunity!C8</f>
        <v>15</v>
      </c>
      <c r="D8">
        <f>Fixed_Opportunity!D8</f>
        <v>9</v>
      </c>
      <c r="E8">
        <f>IF(D8&gt;C8,"",Fixed_Opportunity!N8)</f>
        <v>6.7550784172143441E-3</v>
      </c>
      <c r="F8">
        <f>IF(D8&gt;C8,"",Fixed_Opportunity!O8)</f>
        <v>0.46273439314242737</v>
      </c>
      <c r="G8">
        <f>IF(D8&gt;C8,"",Fixed_Opportunity!P8)</f>
        <v>9.4796714732447995E-6</v>
      </c>
      <c r="H8" t="str">
        <f>IF(OR(D8&gt;C8,D8&gt;B8),"",Fixed_Opportunity!Q8)</f>
        <v/>
      </c>
      <c r="I8">
        <f>Marginal_Model!J8</f>
        <v>1.3542452007968379E-6</v>
      </c>
      <c r="J8">
        <f>Marginal_Model!K8</f>
        <v>1.3135281530235925E-7</v>
      </c>
      <c r="K8">
        <f>Marginal_Model!L8</f>
        <v>2.004284901464222E-12</v>
      </c>
      <c r="L8" t="str">
        <f>IF(D8&gt;B8,"",Marginal_Model!M8)</f>
        <v/>
      </c>
      <c r="M8">
        <f>IF(D8&gt;C8,"",Fixed_Opportunity!R8)</f>
        <v>4.9974606988713539</v>
      </c>
      <c r="N8">
        <f>IF(D8&gt;C8,"",Fixed_Opportunity!S8)</f>
        <v>0.77060205442374252</v>
      </c>
      <c r="O8">
        <f>IF(D8&gt;C8,"",Fixed_Opportunity!T8)</f>
        <v>11.566360897018845</v>
      </c>
      <c r="P8" t="str">
        <f>IF(OR(D8&gt;C8,D8&gt;B8),"",Fixed_Opportunity!U8)</f>
        <v/>
      </c>
      <c r="Q8">
        <f>Marginal_Model!N8</f>
        <v>13.512266306223552</v>
      </c>
      <c r="R8">
        <f>Marginal_Model!O8</f>
        <v>15.845378887452178</v>
      </c>
      <c r="S8">
        <f>Marginal_Model!P8</f>
        <v>26.935733776411304</v>
      </c>
      <c r="T8" t="str">
        <f>IF(D8&gt;B8,"",Marginal_Model!Q8)</f>
        <v/>
      </c>
      <c r="U8">
        <f>IF(D8&gt;C8,"",Inputs!$B$7*M8+Inputs!$B$8*Q8)</f>
        <v>6.7004218203417931</v>
      </c>
      <c r="V8">
        <f>IF(D8&gt;C8,"",Inputs!$B$7*N8+Inputs!$B$8*R8)</f>
        <v>3.7855574210294289</v>
      </c>
      <c r="W8">
        <f>IF(D8&gt;C8,"",Inputs!$B$7*O8+Inputs!$B$8*S8)</f>
        <v>14.640235472897336</v>
      </c>
      <c r="X8" t="str">
        <f>IF(OR(D8&gt;C8,D8&gt;B8),"",Inputs!$B$7*P8+Inputs!$B$8*T8)</f>
        <v/>
      </c>
      <c r="Y8">
        <f t="shared" si="0"/>
        <v>1.2303927884881371E-3</v>
      </c>
      <c r="Z8">
        <f t="shared" si="1"/>
        <v>2.2696207906438257E-2</v>
      </c>
      <c r="AA8">
        <f t="shared" si="2"/>
        <v>4.3835556094972061E-7</v>
      </c>
      <c r="AB8" t="str">
        <f t="shared" si="3"/>
        <v/>
      </c>
    </row>
    <row r="9" spans="1:28">
      <c r="A9">
        <f>Fixed_Opportunity!A9</f>
        <v>1</v>
      </c>
      <c r="B9">
        <f>Fixed_Opportunity!B9</f>
        <v>4</v>
      </c>
      <c r="C9">
        <f>Fixed_Opportunity!C9</f>
        <v>15</v>
      </c>
      <c r="D9">
        <f>Fixed_Opportunity!D9</f>
        <v>10</v>
      </c>
      <c r="E9">
        <f>IF(D9&gt;C9,"",Fixed_Opportunity!N9)</f>
        <v>4.7833242584427449E-4</v>
      </c>
      <c r="F9">
        <f>IF(D9&gt;C9,"",Fixed_Opportunity!O9)</f>
        <v>0.22166118574806515</v>
      </c>
      <c r="G9">
        <f>IF(D9&gt;C9,"",Fixed_Opportunity!P9)</f>
        <v>9.5593733184795582E-7</v>
      </c>
      <c r="H9" t="str">
        <f>IF(OR(D9&gt;C9,D9&gt;B9),"",Fixed_Opportunity!Q9)</f>
        <v/>
      </c>
      <c r="I9">
        <f>Marginal_Model!J9</f>
        <v>1.5932296479962799E-7</v>
      </c>
      <c r="J9">
        <f>Marginal_Model!K9</f>
        <v>1.7660882729728973E-8</v>
      </c>
      <c r="K9">
        <f>Marginal_Model!L9</f>
        <v>6.7370921057620899E-14</v>
      </c>
      <c r="L9" t="str">
        <f>IF(D9&gt;B9,"",Marginal_Model!M9)</f>
        <v/>
      </c>
      <c r="M9">
        <f>IF(D9&gt;C9,"",Fixed_Opportunity!R9)</f>
        <v>7.6452046156301323</v>
      </c>
      <c r="N9">
        <f>IF(D9&gt;C9,"",Fixed_Opportunity!S9)</f>
        <v>1.5066052532486622</v>
      </c>
      <c r="O9">
        <f>IF(D9&gt;C9,"",Fixed_Opportunity!T9)</f>
        <v>13.860573478503964</v>
      </c>
      <c r="P9" t="str">
        <f>IF(OR(D9&gt;C9,D9&gt;B9),"",Fixed_Opportunity!U9)</f>
        <v/>
      </c>
      <c r="Q9">
        <f>Marginal_Model!N9</f>
        <v>15.652332469719823</v>
      </c>
      <c r="R9">
        <f>Marginal_Model!O9</f>
        <v>17.851913658323927</v>
      </c>
      <c r="S9">
        <f>Marginal_Model!P9</f>
        <v>30.32856290840294</v>
      </c>
      <c r="T9" t="str">
        <f>IF(D9&gt;B9,"",Marginal_Model!Q9)</f>
        <v/>
      </c>
      <c r="U9">
        <f>IF(D9&gt;C9,"",Inputs!$B$7*M9+Inputs!$B$8*Q9)</f>
        <v>9.2466301864480691</v>
      </c>
      <c r="V9">
        <f>IF(D9&gt;C9,"",Inputs!$B$7*N9+Inputs!$B$8*R9)</f>
        <v>4.7756669342637146</v>
      </c>
      <c r="W9">
        <f>IF(D9&gt;C9,"",Inputs!$B$7*O9+Inputs!$B$8*S9)</f>
        <v>17.154171364483759</v>
      </c>
      <c r="X9" t="str">
        <f>IF(OR(D9&gt;C9,D9&gt;B9),"",Inputs!$B$7*P9+Inputs!$B$8*T9)</f>
        <v/>
      </c>
      <c r="Y9">
        <f t="shared" si="0"/>
        <v>9.6436076727323384E-5</v>
      </c>
      <c r="Z9">
        <f t="shared" si="1"/>
        <v>8.4324583162718163E-3</v>
      </c>
      <c r="AA9">
        <f t="shared" si="2"/>
        <v>3.5484446455552813E-8</v>
      </c>
      <c r="AB9" t="str">
        <f t="shared" si="3"/>
        <v/>
      </c>
    </row>
    <row r="10" spans="1:28">
      <c r="A10">
        <f>Fixed_Opportunity!A10</f>
        <v>1</v>
      </c>
      <c r="B10">
        <f>Fixed_Opportunity!B10</f>
        <v>4</v>
      </c>
      <c r="C10">
        <f>Fixed_Opportunity!C10</f>
        <v>15</v>
      </c>
      <c r="D10">
        <f>Fixed_Opportunity!D10</f>
        <v>11</v>
      </c>
      <c r="E10">
        <f>IF(D10&gt;C10,"",Fixed_Opportunity!N10)</f>
        <v>2.1747348218137397E-5</v>
      </c>
      <c r="F10">
        <f>IF(D10&gt;C10,"",Fixed_Opportunity!O10)</f>
        <v>8.0137538577503831E-2</v>
      </c>
      <c r="G10">
        <f>IF(D10&gt;C10,"",Fixed_Opportunity!P10)</f>
        <v>7.9661479190917817E-8</v>
      </c>
      <c r="H10" t="str">
        <f>IF(OR(D10&gt;C10,D10&gt;B10),"",Fixed_Opportunity!Q10)</f>
        <v/>
      </c>
      <c r="I10">
        <f>Marginal_Model!J10</f>
        <v>1.5932296479962801E-8</v>
      </c>
      <c r="J10">
        <f>Marginal_Model!K10</f>
        <v>2.3547843639638631E-9</v>
      </c>
      <c r="K10">
        <f>Marginal_Model!L10</f>
        <v>2.2456973685873634E-15</v>
      </c>
      <c r="L10" t="str">
        <f>IF(D10&gt;B10,"",Marginal_Model!M10)</f>
        <v/>
      </c>
      <c r="M10">
        <f>IF(D10&gt;C10,"",Fixed_Opportunity!R10)</f>
        <v>10.736018728867728</v>
      </c>
      <c r="N10">
        <f>IF(D10&gt;C10,"",Fixed_Opportunity!S10)</f>
        <v>2.5240108882774708</v>
      </c>
      <c r="O10">
        <f>IF(D10&gt;C10,"",Fixed_Opportunity!T10)</f>
        <v>16.345479690561422</v>
      </c>
      <c r="P10" t="str">
        <f>IF(OR(D10&gt;C10,D10&gt;B10),"",Fixed_Opportunity!U10)</f>
        <v/>
      </c>
      <c r="Q10">
        <f>Marginal_Model!N10</f>
        <v>17.95491756271387</v>
      </c>
      <c r="R10">
        <f>Marginal_Model!O10</f>
        <v>19.86681667886619</v>
      </c>
      <c r="S10">
        <f>Marginal_Model!P10</f>
        <v>33.729760290065094</v>
      </c>
      <c r="T10" t="str">
        <f>IF(D10&gt;B10,"",Marginal_Model!Q10)</f>
        <v/>
      </c>
      <c r="U10">
        <f>IF(D10&gt;C10,"",Inputs!$B$7*M10+Inputs!$B$8*Q10)</f>
        <v>12.179798495636955</v>
      </c>
      <c r="V10">
        <f>IF(D10&gt;C10,"",Inputs!$B$7*N10+Inputs!$B$8*R10)</f>
        <v>5.9925720463952139</v>
      </c>
      <c r="W10">
        <f>IF(D10&gt;C10,"",Inputs!$B$7*O10+Inputs!$B$8*S10)</f>
        <v>19.822335810462157</v>
      </c>
      <c r="X10" t="str">
        <f>IF(OR(D10&gt;C10,D10&gt;B10),"",Inputs!$B$7*P10+Inputs!$B$8*T10)</f>
        <v/>
      </c>
      <c r="Y10">
        <f t="shared" si="0"/>
        <v>5.1331117915367361E-6</v>
      </c>
      <c r="Z10">
        <f t="shared" si="1"/>
        <v>2.4972327844094123E-3</v>
      </c>
      <c r="AA10">
        <f t="shared" si="2"/>
        <v>2.4618916712368652E-9</v>
      </c>
      <c r="AB10" t="str">
        <f t="shared" si="3"/>
        <v/>
      </c>
    </row>
    <row r="11" spans="1:28">
      <c r="A11">
        <f>Fixed_Opportunity!A11</f>
        <v>1</v>
      </c>
      <c r="B11">
        <f>Fixed_Opportunity!B11</f>
        <v>4</v>
      </c>
      <c r="C11">
        <f>Fixed_Opportunity!C11</f>
        <v>15</v>
      </c>
      <c r="D11">
        <f>Fixed_Opportunity!D11</f>
        <v>12</v>
      </c>
      <c r="E11">
        <f>IF(D11&gt;C11,"",Fixed_Opportunity!N11)</f>
        <v>5.9177083699957223E-7</v>
      </c>
      <c r="F11">
        <f>IF(D11&gt;C11,"",Fixed_Opportunity!O11)</f>
        <v>2.1584031619577559E-2</v>
      </c>
      <c r="G11">
        <f>IF(D11&gt;C11,"",Fixed_Opportunity!P11)</f>
        <v>5.2023825240694813E-9</v>
      </c>
      <c r="H11" t="str">
        <f>IF(OR(D11&gt;C11,D11&gt;B11),"",Fixed_Opportunity!Q11)</f>
        <v/>
      </c>
      <c r="I11">
        <f>Marginal_Model!J11</f>
        <v>1.3005956310173714E-9</v>
      </c>
      <c r="J11">
        <f>Marginal_Model!K11</f>
        <v>3.0756367202793319E-10</v>
      </c>
      <c r="K11">
        <f>Marginal_Model!L11</f>
        <v>7.3328893668158814E-17</v>
      </c>
      <c r="L11" t="str">
        <f>IF(D11&gt;B11,"",Marginal_Model!M11)</f>
        <v/>
      </c>
      <c r="M11">
        <f>IF(D11&gt;C11,"",Fixed_Opportunity!R11)</f>
        <v>14.340146376667706</v>
      </c>
      <c r="N11">
        <f>IF(D11&gt;C11,"",Fixed_Opportunity!S11)</f>
        <v>3.8358015145633271</v>
      </c>
      <c r="O11">
        <f>IF(D11&gt;C11,"",Fixed_Opportunity!T11)</f>
        <v>19.074149138584716</v>
      </c>
      <c r="P11" t="str">
        <f>IF(OR(D11&gt;C11,D11&gt;B11),"",Fixed_Opportunity!U11)</f>
        <v/>
      </c>
      <c r="Q11">
        <f>Marginal_Model!N11</f>
        <v>20.460443499704606</v>
      </c>
      <c r="R11">
        <f>Marginal_Model!O11</f>
        <v>21.902338986611191</v>
      </c>
      <c r="S11">
        <f>Marginal_Model!P11</f>
        <v>37.151576958929986</v>
      </c>
      <c r="T11" t="str">
        <f>IF(D11&gt;B11,"",Marginal_Model!Q11)</f>
        <v/>
      </c>
      <c r="U11">
        <f>IF(D11&gt;C11,"",Inputs!$B$7*M11+Inputs!$B$8*Q11)</f>
        <v>15.564205801275087</v>
      </c>
      <c r="V11">
        <f>IF(D11&gt;C11,"",Inputs!$B$7*N11+Inputs!$B$8*R11)</f>
        <v>7.4491090089728988</v>
      </c>
      <c r="W11">
        <f>IF(D11&gt;C11,"",Inputs!$B$7*O11+Inputs!$B$8*S11)</f>
        <v>22.68963470265377</v>
      </c>
      <c r="X11" t="str">
        <f>IF(OR(D11&gt;C11,D11&gt;B11),"",Inputs!$B$7*P11+Inputs!$B$8*T11)</f>
        <v/>
      </c>
      <c r="Y11">
        <f t="shared" si="0"/>
        <v>1.740008241454342E-7</v>
      </c>
      <c r="Z11">
        <f t="shared" si="1"/>
        <v>5.819599023146394E-4</v>
      </c>
      <c r="AA11">
        <f t="shared" si="2"/>
        <v>1.3996416328062946E-10</v>
      </c>
      <c r="AB11" t="str">
        <f t="shared" si="3"/>
        <v/>
      </c>
    </row>
    <row r="12" spans="1:28">
      <c r="A12">
        <f>Fixed_Opportunity!A12</f>
        <v>1</v>
      </c>
      <c r="B12">
        <f>Fixed_Opportunity!B12</f>
        <v>4</v>
      </c>
      <c r="C12">
        <f>Fixed_Opportunity!C12</f>
        <v>15</v>
      </c>
      <c r="D12">
        <f>Fixed_Opportunity!D12</f>
        <v>13</v>
      </c>
      <c r="E12">
        <f>IF(D12&gt;C12,"",Fixed_Opportunity!N12)</f>
        <v>8.5351588285514931E-9</v>
      </c>
      <c r="F12">
        <f>IF(D12&gt;C12,"",Fixed_Opportunity!O12)</f>
        <v>4.0829620454846394E-3</v>
      </c>
      <c r="G12">
        <f>IF(D12&gt;C12,"",Fixed_Opportunity!P12)</f>
        <v>2.4386168081575695E-10</v>
      </c>
      <c r="H12" t="str">
        <f>IF(OR(D12&gt;C12,D12&gt;B12),"",Fixed_Opportunity!Q12)</f>
        <v/>
      </c>
      <c r="I12">
        <f>Marginal_Model!J12</f>
        <v>8.128722693858571E-11</v>
      </c>
      <c r="J12">
        <f>Marginal_Model!K12</f>
        <v>3.8445459003491648E-11</v>
      </c>
      <c r="K12">
        <f>Marginal_Model!L12</f>
        <v>2.2915279271299629E-18</v>
      </c>
      <c r="L12" t="str">
        <f>IF(D12&gt;B12,"",Marginal_Model!M12)</f>
        <v/>
      </c>
      <c r="M12">
        <f>IF(D12&gt;C12,"",Fixed_Opportunity!R12)</f>
        <v>18.579071871786862</v>
      </c>
      <c r="N12">
        <f>IF(D12&gt;C12,"",Fixed_Opportunity!S12)</f>
        <v>5.5009325624300933</v>
      </c>
      <c r="O12">
        <f>IF(D12&gt;C12,"",Fixed_Opportunity!T12)</f>
        <v>22.134419933276277</v>
      </c>
      <c r="P12" t="str">
        <f>IF(OR(D12&gt;C12,D12&gt;B12),"",Fixed_Opportunity!U12)</f>
        <v/>
      </c>
      <c r="Q12">
        <f>Marginal_Model!N12</f>
        <v>23.233032221944384</v>
      </c>
      <c r="R12">
        <f>Marginal_Model!O12</f>
        <v>23.981780528291026</v>
      </c>
      <c r="S12">
        <f>Marginal_Model!P12</f>
        <v>40.617312861729715</v>
      </c>
      <c r="T12" t="str">
        <f>IF(D12&gt;B12,"",Marginal_Model!Q12)</f>
        <v/>
      </c>
      <c r="U12">
        <f>IF(D12&gt;C12,"",Inputs!$B$7*M12+Inputs!$B$8*Q12)</f>
        <v>19.509863941818367</v>
      </c>
      <c r="V12">
        <f>IF(D12&gt;C12,"",Inputs!$B$7*N12+Inputs!$B$8*R12)</f>
        <v>9.1971021556022787</v>
      </c>
      <c r="W12">
        <f>IF(D12&gt;C12,"",Inputs!$B$7*O12+Inputs!$B$8*S12)</f>
        <v>25.830998518966965</v>
      </c>
      <c r="X12" t="str">
        <f>IF(OR(D12&gt;C12,D12&gt;B12),"",Inputs!$B$7*P12+Inputs!$B$8*T12)</f>
        <v/>
      </c>
      <c r="Y12">
        <f t="shared" si="0"/>
        <v>3.3649122824288189E-9</v>
      </c>
      <c r="Z12">
        <f t="shared" si="1"/>
        <v>1.0133262295104354E-4</v>
      </c>
      <c r="AA12">
        <f t="shared" si="2"/>
        <v>6.0497841696088488E-12</v>
      </c>
      <c r="AB12" t="str">
        <f t="shared" si="3"/>
        <v/>
      </c>
    </row>
    <row r="13" spans="1:28">
      <c r="A13">
        <f>Fixed_Opportunity!A13</f>
        <v>1</v>
      </c>
      <c r="B13">
        <f>Fixed_Opportunity!B13</f>
        <v>4</v>
      </c>
      <c r="C13">
        <f>Fixed_Opportunity!C13</f>
        <v>15</v>
      </c>
      <c r="D13">
        <f>Fixed_Opportunity!D13</f>
        <v>14</v>
      </c>
      <c r="E13">
        <f>IF(D13&gt;C13,"",Fixed_Opportunity!N13)</f>
        <v>5.1885464003352544E-11</v>
      </c>
      <c r="F13">
        <f>IF(D13&gt;C13,"",Fixed_Opportunity!O13)</f>
        <v>4.6415551946632494E-4</v>
      </c>
      <c r="G13">
        <f>IF(D13&gt;C13,"",Fixed_Opportunity!P13)</f>
        <v>6.9180618671136717E-12</v>
      </c>
      <c r="H13" t="str">
        <f>IF(OR(D13&gt;C13,D13&gt;B13),"",Fixed_Opportunity!Q13)</f>
        <v/>
      </c>
      <c r="I13">
        <f>Marginal_Model!J13</f>
        <v>3.4590309335568387E-12</v>
      </c>
      <c r="J13">
        <f>Marginal_Model!K13</f>
        <v>4.3626052769919598E-12</v>
      </c>
      <c r="K13">
        <f>Marginal_Model!L13</f>
        <v>6.5007884457587597E-20</v>
      </c>
      <c r="L13" t="str">
        <f>IF(D13&gt;B13,"",Marginal_Model!M13)</f>
        <v/>
      </c>
      <c r="M13">
        <f>IF(D13&gt;C13,"",Fixed_Opportunity!R13)</f>
        <v>23.68198244199229</v>
      </c>
      <c r="N13">
        <f>IF(D13&gt;C13,"",Fixed_Opportunity!S13)</f>
        <v>7.6752908906317279</v>
      </c>
      <c r="O13">
        <f>IF(D13&gt;C13,"",Fixed_Opportunity!T13)</f>
        <v>25.696885462534553</v>
      </c>
      <c r="P13" t="str">
        <f>IF(OR(D13&gt;C13,D13&gt;B13),"",Fixed_Opportunity!U13)</f>
        <v/>
      </c>
      <c r="Q13">
        <f>Marginal_Model!N13</f>
        <v>26.3900326430945</v>
      </c>
      <c r="R13">
        <f>Marginal_Model!O13</f>
        <v>26.157951696429414</v>
      </c>
      <c r="S13">
        <f>Marginal_Model!P13</f>
        <v>44.179778390987991</v>
      </c>
      <c r="T13" t="str">
        <f>IF(D13&gt;B13,"",Marginal_Model!Q13)</f>
        <v/>
      </c>
      <c r="U13">
        <f>IF(D13&gt;C13,"",Inputs!$B$7*M13+Inputs!$B$8*Q13)</f>
        <v>24.22359248221273</v>
      </c>
      <c r="V13">
        <f>IF(D13&gt;C13,"",Inputs!$B$7*N13+Inputs!$B$8*R13)</f>
        <v>11.371823051791264</v>
      </c>
      <c r="W13">
        <f>IF(D13&gt;C13,"",Inputs!$B$7*O13+Inputs!$B$8*S13)</f>
        <v>29.393464048225241</v>
      </c>
      <c r="X13" t="str">
        <f>IF(OR(D13&gt;C13,D13&gt;B13),"",Inputs!$B$7*P13+Inputs!$B$8*T13)</f>
        <v/>
      </c>
      <c r="Y13">
        <f t="shared" si="0"/>
        <v>3.0187521200780056E-11</v>
      </c>
      <c r="Z13">
        <f t="shared" si="1"/>
        <v>1.1515425750818239E-5</v>
      </c>
      <c r="AA13">
        <f t="shared" si="2"/>
        <v>1.7162508282578324E-13</v>
      </c>
      <c r="AB13" t="str">
        <f t="shared" si="3"/>
        <v/>
      </c>
    </row>
    <row r="14" spans="1:28">
      <c r="A14">
        <f>Fixed_Opportunity!A14</f>
        <v>1</v>
      </c>
      <c r="B14">
        <f>Fixed_Opportunity!B14</f>
        <v>4</v>
      </c>
      <c r="C14">
        <f>Fixed_Opportunity!C14</f>
        <v>15</v>
      </c>
      <c r="D14">
        <f>Fixed_Opportunity!D14</f>
        <v>15</v>
      </c>
      <c r="E14">
        <f>IF(D14&gt;C14,"",Fixed_Opportunity!N14)</f>
        <v>7.5196324642539908E-14</v>
      </c>
      <c r="F14">
        <f>IF(D14&gt;C14,"",Fixed_Opportunity!O14)</f>
        <v>2.0185155971907953E-5</v>
      </c>
      <c r="G14">
        <f>IF(D14&gt;C14,"",Fixed_Opportunity!P14)</f>
        <v>7.5196324642539908E-14</v>
      </c>
      <c r="H14" t="str">
        <f>IF(OR(D14&gt;C14,D14&gt;B14),"",Fixed_Opportunity!Q14)</f>
        <v/>
      </c>
      <c r="I14">
        <f>Marginal_Model!J14</f>
        <v>7.5196324642539971E-14</v>
      </c>
      <c r="J14">
        <f>Marginal_Model!K14</f>
        <v>3.7935698060799651E-13</v>
      </c>
      <c r="K14">
        <f>Marginal_Model!L14</f>
        <v>1.4132148795127738E-21</v>
      </c>
      <c r="L14" t="str">
        <f>IF(D14&gt;B14,"",Marginal_Model!M14)</f>
        <v/>
      </c>
      <c r="M14">
        <f>IF(D14&gt;C14,"",Fixed_Opportunity!R14)</f>
        <v>30.218674039583593</v>
      </c>
      <c r="N14">
        <f>IF(D14&gt;C14,"",Fixed_Opportunity!S14)</f>
        <v>10.810563076569682</v>
      </c>
      <c r="O14">
        <f>IF(D14&gt;C14,"",Fixed_Opportunity!T14)</f>
        <v>30.218674039583593</v>
      </c>
      <c r="P14" t="str">
        <f>IF(OR(D14&gt;C14,D14&gt;B14),"",Fixed_Opportunity!U14)</f>
        <v/>
      </c>
      <c r="Q14">
        <f>Marginal_Model!N14</f>
        <v>30.218674039583593</v>
      </c>
      <c r="R14">
        <f>Marginal_Model!O14</f>
        <v>28.600298731798617</v>
      </c>
      <c r="S14">
        <f>Marginal_Model!P14</f>
        <v>48.008419787477088</v>
      </c>
      <c r="T14" t="str">
        <f>IF(D14&gt;B14,"",Marginal_Model!Q14)</f>
        <v/>
      </c>
      <c r="U14">
        <f>IF(D14&gt;C14,"",Inputs!$B$7*M14+Inputs!$B$8*Q14)</f>
        <v>30.218674039583593</v>
      </c>
      <c r="V14">
        <f>IF(D14&gt;C14,"",Inputs!$B$7*N14+Inputs!$B$8*R14)</f>
        <v>14.368510207615468</v>
      </c>
      <c r="W14">
        <f>IF(D14&gt;C14,"",Inputs!$B$7*O14+Inputs!$B$8*S14)</f>
        <v>33.776623189162294</v>
      </c>
      <c r="X14" t="str">
        <f>IF(OR(D14&gt;C14,D14&gt;B14),"",Inputs!$B$7*P14+Inputs!$B$8*T14)</f>
        <v/>
      </c>
      <c r="Y14">
        <f t="shared" si="0"/>
        <v>7.5196324642540034E-14</v>
      </c>
      <c r="Z14">
        <f t="shared" si="1"/>
        <v>5.7522175615738375E-7</v>
      </c>
      <c r="AA14">
        <f t="shared" si="2"/>
        <v>2.1428853295457254E-15</v>
      </c>
      <c r="AB14" t="str">
        <f t="shared" si="3"/>
        <v/>
      </c>
    </row>
    <row r="15" spans="1:28">
      <c r="A15">
        <f>Fixed_Opportunity!A15</f>
        <v>2</v>
      </c>
      <c r="B15">
        <f>Fixed_Opportunity!B15</f>
        <v>5</v>
      </c>
      <c r="C15">
        <f>Fixed_Opportunity!C15</f>
        <v>15</v>
      </c>
      <c r="D15">
        <f>Fixed_Opportunity!D15</f>
        <v>3</v>
      </c>
      <c r="E15">
        <f>IF(D15&gt;C15,"",Fixed_Opportunity!N15)</f>
        <v>0.9999997799712439</v>
      </c>
      <c r="F15">
        <f>IF(D15&gt;C15,"",Fixed_Opportunity!O15)</f>
        <v>0.99998243580807977</v>
      </c>
      <c r="G15">
        <f>IF(D15&gt;C15,"",Fixed_Opportunity!P15)</f>
        <v>0.35466513807856237</v>
      </c>
      <c r="H15">
        <f>IF(OR(D15&gt;C15,D15&gt;B15),"",Fixed_Opportunity!Q15)</f>
        <v>0.63604926509087356</v>
      </c>
      <c r="I15">
        <f>Marginal_Model!J15</f>
        <v>3.3691225472047399E-2</v>
      </c>
      <c r="J15">
        <f>Marginal_Model!K15</f>
        <v>2.4065161051462423E-2</v>
      </c>
      <c r="K15">
        <f>Marginal_Model!L15</f>
        <v>9.6260644205849687E-4</v>
      </c>
      <c r="L15">
        <f>IF(D15&gt;B15,"",Marginal_Model!M15)</f>
        <v>2.2213994816734544E-3</v>
      </c>
      <c r="M15">
        <f>IF(D15&gt;C15,"",Fixed_Opportunity!R15)</f>
        <v>2.2002878031015974E-7</v>
      </c>
      <c r="N15">
        <f>IF(D15&gt;C15,"",Fixed_Opportunity!S15)</f>
        <v>1.756434617245252E-5</v>
      </c>
      <c r="O15">
        <f>IF(D15&gt;C15,"",Fixed_Opportunity!T15)</f>
        <v>1.0365812076868104</v>
      </c>
      <c r="P15">
        <f>IF(OR(D15&gt;C15,D15&gt;B15),"",Fixed_Opportunity!U15)</f>
        <v>0.45247925780724357</v>
      </c>
      <c r="Q15">
        <f>Marginal_Model!N15</f>
        <v>3.3905178472757651</v>
      </c>
      <c r="R15">
        <f>Marginal_Model!O15</f>
        <v>3.7269900838969785</v>
      </c>
      <c r="S15">
        <f>Marginal_Model!P15</f>
        <v>6.9458659087651791</v>
      </c>
      <c r="T15">
        <f>IF(D15&gt;B15,"",Marginal_Model!Q15)</f>
        <v>6.1096178845645603</v>
      </c>
      <c r="U15">
        <f>IF(D15&gt;C15,"",Inputs!$B$7*M15+Inputs!$B$8*Q15)</f>
        <v>0.67810374547817709</v>
      </c>
      <c r="V15">
        <f>IF(D15&gt;C15,"",Inputs!$B$7*N15+Inputs!$B$8*R15)</f>
        <v>0.74541206825633355</v>
      </c>
      <c r="W15">
        <f>IF(D15&gt;C15,"",Inputs!$B$7*O15+Inputs!$B$8*S15)</f>
        <v>2.2184381479024839</v>
      </c>
      <c r="X15">
        <f>IF(OR(D15&gt;C15,D15&gt;B15),"",Inputs!$B$7*P15+Inputs!$B$8*T15)</f>
        <v>1.5839069831587067</v>
      </c>
      <c r="Y15">
        <f t="shared" si="0"/>
        <v>0.50757857854612887</v>
      </c>
      <c r="Z15">
        <f t="shared" si="1"/>
        <v>0.47453871730417979</v>
      </c>
      <c r="AA15">
        <f t="shared" si="2"/>
        <v>0.10877887272792965</v>
      </c>
      <c r="AB15">
        <f t="shared" si="3"/>
        <v>0.2051719269749866</v>
      </c>
    </row>
    <row r="16" spans="1:28">
      <c r="A16">
        <f>Fixed_Opportunity!A16</f>
        <v>2</v>
      </c>
      <c r="B16">
        <f>Fixed_Opportunity!B16</f>
        <v>5</v>
      </c>
      <c r="C16">
        <f>Fixed_Opportunity!C16</f>
        <v>15</v>
      </c>
      <c r="D16">
        <f>Fixed_Opportunity!D16</f>
        <v>4</v>
      </c>
      <c r="E16">
        <f>IF(D16&gt;C16,"",Fixed_Opportunity!N16)</f>
        <v>0.99953092777095853</v>
      </c>
      <c r="F16">
        <f>IF(D16&gt;C16,"",Fixed_Opportunity!O16)</f>
        <v>0.99978020304465232</v>
      </c>
      <c r="G16">
        <f>IF(D16&gt;C16,"",Fixed_Opportunity!P16)</f>
        <v>6.5162396564701353E-2</v>
      </c>
      <c r="H16">
        <f>IF(OR(D16&gt;C16,D16&gt;B16),"",Fixed_Opportunity!Q16)</f>
        <v>8.077840887136567E-2</v>
      </c>
      <c r="I16">
        <f>Marginal_Model!J16</f>
        <v>5.6152042453412329E-3</v>
      </c>
      <c r="J16">
        <f>Marginal_Model!K16</f>
        <v>3.0852770578797973E-3</v>
      </c>
      <c r="K16">
        <f>Marginal_Model!L16</f>
        <v>2.468221646303838E-5</v>
      </c>
      <c r="L16">
        <f>IF(D16&gt;B16,"",Marginal_Model!M16)</f>
        <v>6.1705541157595955E-5</v>
      </c>
      <c r="M16">
        <f>IF(D16&gt;C16,"",Fixed_Opportunity!R16)</f>
        <v>4.6918227783473033E-4</v>
      </c>
      <c r="N16">
        <f>IF(D16&gt;C16,"",Fixed_Opportunity!S16)</f>
        <v>2.1982111423857285E-4</v>
      </c>
      <c r="O16">
        <f>IF(D16&gt;C16,"",Fixed_Opportunity!T16)</f>
        <v>2.7308727162330997</v>
      </c>
      <c r="P16">
        <f>IF(OR(D16&gt;C16,D16&gt;B16),"",Fixed_Opportunity!U16)</f>
        <v>2.5160455661024388</v>
      </c>
      <c r="Q16">
        <f>Marginal_Model!N16</f>
        <v>5.1822773165038205</v>
      </c>
      <c r="R16">
        <f>Marginal_Model!O16</f>
        <v>5.7811138175925247</v>
      </c>
      <c r="S16">
        <f>Marginal_Model!P16</f>
        <v>10.609427554894825</v>
      </c>
      <c r="T16">
        <f>IF(D16&gt;B16,"",Marginal_Model!Q16)</f>
        <v>9.6931368230206711</v>
      </c>
      <c r="U16">
        <f>IF(D16&gt;C16,"",Inputs!$B$7*M16+Inputs!$B$8*Q16)</f>
        <v>1.0368308091230316</v>
      </c>
      <c r="V16">
        <f>IF(D16&gt;C16,"",Inputs!$B$7*N16+Inputs!$B$8*R16)</f>
        <v>1.1563986204098955</v>
      </c>
      <c r="W16">
        <f>IF(D16&gt;C16,"",Inputs!$B$7*O16+Inputs!$B$8*S16)</f>
        <v>4.3065836839654441</v>
      </c>
      <c r="X16">
        <f>IF(OR(D16&gt;C16,D16&gt;B16),"",Inputs!$B$7*P16+Inputs!$B$8*T16)</f>
        <v>3.951463817486085</v>
      </c>
      <c r="Y16">
        <f t="shared" si="0"/>
        <v>0.35457662419777575</v>
      </c>
      <c r="Z16">
        <f t="shared" si="1"/>
        <v>0.31461719900657387</v>
      </c>
      <c r="AA16">
        <f t="shared" si="2"/>
        <v>1.3479521327397525E-2</v>
      </c>
      <c r="AB16">
        <f t="shared" si="3"/>
        <v>1.9226537025294796E-2</v>
      </c>
    </row>
    <row r="17" spans="1:28">
      <c r="A17">
        <f>Fixed_Opportunity!A17</f>
        <v>2</v>
      </c>
      <c r="B17">
        <f>Fixed_Opportunity!B17</f>
        <v>5</v>
      </c>
      <c r="C17">
        <f>Fixed_Opportunity!C17</f>
        <v>15</v>
      </c>
      <c r="D17">
        <f>Fixed_Opportunity!D17</f>
        <v>5</v>
      </c>
      <c r="E17">
        <f>IF(D17&gt;C17,"",Fixed_Opportunity!N17)</f>
        <v>0.92664858965648977</v>
      </c>
      <c r="F17">
        <f>IF(D17&gt;C17,"",Fixed_Opportunity!O17)</f>
        <v>0.9974736593208503</v>
      </c>
      <c r="G17">
        <f>IF(D17&gt;C17,"",Fixed_Opportunity!P17)</f>
        <v>9.5239307739855006E-3</v>
      </c>
      <c r="H17">
        <f>IF(OR(D17&gt;C17,D17&gt;B17),"",Fixed_Opportunity!Q17)</f>
        <v>2.6064808778946125E-3</v>
      </c>
      <c r="I17">
        <f>Marginal_Model!J17</f>
        <v>8.6996122110920499E-4</v>
      </c>
      <c r="J17">
        <f>Marginal_Model!K17</f>
        <v>3.9833389244926961E-4</v>
      </c>
      <c r="K17">
        <f>Marginal_Model!L17</f>
        <v>6.3733422791883147E-7</v>
      </c>
      <c r="L17">
        <f>IF(D17&gt;B17,"",Marginal_Model!M17)</f>
        <v>8.6909212898022475E-7</v>
      </c>
      <c r="M17">
        <f>IF(D17&gt;C17,"",Fixed_Opportunity!R17)</f>
        <v>7.6180868720778103E-2</v>
      </c>
      <c r="N17">
        <f>IF(D17&gt;C17,"",Fixed_Opportunity!S17)</f>
        <v>2.5295372626708825E-3</v>
      </c>
      <c r="O17">
        <f>IF(D17&gt;C17,"",Fixed_Opportunity!T17)</f>
        <v>4.6539476189700881</v>
      </c>
      <c r="P17">
        <f>IF(OR(D17&gt;C17,D17&gt;B17),"",Fixed_Opportunity!U17)</f>
        <v>5.9497542900981548</v>
      </c>
      <c r="Q17">
        <f>Marginal_Model!N17</f>
        <v>7.0470619207467653</v>
      </c>
      <c r="R17">
        <f>Marginal_Model!O17</f>
        <v>7.8282199786294244</v>
      </c>
      <c r="S17">
        <f>Marginal_Model!P17</f>
        <v>14.265971628365826</v>
      </c>
      <c r="T17">
        <f>IF(D17&gt;B17,"",Marginal_Model!Q17)</f>
        <v>13.955816700061986</v>
      </c>
      <c r="U17">
        <f>IF(D17&gt;C17,"",Inputs!$B$7*M17+Inputs!$B$8*Q17)</f>
        <v>1.4703570791259752</v>
      </c>
      <c r="V17">
        <f>IF(D17&gt;C17,"",Inputs!$B$7*N17+Inputs!$B$8*R17)</f>
        <v>1.5676676255360211</v>
      </c>
      <c r="W17">
        <f>IF(D17&gt;C17,"",Inputs!$B$7*O17+Inputs!$B$8*S17)</f>
        <v>6.5763524208492354</v>
      </c>
      <c r="X17">
        <f>IF(OR(D17&gt;C17,D17&gt;B17),"",Inputs!$B$7*P17+Inputs!$B$8*T17)</f>
        <v>7.5509667720909199</v>
      </c>
      <c r="Y17">
        <f t="shared" si="0"/>
        <v>0.22984339825207159</v>
      </c>
      <c r="Z17">
        <f t="shared" si="1"/>
        <v>0.2085309879477503</v>
      </c>
      <c r="AA17">
        <f t="shared" si="2"/>
        <v>1.392920828775915E-3</v>
      </c>
      <c r="AB17">
        <f t="shared" si="3"/>
        <v>5.2560174431316676E-4</v>
      </c>
    </row>
    <row r="18" spans="1:28">
      <c r="A18">
        <f>Fixed_Opportunity!A18</f>
        <v>2</v>
      </c>
      <c r="B18">
        <f>Fixed_Opportunity!B18</f>
        <v>5</v>
      </c>
      <c r="C18">
        <f>Fixed_Opportunity!C18</f>
        <v>15</v>
      </c>
      <c r="D18">
        <f>Fixed_Opportunity!D18</f>
        <v>6</v>
      </c>
      <c r="E18">
        <f>IF(D18&gt;C18,"",Fixed_Opportunity!N18)</f>
        <v>0.46314233372247893</v>
      </c>
      <c r="F18">
        <f>IF(D18&gt;C18,"",Fixed_Opportunity!O18)</f>
        <v>0.97942658254676562</v>
      </c>
      <c r="G18">
        <f>IF(D18&gt;C18,"",Fixed_Opportunity!P18)</f>
        <v>1.2420297861838181E-3</v>
      </c>
      <c r="H18" t="str">
        <f>IF(OR(D18&gt;C18,D18&gt;B18),"",Fixed_Opportunity!Q18)</f>
        <v/>
      </c>
      <c r="I18">
        <f>Marginal_Model!J18</f>
        <v>1.2428017444417213E-4</v>
      </c>
      <c r="J18">
        <f>Marginal_Model!K18</f>
        <v>5.1731674344060982E-5</v>
      </c>
      <c r="K18">
        <f>Marginal_Model!L18</f>
        <v>1.6554135790099519E-8</v>
      </c>
      <c r="L18" t="str">
        <f>IF(D18&gt;B18,"",Marginal_Model!M18)</f>
        <v/>
      </c>
      <c r="M18">
        <f>IF(D18&gt;C18,"",Fixed_Opportunity!R18)</f>
        <v>0.76972085589134098</v>
      </c>
      <c r="N18">
        <f>IF(D18&gt;C18,"",Fixed_Opportunity!S18)</f>
        <v>2.0787998417182398E-2</v>
      </c>
      <c r="O18">
        <f>IF(D18&gt;C18,"",Fixed_Opportunity!T18)</f>
        <v>6.6910083133237874</v>
      </c>
      <c r="P18" t="str">
        <f>IF(OR(D18&gt;C18,D18&gt;B18),"",Fixed_Opportunity!U18)</f>
        <v/>
      </c>
      <c r="Q18">
        <f>Marginal_Model!N18</f>
        <v>8.9929720698020787</v>
      </c>
      <c r="R18">
        <f>Marginal_Model!O18</f>
        <v>9.8694403074890626</v>
      </c>
      <c r="S18">
        <f>Marginal_Model!P18</f>
        <v>17.916629869659563</v>
      </c>
      <c r="T18" t="str">
        <f>IF(D18&gt;B18,"",Marginal_Model!Q18)</f>
        <v/>
      </c>
      <c r="U18">
        <f>IF(D18&gt;C18,"",Inputs!$B$7*M18+Inputs!$B$8*Q18)</f>
        <v>2.4143710986734881</v>
      </c>
      <c r="V18">
        <f>IF(D18&gt;C18,"",Inputs!$B$7*N18+Inputs!$B$8*R18)</f>
        <v>1.990518460231558</v>
      </c>
      <c r="W18">
        <f>IF(D18&gt;C18,"",Inputs!$B$7*O18+Inputs!$B$8*S18)</f>
        <v>8.9361326245909414</v>
      </c>
      <c r="X18" t="str">
        <f>IF(OR(D18&gt;C18,D18&gt;B18),"",Inputs!$B$7*P18+Inputs!$B$8*T18)</f>
        <v/>
      </c>
      <c r="Y18">
        <f t="shared" si="0"/>
        <v>8.9423559836598859E-2</v>
      </c>
      <c r="Z18">
        <f t="shared" si="1"/>
        <v>0.13662457267235414</v>
      </c>
      <c r="AA18">
        <f t="shared" si="2"/>
        <v>1.3154880630585479E-4</v>
      </c>
      <c r="AB18" t="str">
        <f t="shared" si="3"/>
        <v/>
      </c>
    </row>
    <row r="19" spans="1:28">
      <c r="A19">
        <f>Fixed_Opportunity!A19</f>
        <v>2</v>
      </c>
      <c r="B19">
        <f>Fixed_Opportunity!B19</f>
        <v>5</v>
      </c>
      <c r="C19">
        <f>Fixed_Opportunity!C19</f>
        <v>15</v>
      </c>
      <c r="D19">
        <f>Fixed_Opportunity!D19</f>
        <v>7</v>
      </c>
      <c r="E19">
        <f>IF(D19&gt;C19,"",Fixed_Opportunity!N19)</f>
        <v>9.9057907996357053E-2</v>
      </c>
      <c r="F19">
        <f>IF(D19&gt;C19,"",Fixed_Opportunity!O19)</f>
        <v>0.8976744202682877</v>
      </c>
      <c r="G19">
        <f>IF(D19&gt;C19,"",Fixed_Opportunity!P19)</f>
        <v>1.458834757964711E-4</v>
      </c>
      <c r="H19" t="str">
        <f>IF(OR(D19&gt;C19,D19&gt;B19),"",Fixed_Opportunity!Q19)</f>
        <v/>
      </c>
      <c r="I19">
        <f>Marginal_Model!J19</f>
        <v>1.6210457536196364E-5</v>
      </c>
      <c r="J19">
        <f>Marginal_Model!K19</f>
        <v>6.7476096970514322E-6</v>
      </c>
      <c r="K19">
        <f>Marginal_Model!L19</f>
        <v>4.3184702061129177E-10</v>
      </c>
      <c r="L19" t="str">
        <f>IF(D19&gt;B19,"",Marginal_Model!M19)</f>
        <v/>
      </c>
      <c r="M19">
        <f>IF(D19&gt;C19,"",Fixed_Opportunity!R19)</f>
        <v>2.3120506705958523</v>
      </c>
      <c r="N19">
        <f>IF(D19&gt;C19,"",Fixed_Opportunity!S19)</f>
        <v>0.10794783736950339</v>
      </c>
      <c r="O19">
        <f>IF(D19&gt;C19,"",Fixed_Opportunity!T19)</f>
        <v>8.832702365899145</v>
      </c>
      <c r="P19" t="str">
        <f>IF(OR(D19&gt;C19,D19&gt;B19),"",Fixed_Opportunity!U19)</f>
        <v/>
      </c>
      <c r="Q19">
        <f>Marginal_Model!N19</f>
        <v>11.029853997063119</v>
      </c>
      <c r="R19">
        <f>Marginal_Model!O19</f>
        <v>11.906322234750103</v>
      </c>
      <c r="S19">
        <f>Marginal_Model!P19</f>
        <v>21.562949709354704</v>
      </c>
      <c r="T19" t="str">
        <f>IF(D19&gt;B19,"",Marginal_Model!Q19)</f>
        <v/>
      </c>
      <c r="U19">
        <f>IF(D19&gt;C19,"",Inputs!$B$7*M19+Inputs!$B$8*Q19)</f>
        <v>4.0556113358893056</v>
      </c>
      <c r="V19">
        <f>IF(D19&gt;C19,"",Inputs!$B$7*N19+Inputs!$B$8*R19)</f>
        <v>2.4676227168456228</v>
      </c>
      <c r="W19">
        <f>IF(D19&gt;C19,"",Inputs!$B$7*O19+Inputs!$B$8*S19)</f>
        <v>11.378751834590258</v>
      </c>
      <c r="X19" t="str">
        <f>IF(OR(D19&gt;C19,D19&gt;B19),"",Inputs!$B$7*P19+Inputs!$B$8*T19)</f>
        <v/>
      </c>
      <c r="Y19">
        <f t="shared" si="0"/>
        <v>1.7324885621019744E-2</v>
      </c>
      <c r="Z19">
        <f t="shared" si="1"/>
        <v>8.4786180366115224E-2</v>
      </c>
      <c r="AA19">
        <f t="shared" si="2"/>
        <v>1.1435913646105979E-5</v>
      </c>
      <c r="AB19" t="str">
        <f t="shared" si="3"/>
        <v/>
      </c>
    </row>
    <row r="20" spans="1:28">
      <c r="A20">
        <f>Fixed_Opportunity!A20</f>
        <v>2</v>
      </c>
      <c r="B20">
        <f>Fixed_Opportunity!B20</f>
        <v>5</v>
      </c>
      <c r="C20">
        <f>Fixed_Opportunity!C20</f>
        <v>15</v>
      </c>
      <c r="D20">
        <f>Fixed_Opportunity!D20</f>
        <v>8</v>
      </c>
      <c r="E20">
        <f>IF(D20&gt;C20,"",Fixed_Opportunity!N20)</f>
        <v>1.2197272715614216E-2</v>
      </c>
      <c r="F20">
        <f>IF(D20&gt;C20,"",Fixed_Opportunity!O20)</f>
        <v>0.69636999482615825</v>
      </c>
      <c r="G20">
        <f>IF(D20&gt;C20,"",Fixed_Opportunity!P20)</f>
        <v>1.5256784824613234E-5</v>
      </c>
      <c r="H20" t="str">
        <f>IF(OR(D20&gt;C20,D20&gt;B20),"",Fixed_Opportunity!Q20)</f>
        <v/>
      </c>
      <c r="I20">
        <f>Marginal_Model!J20</f>
        <v>1.9071126513172193E-6</v>
      </c>
      <c r="J20">
        <f>Marginal_Model!K20</f>
        <v>8.8204048327469711E-7</v>
      </c>
      <c r="K20">
        <f>Marginal_Model!L20</f>
        <v>1.1290118185916125E-11</v>
      </c>
      <c r="L20" t="str">
        <f>IF(D20&gt;B20,"",Marginal_Model!M20)</f>
        <v/>
      </c>
      <c r="M20">
        <f>IF(D20&gt;C20,"",Fixed_Opportunity!R20)</f>
        <v>4.4065429001339567</v>
      </c>
      <c r="N20">
        <f>IF(D20&gt;C20,"",Fixed_Opportunity!S20)</f>
        <v>0.36187415813615531</v>
      </c>
      <c r="O20">
        <f>IF(D20&gt;C20,"",Fixed_Opportunity!T20)</f>
        <v>11.090486247320404</v>
      </c>
      <c r="P20" t="str">
        <f>IF(OR(D20&gt;C20,D20&gt;B20),"",Fixed_Opportunity!U20)</f>
        <v/>
      </c>
      <c r="Q20">
        <f>Marginal_Model!N20</f>
        <v>13.169920160559389</v>
      </c>
      <c r="R20">
        <f>Marginal_Model!O20</f>
        <v>13.941027882588546</v>
      </c>
      <c r="S20">
        <f>Marginal_Model!P20</f>
        <v>25.207093269627251</v>
      </c>
      <c r="T20" t="str">
        <f>IF(D20&gt;B20,"",Marginal_Model!Q20)</f>
        <v/>
      </c>
      <c r="U20">
        <f>IF(D20&gt;C20,"",Inputs!$B$7*M20+Inputs!$B$8*Q20)</f>
        <v>6.1592183522190425</v>
      </c>
      <c r="V20">
        <f>IF(D20&gt;C20,"",Inputs!$B$7*N20+Inputs!$B$8*R20)</f>
        <v>3.0777049030266328</v>
      </c>
      <c r="W20">
        <f>IF(D20&gt;C20,"",Inputs!$B$7*O20+Inputs!$B$8*S20)</f>
        <v>13.913807651781774</v>
      </c>
      <c r="X20" t="str">
        <f>IF(OR(D20&gt;C20,D20&gt;B20),"",Inputs!$B$7*P20+Inputs!$B$8*T20)</f>
        <v/>
      </c>
      <c r="Y20">
        <f t="shared" si="0"/>
        <v>2.1139049552486677E-3</v>
      </c>
      <c r="Z20">
        <f t="shared" si="1"/>
        <v>4.6064858737039256E-2</v>
      </c>
      <c r="AA20">
        <f t="shared" si="2"/>
        <v>9.0637958397857385E-7</v>
      </c>
      <c r="AB20" t="str">
        <f t="shared" si="3"/>
        <v/>
      </c>
    </row>
    <row r="21" spans="1:28">
      <c r="A21">
        <f>Fixed_Opportunity!A21</f>
        <v>2</v>
      </c>
      <c r="B21">
        <f>Fixed_Opportunity!B21</f>
        <v>5</v>
      </c>
      <c r="C21">
        <f>Fixed_Opportunity!C21</f>
        <v>15</v>
      </c>
      <c r="D21">
        <f>Fixed_Opportunity!D21</f>
        <v>9</v>
      </c>
      <c r="E21">
        <f>IF(D21&gt;C21,"",Fixed_Opportunity!N21)</f>
        <v>9.9675204277105411E-4</v>
      </c>
      <c r="F21">
        <f>IF(D21&gt;C21,"",Fixed_Opportunity!O21)</f>
        <v>0.42005719502267069</v>
      </c>
      <c r="G21">
        <f>IF(D21&gt;C21,"",Fixed_Opportunity!P21)</f>
        <v>1.3947530559388355E-6</v>
      </c>
      <c r="H21" t="str">
        <f>IF(OR(D21&gt;C21,D21&gt;B21),"",Fixed_Opportunity!Q21)</f>
        <v/>
      </c>
      <c r="I21">
        <f>Marginal_Model!J21</f>
        <v>1.9925057551075426E-7</v>
      </c>
      <c r="J21">
        <f>Marginal_Model!K21</f>
        <v>1.1519185415900895E-7</v>
      </c>
      <c r="K21">
        <f>Marginal_Model!L21</f>
        <v>2.9489114664706294E-13</v>
      </c>
      <c r="L21" t="str">
        <f>IF(D21&gt;B21,"",Marginal_Model!M21)</f>
        <v/>
      </c>
      <c r="M21">
        <f>IF(D21&gt;C21,"",Fixed_Opportunity!R21)</f>
        <v>6.9110085222732023</v>
      </c>
      <c r="N21">
        <f>IF(D21&gt;C21,"",Fixed_Opportunity!S21)</f>
        <v>0.86736439835078394</v>
      </c>
      <c r="O21">
        <f>IF(D21&gt;C21,"",Fixed_Opportunity!T21)</f>
        <v>13.482793179193358</v>
      </c>
      <c r="P21" t="str">
        <f>IF(OR(D21&gt;C21,D21&gt;B21),"",Fixed_Opportunity!U21)</f>
        <v/>
      </c>
      <c r="Q21">
        <f>Marginal_Model!N21</f>
        <v>15.428702630895042</v>
      </c>
      <c r="R21">
        <f>Marginal_Model!O21</f>
        <v>15.976666801609991</v>
      </c>
      <c r="S21">
        <f>Marginal_Model!P21</f>
        <v>28.852170101082791</v>
      </c>
      <c r="T21" t="str">
        <f>IF(D21&gt;B21,"",Marginal_Model!Q21)</f>
        <v/>
      </c>
      <c r="U21">
        <f>IF(D21&gt;C21,"",Inputs!$B$7*M21+Inputs!$B$8*Q21)</f>
        <v>8.6145473439975699</v>
      </c>
      <c r="V21">
        <f>IF(D21&gt;C21,"",Inputs!$B$7*N21+Inputs!$B$8*R21)</f>
        <v>3.8892248790026245</v>
      </c>
      <c r="W21">
        <f>IF(D21&gt;C21,"",Inputs!$B$7*O21+Inputs!$B$8*S21)</f>
        <v>16.556668563571243</v>
      </c>
      <c r="X21" t="str">
        <f>IF(OR(D21&gt;C21,D21&gt;B21),"",Inputs!$B$7*P21+Inputs!$B$8*T21)</f>
        <v/>
      </c>
      <c r="Y21">
        <f t="shared" si="0"/>
        <v>1.8144692994779077E-4</v>
      </c>
      <c r="Z21">
        <f t="shared" si="1"/>
        <v>2.0461199798447838E-2</v>
      </c>
      <c r="AA21">
        <f t="shared" si="2"/>
        <v>6.449561734639023E-8</v>
      </c>
      <c r="AB21" t="str">
        <f t="shared" si="3"/>
        <v/>
      </c>
    </row>
    <row r="22" spans="1:28">
      <c r="A22">
        <f>Fixed_Opportunity!A22</f>
        <v>2</v>
      </c>
      <c r="B22">
        <f>Fixed_Opportunity!B22</f>
        <v>5</v>
      </c>
      <c r="C22">
        <f>Fixed_Opportunity!C22</f>
        <v>15</v>
      </c>
      <c r="D22">
        <f>Fixed_Opportunity!D22</f>
        <v>10</v>
      </c>
      <c r="E22">
        <f>IF(D22&gt;C22,"",Fixed_Opportunity!N22)</f>
        <v>5.4393927711116064E-5</v>
      </c>
      <c r="F22">
        <f>IF(D22&gt;C22,"",Fixed_Opportunity!O22)</f>
        <v>0.19125352297565568</v>
      </c>
      <c r="G22">
        <f>IF(D22&gt;C22,"",Fixed_Opportunity!P22)</f>
        <v>1.0868212618753148E-7</v>
      </c>
      <c r="H22" t="str">
        <f>IF(OR(D22&gt;C22,D22&gt;B22),"",Fixed_Opportunity!Q22)</f>
        <v/>
      </c>
      <c r="I22">
        <f>Marginal_Model!J22</f>
        <v>1.8113688682795842E-8</v>
      </c>
      <c r="J22">
        <f>Marginal_Model!K22</f>
        <v>1.4959981059611549E-8</v>
      </c>
      <c r="K22">
        <f>Marginal_Model!L22</f>
        <v>7.6595103025211163E-15</v>
      </c>
      <c r="L22" t="str">
        <f>IF(D22&gt;B22,"",Marginal_Model!M22)</f>
        <v/>
      </c>
      <c r="M22">
        <f>IF(D22&gt;C22,"",Fixed_Opportunity!R22)</f>
        <v>9.819258033290108</v>
      </c>
      <c r="N22">
        <f>IF(D22&gt;C22,"",Fixed_Opportunity!S22)</f>
        <v>1.6541553856574103</v>
      </c>
      <c r="O22">
        <f>IF(D22&gt;C22,"",Fixed_Opportunity!T22)</f>
        <v>16.034838488837163</v>
      </c>
      <c r="P22" t="str">
        <f>IF(OR(D22&gt;C22,D22&gt;B22),"",Fixed_Opportunity!U22)</f>
        <v/>
      </c>
      <c r="Q22">
        <f>Marginal_Model!N22</f>
        <v>17.826597903693411</v>
      </c>
      <c r="R22">
        <f>Marginal_Model!O22</f>
        <v>18.017887130469628</v>
      </c>
      <c r="S22">
        <f>Marginal_Model!P22</f>
        <v>32.502828342376532</v>
      </c>
      <c r="T22" t="str">
        <f>IF(D22&gt;B22,"",Marginal_Model!Q22)</f>
        <v/>
      </c>
      <c r="U22">
        <f>IF(D22&gt;C22,"",Inputs!$B$7*M22+Inputs!$B$8*Q22)</f>
        <v>11.420726007370767</v>
      </c>
      <c r="V22">
        <f>IF(D22&gt;C22,"",Inputs!$B$7*N22+Inputs!$B$8*R22)</f>
        <v>4.9269017346198529</v>
      </c>
      <c r="W22">
        <f>IF(D22&gt;C22,"",Inputs!$B$7*O22+Inputs!$B$8*S22)</f>
        <v>19.328436459545038</v>
      </c>
      <c r="X22" t="str">
        <f>IF(OR(D22&gt;C22,D22&gt;B22),"",Inputs!$B$7*P22+Inputs!$B$8*T22)</f>
        <v/>
      </c>
      <c r="Y22">
        <f t="shared" si="0"/>
        <v>1.0965835221863369E-5</v>
      </c>
      <c r="Z22">
        <f t="shared" si="1"/>
        <v>7.2489276266609328E-3</v>
      </c>
      <c r="AA22">
        <f t="shared" si="2"/>
        <v>4.0342861735151187E-9</v>
      </c>
      <c r="AB22" t="str">
        <f t="shared" si="3"/>
        <v/>
      </c>
    </row>
    <row r="23" spans="1:28">
      <c r="A23">
        <f>Fixed_Opportunity!A23</f>
        <v>2</v>
      </c>
      <c r="B23">
        <f>Fixed_Opportunity!B23</f>
        <v>5</v>
      </c>
      <c r="C23">
        <f>Fixed_Opportunity!C23</f>
        <v>15</v>
      </c>
      <c r="D23">
        <f>Fixed_Opportunity!D23</f>
        <v>11</v>
      </c>
      <c r="E23">
        <f>IF(D23&gt;C23,"",Fixed_Opportunity!N23)</f>
        <v>1.9019355029792351E-6</v>
      </c>
      <c r="F23">
        <f>IF(D23&gt;C23,"",Fixed_Opportunity!O23)</f>
        <v>6.5772401407864112E-2</v>
      </c>
      <c r="G23">
        <f>IF(D23&gt;C23,"",Fixed_Opportunity!P23)</f>
        <v>6.9668033395368607E-9</v>
      </c>
      <c r="H23" t="str">
        <f>IF(OR(D23&gt;C23,D23&gt;B23),"",Fixed_Opportunity!Q23)</f>
        <v/>
      </c>
      <c r="I23">
        <f>Marginal_Model!J23</f>
        <v>1.3933606679073726E-9</v>
      </c>
      <c r="J23">
        <f>Marginal_Model!K23</f>
        <v>1.9179462896937883E-9</v>
      </c>
      <c r="K23">
        <f>Marginal_Model!L23</f>
        <v>1.9639770006464401E-16</v>
      </c>
      <c r="L23" t="str">
        <f>IF(D23&gt;B23,"",Marginal_Model!M23)</f>
        <v/>
      </c>
      <c r="M23">
        <f>IF(D23&gt;C23,"",Fixed_Opportunity!R23)</f>
        <v>13.172638504521592</v>
      </c>
      <c r="N23">
        <f>IF(D23&gt;C23,"",Fixed_Opportunity!S23)</f>
        <v>2.7215549601282838</v>
      </c>
      <c r="O23">
        <f>IF(D23&gt;C23,"",Fixed_Opportunity!T23)</f>
        <v>18.782109348720848</v>
      </c>
      <c r="P23" t="str">
        <f>IF(OR(D23&gt;C23,D23&gt;B23),"",Fixed_Opportunity!U23)</f>
        <v/>
      </c>
      <c r="Q23">
        <f>Marginal_Model!N23</f>
        <v>20.391547261154951</v>
      </c>
      <c r="R23">
        <f>Marginal_Model!O23</f>
        <v>20.072010864165176</v>
      </c>
      <c r="S23">
        <f>Marginal_Model!P23</f>
        <v>36.166389988506175</v>
      </c>
      <c r="T23" t="str">
        <f>IF(D23&gt;B23,"",Marginal_Model!Q23)</f>
        <v/>
      </c>
      <c r="U23">
        <f>IF(D23&gt;C23,"",Inputs!$B$7*M23+Inputs!$B$8*Q23)</f>
        <v>14.616420255848263</v>
      </c>
      <c r="V23">
        <f>IF(D23&gt;C23,"",Inputs!$B$7*N23+Inputs!$B$8*R23)</f>
        <v>6.1916461409356618</v>
      </c>
      <c r="W23">
        <f>IF(D23&gt;C23,"",Inputs!$B$7*O23+Inputs!$B$8*S23)</f>
        <v>22.258965476677911</v>
      </c>
      <c r="X23" t="str">
        <f>IF(OR(D23&gt;C23,D23&gt;B23),"",Inputs!$B$7*P23+Inputs!$B$8*T23)</f>
        <v/>
      </c>
      <c r="Y23">
        <f t="shared" si="0"/>
        <v>4.4892039637413067E-7</v>
      </c>
      <c r="Z23">
        <f t="shared" si="1"/>
        <v>2.0464552253130928E-3</v>
      </c>
      <c r="AA23">
        <f t="shared" si="2"/>
        <v>2.1530500252784915E-10</v>
      </c>
      <c r="AB23" t="str">
        <f t="shared" si="3"/>
        <v/>
      </c>
    </row>
    <row r="24" spans="1:28">
      <c r="A24">
        <f>Fixed_Opportunity!A24</f>
        <v>2</v>
      </c>
      <c r="B24">
        <f>Fixed_Opportunity!B24</f>
        <v>5</v>
      </c>
      <c r="C24">
        <f>Fixed_Opportunity!C24</f>
        <v>15</v>
      </c>
      <c r="D24">
        <f>Fixed_Opportunity!D24</f>
        <v>12</v>
      </c>
      <c r="E24">
        <f>IF(D24&gt;C24,"",Fixed_Opportunity!N24)</f>
        <v>3.9623693215418143E-8</v>
      </c>
      <c r="F24">
        <f>IF(D24&gt;C24,"",Fixed_Opportunity!O24)</f>
        <v>1.6864964254071801E-2</v>
      </c>
      <c r="G24">
        <f>IF(D24&gt;C24,"",Fixed_Opportunity!P24)</f>
        <v>3.4834016697684304E-10</v>
      </c>
      <c r="H24" t="str">
        <f>IF(OR(D24&gt;C24,D24&gt;B24),"",Fixed_Opportunity!Q24)</f>
        <v/>
      </c>
      <c r="I24">
        <f>Marginal_Model!J24</f>
        <v>8.7085041744210785E-11</v>
      </c>
      <c r="J24">
        <f>Marginal_Model!K24</f>
        <v>2.3974328621172353E-10</v>
      </c>
      <c r="K24">
        <f>Marginal_Model!L24</f>
        <v>4.9099425016161006E-18</v>
      </c>
      <c r="L24" t="str">
        <f>IF(D24&gt;B24,"",Marginal_Model!M24)</f>
        <v/>
      </c>
      <c r="M24">
        <f>IF(D24&gt;C24,"",Fixed_Opportunity!R24)</f>
        <v>17.043838584083488</v>
      </c>
      <c r="N24">
        <f>IF(D24&gt;C24,"",Fixed_Opportunity!S24)</f>
        <v>4.0825169300040161</v>
      </c>
      <c r="O24">
        <f>IF(D24&gt;C24,"",Fixed_Opportunity!T24)</f>
        <v>21.777841622274842</v>
      </c>
      <c r="P24" t="str">
        <f>IF(OR(D24&gt;C24,D24&gt;B24),"",Fixed_Opportunity!U24)</f>
        <v/>
      </c>
      <c r="Q24">
        <f>Marginal_Model!N24</f>
        <v>23.164135983394729</v>
      </c>
      <c r="R24">
        <f>Marginal_Model!O24</f>
        <v>22.15145240584501</v>
      </c>
      <c r="S24">
        <f>Marginal_Model!P24</f>
        <v>39.855269442620113</v>
      </c>
      <c r="T24" t="str">
        <f>IF(D24&gt;B24,"",Marginal_Model!Q24)</f>
        <v/>
      </c>
      <c r="U24">
        <f>IF(D24&gt;C24,"",Inputs!$B$7*M24+Inputs!$B$8*Q24)</f>
        <v>18.267898063945736</v>
      </c>
      <c r="V24">
        <f>IF(D24&gt;C24,"",Inputs!$B$7*N24+Inputs!$B$8*R24)</f>
        <v>7.6963040251722141</v>
      </c>
      <c r="W24">
        <f>IF(D24&gt;C24,"",Inputs!$B$7*O24+Inputs!$B$8*S24)</f>
        <v>25.393327186343896</v>
      </c>
      <c r="X24" t="str">
        <f>IF(OR(D24&gt;C24,D24&gt;B24),"",Inputs!$B$7*P24+Inputs!$B$8*T24)</f>
        <v/>
      </c>
      <c r="Y24">
        <f t="shared" si="0"/>
        <v>1.1650717580420179E-8</v>
      </c>
      <c r="Z24">
        <f t="shared" si="1"/>
        <v>4.5450391743170475E-4</v>
      </c>
      <c r="AA24">
        <f t="shared" si="2"/>
        <v>9.3716945615545805E-12</v>
      </c>
      <c r="AB24" t="str">
        <f t="shared" si="3"/>
        <v/>
      </c>
    </row>
    <row r="25" spans="1:28">
      <c r="A25">
        <f>Fixed_Opportunity!A25</f>
        <v>2</v>
      </c>
      <c r="B25">
        <f>Fixed_Opportunity!B25</f>
        <v>5</v>
      </c>
      <c r="C25">
        <f>Fixed_Opportunity!C25</f>
        <v>15</v>
      </c>
      <c r="D25">
        <f>Fixed_Opportunity!D25</f>
        <v>13</v>
      </c>
      <c r="E25">
        <f>IF(D25&gt;C25,"",Fixed_Opportunity!N25)</f>
        <v>4.3542520872105379E-10</v>
      </c>
      <c r="F25">
        <f>IF(D25&gt;C25,"",Fixed_Opportunity!O25)</f>
        <v>3.0326773326718737E-3</v>
      </c>
      <c r="G25">
        <f>IF(D25&gt;C25,"",Fixed_Opportunity!P25)</f>
        <v>1.2440720249172966E-11</v>
      </c>
      <c r="H25" t="str">
        <f>IF(OR(D25&gt;C25,D25&gt;B25),"",Fixed_Opportunity!Q25)</f>
        <v/>
      </c>
      <c r="I25">
        <f>Marginal_Model!J25</f>
        <v>4.146906749724323E-12</v>
      </c>
      <c r="J25">
        <f>Marginal_Model!K25</f>
        <v>2.8540867406157561E-11</v>
      </c>
      <c r="K25">
        <f>Marginal_Model!L25</f>
        <v>1.1690339289562144E-19</v>
      </c>
      <c r="L25" t="str">
        <f>IF(D25&gt;B25,"",Marginal_Model!M25)</f>
        <v/>
      </c>
      <c r="M25">
        <f>IF(D25&gt;C25,"",Fixed_Opportunity!R25)</f>
        <v>21.55469807096063</v>
      </c>
      <c r="N25">
        <f>IF(D25&gt;C25,"",Fixed_Opportunity!S25)</f>
        <v>5.7983094414701908</v>
      </c>
      <c r="O25">
        <f>IF(D25&gt;C25,"",Fixed_Opportunity!T25)</f>
        <v>25.110046132450044</v>
      </c>
      <c r="P25" t="str">
        <f>IF(OR(D25&gt;C25,D25&gt;B25),"",Fixed_Opportunity!U25)</f>
        <v/>
      </c>
      <c r="Q25">
        <f>Marginal_Model!N25</f>
        <v>26.208658421118155</v>
      </c>
      <c r="R25">
        <f>Marginal_Model!O25</f>
        <v>24.279684111694277</v>
      </c>
      <c r="S25">
        <f>Marginal_Model!P25</f>
        <v>43.592939060903483</v>
      </c>
      <c r="T25" t="str">
        <f>IF(D25&gt;B25,"",Marginal_Model!Q25)</f>
        <v/>
      </c>
      <c r="U25">
        <f>IF(D25&gt;C25,"",Inputs!$B$7*M25+Inputs!$B$8*Q25)</f>
        <v>22.485490140992134</v>
      </c>
      <c r="V25">
        <f>IF(D25&gt;C25,"",Inputs!$B$7*N25+Inputs!$B$8*R25)</f>
        <v>9.4945843755150072</v>
      </c>
      <c r="W25">
        <f>IF(D25&gt;C25,"",Inputs!$B$7*O25+Inputs!$B$8*S25)</f>
        <v>28.806624718140732</v>
      </c>
      <c r="X25" t="str">
        <f>IF(OR(D25&gt;C25,D25&gt;B25),"",Inputs!$B$7*P25+Inputs!$B$8*T25)</f>
        <v/>
      </c>
      <c r="Y25">
        <f t="shared" si="0"/>
        <v>1.7166260901945752E-10</v>
      </c>
      <c r="Z25">
        <f t="shared" si="1"/>
        <v>7.5258298938816386E-5</v>
      </c>
      <c r="AA25">
        <f t="shared" si="2"/>
        <v>3.0863263211427744E-13</v>
      </c>
      <c r="AB25" t="str">
        <f t="shared" si="3"/>
        <v/>
      </c>
    </row>
    <row r="26" spans="1:28">
      <c r="A26">
        <f>Fixed_Opportunity!A26</f>
        <v>2</v>
      </c>
      <c r="B26">
        <f>Fixed_Opportunity!B26</f>
        <v>5</v>
      </c>
      <c r="C26">
        <f>Fixed_Opportunity!C26</f>
        <v>15</v>
      </c>
      <c r="D26">
        <f>Fixed_Opportunity!D26</f>
        <v>14</v>
      </c>
      <c r="E26">
        <f>IF(D26&gt;C26,"",Fixed_Opportunity!N26)</f>
        <v>2.0065677821246717E-12</v>
      </c>
      <c r="F26">
        <f>IF(D26&gt;C26,"",Fixed_Opportunity!O26)</f>
        <v>3.2653648364233678E-4</v>
      </c>
      <c r="G26">
        <f>IF(D26&gt;C26,"",Fixed_Opportunity!P26)</f>
        <v>2.6754237094995625E-13</v>
      </c>
      <c r="H26" t="str">
        <f>IF(OR(D26&gt;C26,D26&gt;B26),"",Fixed_Opportunity!Q26)</f>
        <v/>
      </c>
      <c r="I26">
        <f>Marginal_Model!J26</f>
        <v>1.3377118547497815E-13</v>
      </c>
      <c r="J26">
        <f>Marginal_Model!K26</f>
        <v>3.0689104737803827E-12</v>
      </c>
      <c r="K26">
        <f>Marginal_Model!L26</f>
        <v>2.5140514601208912E-21</v>
      </c>
      <c r="L26" t="str">
        <f>IF(D26&gt;B26,"",Marginal_Model!M26)</f>
        <v/>
      </c>
      <c r="M26">
        <f>IF(D26&gt;C26,"",Fixed_Opportunity!R26)</f>
        <v>26.93459542450109</v>
      </c>
      <c r="N26">
        <f>IF(D26&gt;C26,"",Fixed_Opportunity!S26)</f>
        <v>8.0269688738599854</v>
      </c>
      <c r="O26">
        <f>IF(D26&gt;C26,"",Fixed_Opportunity!T26)</f>
        <v>28.949498445043353</v>
      </c>
      <c r="P26" t="str">
        <f>IF(OR(D26&gt;C26,D26&gt;B26),"",Fixed_Opportunity!U26)</f>
        <v/>
      </c>
      <c r="Q26">
        <f>Marginal_Model!N26</f>
        <v>29.642645625603301</v>
      </c>
      <c r="R26">
        <f>Marginal_Model!O26</f>
        <v>26.50969851185349</v>
      </c>
      <c r="S26">
        <f>Marginal_Model!P26</f>
        <v>47.432391373496792</v>
      </c>
      <c r="T26" t="str">
        <f>IF(D26&gt;B26,"",Marginal_Model!Q26)</f>
        <v/>
      </c>
      <c r="U26">
        <f>IF(D26&gt;C26,"",Inputs!$B$7*M26+Inputs!$B$8*Q26)</f>
        <v>27.476205464721531</v>
      </c>
      <c r="V26">
        <f>IF(D26&gt;C26,"",Inputs!$B$7*N26+Inputs!$B$8*R26)</f>
        <v>11.723514801458684</v>
      </c>
      <c r="W26">
        <f>IF(D26&gt;C26,"",Inputs!$B$7*O26+Inputs!$B$8*S26)</f>
        <v>32.646077030734041</v>
      </c>
      <c r="X26" t="str">
        <f>IF(OR(D26&gt;C26,D26&gt;B26),"",Inputs!$B$7*P26+Inputs!$B$8*T26)</f>
        <v/>
      </c>
      <c r="Y26">
        <f t="shared" si="0"/>
        <v>1.1674427246092824E-12</v>
      </c>
      <c r="Z26">
        <f t="shared" si="1"/>
        <v>8.1010667983446648E-6</v>
      </c>
      <c r="AA26">
        <f t="shared" si="2"/>
        <v>6.6372609056833964E-15</v>
      </c>
      <c r="AB26" t="str">
        <f t="shared" si="3"/>
        <v/>
      </c>
    </row>
    <row r="27" spans="1:28">
      <c r="A27">
        <f>Fixed_Opportunity!A27</f>
        <v>2</v>
      </c>
      <c r="B27">
        <f>Fixed_Opportunity!B27</f>
        <v>5</v>
      </c>
      <c r="C27">
        <f>Fixed_Opportunity!C27</f>
        <v>15</v>
      </c>
      <c r="D27">
        <f>Fixed_Opportunity!D27</f>
        <v>15</v>
      </c>
      <c r="E27">
        <f>IF(D27&gt;C27,"",Fixed_Opportunity!N27)</f>
        <v>2.1929702536881659E-15</v>
      </c>
      <c r="F27">
        <f>IF(D27&gt;C27,"",Fixed_Opportunity!O27)</f>
        <v>1.3384738632105098E-5</v>
      </c>
      <c r="G27">
        <f>IF(D27&gt;C27,"",Fixed_Opportunity!P27)</f>
        <v>2.1929702536881659E-15</v>
      </c>
      <c r="H27" t="str">
        <f>IF(OR(D27&gt;C27,D27&gt;B27),"",Fixed_Opportunity!Q27)</f>
        <v/>
      </c>
      <c r="I27">
        <f>Marginal_Model!J27</f>
        <v>2.1929702536881667E-15</v>
      </c>
      <c r="J27">
        <f>Marginal_Model!K27</f>
        <v>2.515500388344576E-13</v>
      </c>
      <c r="K27">
        <f>Marginal_Model!L27</f>
        <v>4.1213958362637565E-23</v>
      </c>
      <c r="L27" t="str">
        <f>IF(D27&gt;B27,"",Marginal_Model!M27)</f>
        <v/>
      </c>
      <c r="M27">
        <f>IF(D27&gt;C27,"",Fixed_Opportunity!R27)</f>
        <v>33.753519489776615</v>
      </c>
      <c r="N27">
        <f>IF(D27&gt;C27,"",Fixed_Opportunity!S27)</f>
        <v>11.221395408107893</v>
      </c>
      <c r="O27">
        <f>IF(D27&gt;C27,"",Fixed_Opportunity!T27)</f>
        <v>33.753519489776615</v>
      </c>
      <c r="P27" t="str">
        <f>IF(OR(D27&gt;C27,D27&gt;B27),"",Fixed_Opportunity!U27)</f>
        <v/>
      </c>
      <c r="Q27">
        <f>Marginal_Model!N27</f>
        <v>33.753519489776615</v>
      </c>
      <c r="R27">
        <f>Marginal_Model!O27</f>
        <v>29.0111344635927</v>
      </c>
      <c r="S27">
        <f>Marginal_Model!P27</f>
        <v>51.543265237670106</v>
      </c>
      <c r="T27" t="str">
        <f>IF(D27&gt;B27,"",Marginal_Model!Q27)</f>
        <v/>
      </c>
      <c r="U27">
        <f>IF(D27&gt;C27,"",Inputs!$B$7*M27+Inputs!$B$8*Q27)</f>
        <v>33.753519489776615</v>
      </c>
      <c r="V27">
        <f>IF(D27&gt;C27,"",Inputs!$B$7*N27+Inputs!$B$8*R27)</f>
        <v>14.779343219204854</v>
      </c>
      <c r="W27">
        <f>IF(D27&gt;C27,"",Inputs!$B$7*O27+Inputs!$B$8*S27)</f>
        <v>37.311468639355311</v>
      </c>
      <c r="X27" t="str">
        <f>IF(OR(D27&gt;C27,D27&gt;B27),"",Inputs!$B$7*P27+Inputs!$B$8*T27)</f>
        <v/>
      </c>
      <c r="Y27">
        <f t="shared" si="0"/>
        <v>2.1929702536881592E-15</v>
      </c>
      <c r="Z27">
        <f t="shared" si="1"/>
        <v>3.8142819587516711E-7</v>
      </c>
      <c r="AA27">
        <f t="shared" si="2"/>
        <v>6.2493530197087097E-17</v>
      </c>
      <c r="AB27" t="str">
        <f t="shared" si="3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0"/>
  <sheetViews>
    <sheetView workbookViewId="0"/>
  </sheetViews>
  <sheetFormatPr defaultRowHeight="14.15"/>
  <cols>
    <col min="1" max="1" width="131.85546875" customWidth="1"/>
    <col min="2" max="5" width="11.2109375" customWidth="1"/>
    <col min="6" max="8" width="14.640625" customWidth="1"/>
    <col min="9" max="9" width="11.35546875" customWidth="1"/>
    <col min="10" max="12" width="11.2109375" customWidth="1"/>
    <col min="13" max="13" width="12.35546875" customWidth="1"/>
  </cols>
  <sheetData>
    <row r="1" spans="1:13" ht="17.600000000000001">
      <c r="A1" s="22" t="s">
        <v>164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8.3">
      <c r="A2" s="23" t="s">
        <v>165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spans="1:13">
      <c r="A4" s="24" t="s">
        <v>166</v>
      </c>
    </row>
    <row r="5" spans="1:13" ht="28.3">
      <c r="A5" s="25" t="s">
        <v>91</v>
      </c>
      <c r="B5" s="25" t="s">
        <v>167</v>
      </c>
      <c r="C5" s="25" t="s">
        <v>168</v>
      </c>
      <c r="D5" s="25" t="s">
        <v>169</v>
      </c>
      <c r="E5" s="25" t="s">
        <v>170</v>
      </c>
      <c r="F5" s="25" t="s">
        <v>110</v>
      </c>
      <c r="G5" s="25" t="s">
        <v>111</v>
      </c>
      <c r="H5" s="25" t="s">
        <v>112</v>
      </c>
      <c r="I5" s="25" t="s">
        <v>113</v>
      </c>
      <c r="J5" s="25" t="s">
        <v>114</v>
      </c>
      <c r="K5" s="25" t="s">
        <v>115</v>
      </c>
      <c r="L5" s="25" t="s">
        <v>116</v>
      </c>
      <c r="M5" s="25" t="s">
        <v>117</v>
      </c>
    </row>
    <row r="6" spans="1:13">
      <c r="A6" s="3">
        <v>3</v>
      </c>
      <c r="B6" s="26">
        <f>IF($A6&gt;Inputs!$B$9,"",Combined_Fixed_Model!E2)</f>
        <v>0.99999999996907007</v>
      </c>
      <c r="C6" s="26">
        <f>IF($A6&gt;Inputs!$B$9,"",Combined_Fixed_Model!F2)</f>
        <v>0.99998431077721828</v>
      </c>
      <c r="D6" s="26">
        <f>IF($A6&gt;Inputs!$B$9,"",Combined_Fixed_Model!G2)</f>
        <v>0.49912992006885437</v>
      </c>
      <c r="E6" s="26">
        <f>IF(OR($A6&gt;Inputs!$B$9,$A6&gt;4),"",Combined_Fixed_Model!H2)</f>
        <v>0.54967200167703711</v>
      </c>
      <c r="F6" s="26">
        <f>IF($A6&gt;Inputs!$B$9,"",Combined_Fixed_Model!I2)</f>
        <v>5.3185271770894223E-2</v>
      </c>
      <c r="G6" s="26">
        <f>IF($A6&gt;Inputs!$B$9,"",Combined_Fixed_Model!J2)</f>
        <v>2.4313267095265927E-2</v>
      </c>
      <c r="H6" s="26">
        <f>IF($A6&gt;Inputs!$B$9,"",Combined_Fixed_Model!K2)</f>
        <v>1.5195791934541204E-3</v>
      </c>
      <c r="I6" s="26">
        <f>IF(OR($A6&gt;Inputs!$B$9,$A6&gt;4),"",Combined_Fixed_Model!L2)</f>
        <v>1.7533606078316774E-3</v>
      </c>
      <c r="J6" s="26">
        <f>IF($A6&gt;Inputs!$B$9,"",Combined_Fixed_Model!Y2)</f>
        <v>0.55610689083839826</v>
      </c>
      <c r="K6" s="26">
        <f>IF($A6&gt;Inputs!$B$9,"",Combined_Fixed_Model!Z2)</f>
        <v>0.4755138963077804</v>
      </c>
      <c r="L6" s="26">
        <f>IF($A6&gt;Inputs!$B$9,"",Combined_Fixed_Model!AA2)</f>
        <v>0.15664464435394132</v>
      </c>
      <c r="M6" s="26">
        <f>IF(OR($A6&gt;Inputs!$B$9,$A6&gt;4),"",Combined_Fixed_Model!AB2)</f>
        <v>0.1741234012696195</v>
      </c>
    </row>
    <row r="7" spans="1:13">
      <c r="A7" s="3">
        <v>4</v>
      </c>
      <c r="B7" s="26">
        <f>IF($A7&gt;Inputs!$B$9,"",Combined_Fixed_Model!E3)</f>
        <v>0.99999976967340842</v>
      </c>
      <c r="C7" s="26">
        <f>IF($A7&gt;Inputs!$B$9,"",Combined_Fixed_Model!F3)</f>
        <v>0.99981575030419834</v>
      </c>
      <c r="D7" s="26">
        <f>IF($A7&gt;Inputs!$B$9,"",Combined_Fixed_Model!G3)</f>
        <v>0.12572717198852157</v>
      </c>
      <c r="E7" s="26">
        <f>IF(OR($A7&gt;Inputs!$B$9,$A7&gt;4),"",Combined_Fixed_Model!H3)</f>
        <v>4.1119070057055507E-2</v>
      </c>
      <c r="F7" s="26">
        <f>IF($A7&gt;Inputs!$B$9,"",Combined_Fixed_Model!I3)</f>
        <v>1.1196899320188258E-2</v>
      </c>
      <c r="G7" s="26">
        <f>IF($A7&gt;Inputs!$B$9,"",Combined_Fixed_Model!J3)</f>
        <v>3.1498969516133993E-3</v>
      </c>
      <c r="H7" s="26">
        <f>IF($A7&gt;Inputs!$B$9,"",Combined_Fixed_Model!K3)</f>
        <v>4.9217139868959364E-5</v>
      </c>
      <c r="I7" s="26">
        <f>IF(OR($A7&gt;Inputs!$B$9,$A7&gt;4),"",Combined_Fixed_Model!L3)</f>
        <v>3.0760712418099601E-5</v>
      </c>
      <c r="J7" s="26">
        <f>IF($A7&gt;Inputs!$B$9,"",Combined_Fixed_Model!Y3)</f>
        <v>0.4072109751652444</v>
      </c>
      <c r="K7" s="26">
        <f>IF($A7&gt;Inputs!$B$9,"",Combined_Fixed_Model!Z3)</f>
        <v>0.31593318695785988</v>
      </c>
      <c r="L7" s="26">
        <f>IF($A7&gt;Inputs!$B$9,"",Combined_Fixed_Model!AA3)</f>
        <v>2.6179816129248083E-2</v>
      </c>
      <c r="M7" s="26">
        <f>IF(OR($A7&gt;Inputs!$B$9,$A7&gt;4),"",Combined_Fixed_Model!AB3)</f>
        <v>9.7461682681029473E-3</v>
      </c>
    </row>
    <row r="8" spans="1:13">
      <c r="A8" s="3">
        <v>5</v>
      </c>
      <c r="B8" s="26">
        <f>IF($A8&gt;Inputs!$B$9,"",Combined_Fixed_Model!E4)</f>
        <v>0.99864610680202093</v>
      </c>
      <c r="C8" s="26">
        <f>IF($A8&gt;Inputs!$B$9,"",Combined_Fixed_Model!F4)</f>
        <v>0.99795730421674655</v>
      </c>
      <c r="D8" s="26">
        <f>IF($A8&gt;Inputs!$B$9,"",Combined_Fixed_Model!G4)</f>
        <v>2.3902988340820053E-2</v>
      </c>
      <c r="E8" s="26" t="str">
        <f>IF(OR($A8&gt;Inputs!$B$9,$A8&gt;4),"",Combined_Fixed_Model!H4)</f>
        <v/>
      </c>
      <c r="F8" s="26">
        <f>IF($A8&gt;Inputs!$B$9,"",Combined_Fixed_Model!I4)</f>
        <v>2.199390937894122E-3</v>
      </c>
      <c r="G8" s="26">
        <f>IF($A8&gt;Inputs!$B$9,"",Combined_Fixed_Model!J4)</f>
        <v>4.1248650556842138E-4</v>
      </c>
      <c r="H8" s="26">
        <f>IF($A8&gt;Inputs!$B$9,"",Combined_Fixed_Model!K4)</f>
        <v>1.611275412376646E-6</v>
      </c>
      <c r="I8" s="26" t="str">
        <f>IF(OR($A8&gt;Inputs!$B$9,$A8&gt;4),"",Combined_Fixed_Model!L4)</f>
        <v/>
      </c>
      <c r="J8" s="26">
        <f>IF($A8&gt;Inputs!$B$9,"",Combined_Fixed_Model!Y4)</f>
        <v>0.29375805015881723</v>
      </c>
      <c r="K8" s="26">
        <f>IF($A8&gt;Inputs!$B$9,"",Combined_Fixed_Model!Z4)</f>
        <v>0.21007361937542082</v>
      </c>
      <c r="L8" s="26">
        <f>IF($A8&gt;Inputs!$B$9,"",Combined_Fixed_Model!AA4)</f>
        <v>3.5010290607660425E-3</v>
      </c>
      <c r="M8" s="26" t="str">
        <f>IF(OR($A8&gt;Inputs!$B$9,$A8&gt;4),"",Combined_Fixed_Model!AB4)</f>
        <v/>
      </c>
    </row>
    <row r="9" spans="1:13">
      <c r="A9" s="3">
        <v>6</v>
      </c>
      <c r="B9" s="26">
        <f>IF($A9&gt;Inputs!$B$9,"",Combined_Fixed_Model!E5)</f>
        <v>0.86486023684960811</v>
      </c>
      <c r="C9" s="26">
        <f>IF($A9&gt;Inputs!$B$9,"",Combined_Fixed_Model!F5)</f>
        <v>0.98334202231551537</v>
      </c>
      <c r="D9" s="26">
        <f>IF($A9&gt;Inputs!$B$9,"",Combined_Fixed_Model!G5)</f>
        <v>3.9909076904460772E-3</v>
      </c>
      <c r="E9" s="26" t="str">
        <f>IF(OR($A9&gt;Inputs!$B$9,$A9&gt;4),"",Combined_Fixed_Model!H5)</f>
        <v/>
      </c>
      <c r="F9" s="26">
        <f>IF($A9&gt;Inputs!$B$9,"",Combined_Fixed_Model!I5)</f>
        <v>3.9988926143529491E-4</v>
      </c>
      <c r="G9" s="26">
        <f>IF($A9&gt;Inputs!$B$9,"",Combined_Fixed_Model!J5)</f>
        <v>5.454367015780779E-5</v>
      </c>
      <c r="H9" s="26">
        <f>IF($A9&gt;Inputs!$B$9,"",Combined_Fixed_Model!K5)</f>
        <v>5.326530288848417E-8</v>
      </c>
      <c r="I9" s="26" t="str">
        <f>IF(OR($A9&gt;Inputs!$B$9,$A9&gt;4),"",Combined_Fixed_Model!L5)</f>
        <v/>
      </c>
      <c r="J9" s="26">
        <f>IF($A9&gt;Inputs!$B$9,"",Combined_Fixed_Model!Y5)</f>
        <v>0.18618500149000228</v>
      </c>
      <c r="K9" s="26">
        <f>IF($A9&gt;Inputs!$B$9,"",Combined_Fixed_Model!Z5)</f>
        <v>0.13852002158072604</v>
      </c>
      <c r="L9" s="26">
        <f>IF($A9&gt;Inputs!$B$9,"",Combined_Fixed_Model!AA5)</f>
        <v>4.2281095014898057E-4</v>
      </c>
      <c r="M9" s="26" t="str">
        <f>IF(OR($A9&gt;Inputs!$B$9,$A9&gt;4),"",Combined_Fixed_Model!AB5)</f>
        <v/>
      </c>
    </row>
    <row r="10" spans="1:13">
      <c r="A10" s="3">
        <v>7</v>
      </c>
      <c r="B10" s="26">
        <f>IF($A10&gt;Inputs!$B$9,"",Combined_Fixed_Model!E6)</f>
        <v>0.34876272984291867</v>
      </c>
      <c r="C10" s="26">
        <f>IF($A10&gt;Inputs!$B$9,"",Combined_Fixed_Model!F6)</f>
        <v>0.9143014713603892</v>
      </c>
      <c r="D10" s="26">
        <f>IF($A10&gt;Inputs!$B$9,"",Combined_Fixed_Model!G6)</f>
        <v>5.9965402776851473E-4</v>
      </c>
      <c r="E10" s="26" t="str">
        <f>IF(OR($A10&gt;Inputs!$B$9,$A10&gt;4),"",Combined_Fixed_Model!H6)</f>
        <v/>
      </c>
      <c r="F10" s="26">
        <f>IF($A10&gt;Inputs!$B$9,"",Combined_Fixed_Model!I6)</f>
        <v>6.664821023921581E-5</v>
      </c>
      <c r="G10" s="26">
        <f>IF($A10&gt;Inputs!$B$9,"",Combined_Fixed_Model!J6)</f>
        <v>7.272489354374372E-6</v>
      </c>
      <c r="H10" s="26">
        <f>IF($A10&gt;Inputs!$B$9,"",Combined_Fixed_Model!K6)</f>
        <v>1.7755100962828057E-9</v>
      </c>
      <c r="I10" s="26" t="str">
        <f>IF(OR($A10&gt;Inputs!$B$9,$A10&gt;4),"",Combined_Fixed_Model!L6)</f>
        <v/>
      </c>
      <c r="J10" s="26">
        <f>IF($A10&gt;Inputs!$B$9,"",Combined_Fixed_Model!Y6)</f>
        <v>6.2918991506830654E-2</v>
      </c>
      <c r="K10" s="26">
        <f>IF($A10&gt;Inputs!$B$9,"",Combined_Fixed_Model!Z6)</f>
        <v>8.7338987666707391E-2</v>
      </c>
      <c r="L10" s="26">
        <f>IF($A10&gt;Inputs!$B$9,"",Combined_Fixed_Model!AA6)</f>
        <v>4.7009456847255043E-5</v>
      </c>
      <c r="M10" s="26" t="str">
        <f>IF(OR($A10&gt;Inputs!$B$9,$A10&gt;4),"",Combined_Fixed_Model!AB6)</f>
        <v/>
      </c>
    </row>
    <row r="11" spans="1:13">
      <c r="A11" s="3">
        <v>8</v>
      </c>
      <c r="B11" s="26">
        <f>IF($A11&gt;Inputs!$B$9,"",Combined_Fixed_Model!E7)</f>
        <v>6.2685858511162817E-2</v>
      </c>
      <c r="C11" s="26">
        <f>IF($A11&gt;Inputs!$B$9,"",Combined_Fixed_Model!F7)</f>
        <v>0.73249001110889378</v>
      </c>
      <c r="D11" s="26">
        <f>IF($A11&gt;Inputs!$B$9,"",Combined_Fixed_Model!G7)</f>
        <v>8.0477619149976753E-5</v>
      </c>
      <c r="E11" s="26" t="str">
        <f>IF(OR($A11&gt;Inputs!$B$9,$A11&gt;4),"",Combined_Fixed_Model!H7)</f>
        <v/>
      </c>
      <c r="F11" s="26">
        <f>IF($A11&gt;Inputs!$B$9,"",Combined_Fixed_Model!I7)</f>
        <v>1.0060107205919367E-5</v>
      </c>
      <c r="G11" s="26">
        <f>IF($A11&gt;Inputs!$B$9,"",Combined_Fixed_Model!J7)</f>
        <v>9.7576377081752583E-7</v>
      </c>
      <c r="H11" s="26">
        <f>IF($A11&gt;Inputs!$B$9,"",Combined_Fixed_Model!K7)</f>
        <v>5.9555894214936879E-11</v>
      </c>
      <c r="I11" s="26" t="str">
        <f>IF(OR($A11&gt;Inputs!$B$9,$A11&gt;4),"",Combined_Fixed_Model!L7)</f>
        <v/>
      </c>
      <c r="J11" s="26">
        <f>IF($A11&gt;Inputs!$B$9,"",Combined_Fixed_Model!Y7)</f>
        <v>1.0920843517741382E-2</v>
      </c>
      <c r="K11" s="26">
        <f>IF($A11&gt;Inputs!$B$9,"",Combined_Fixed_Model!Z7)</f>
        <v>4.8945222052578639E-2</v>
      </c>
      <c r="L11" s="26">
        <f>IF($A11&gt;Inputs!$B$9,"",Combined_Fixed_Model!AA7)</f>
        <v>4.781069377717132E-6</v>
      </c>
      <c r="M11" s="26" t="str">
        <f>IF(OR($A11&gt;Inputs!$B$9,$A11&gt;4),"",Combined_Fixed_Model!AB7)</f>
        <v/>
      </c>
    </row>
    <row r="12" spans="1:13">
      <c r="A12" s="3">
        <v>9</v>
      </c>
      <c r="B12" s="26">
        <f>IF($A12&gt;Inputs!$B$9,"",Combined_Fixed_Model!E8)</f>
        <v>6.7550784172143441E-3</v>
      </c>
      <c r="C12" s="26">
        <f>IF($A12&gt;Inputs!$B$9,"",Combined_Fixed_Model!F8)</f>
        <v>0.46273439314242737</v>
      </c>
      <c r="D12" s="26">
        <f>IF($A12&gt;Inputs!$B$9,"",Combined_Fixed_Model!G8)</f>
        <v>9.4796714732447995E-6</v>
      </c>
      <c r="E12" s="26" t="str">
        <f>IF(OR($A12&gt;Inputs!$B$9,$A12&gt;4),"",Combined_Fixed_Model!H8)</f>
        <v/>
      </c>
      <c r="F12" s="26">
        <f>IF($A12&gt;Inputs!$B$9,"",Combined_Fixed_Model!I8)</f>
        <v>1.3542452007968379E-6</v>
      </c>
      <c r="G12" s="26">
        <f>IF($A12&gt;Inputs!$B$9,"",Combined_Fixed_Model!J8)</f>
        <v>1.3135281530235925E-7</v>
      </c>
      <c r="H12" s="26">
        <f>IF($A12&gt;Inputs!$B$9,"",Combined_Fixed_Model!K8)</f>
        <v>2.004284901464222E-12</v>
      </c>
      <c r="I12" s="26" t="str">
        <f>IF(OR($A12&gt;Inputs!$B$9,$A12&gt;4),"",Combined_Fixed_Model!L8)</f>
        <v/>
      </c>
      <c r="J12" s="26">
        <f>IF($A12&gt;Inputs!$B$9,"",Combined_Fixed_Model!Y8)</f>
        <v>1.2303927884881371E-3</v>
      </c>
      <c r="K12" s="26">
        <f>IF($A12&gt;Inputs!$B$9,"",Combined_Fixed_Model!Z8)</f>
        <v>2.2696207906438257E-2</v>
      </c>
      <c r="L12" s="26">
        <f>IF($A12&gt;Inputs!$B$9,"",Combined_Fixed_Model!AA8)</f>
        <v>4.3835556094972061E-7</v>
      </c>
      <c r="M12" s="26" t="str">
        <f>IF(OR($A12&gt;Inputs!$B$9,$A12&gt;4),"",Combined_Fixed_Model!AB8)</f>
        <v/>
      </c>
    </row>
    <row r="13" spans="1:13">
      <c r="A13" s="3">
        <v>10</v>
      </c>
      <c r="B13" s="26">
        <f>IF($A13&gt;Inputs!$B$9,"",Combined_Fixed_Model!E9)</f>
        <v>4.7833242584427449E-4</v>
      </c>
      <c r="C13" s="26">
        <f>IF($A13&gt;Inputs!$B$9,"",Combined_Fixed_Model!F9)</f>
        <v>0.22166118574806515</v>
      </c>
      <c r="D13" s="26">
        <f>IF($A13&gt;Inputs!$B$9,"",Combined_Fixed_Model!G9)</f>
        <v>9.5593733184795582E-7</v>
      </c>
      <c r="E13" s="26" t="str">
        <f>IF(OR($A13&gt;Inputs!$B$9,$A13&gt;4),"",Combined_Fixed_Model!H9)</f>
        <v/>
      </c>
      <c r="F13" s="26">
        <f>IF($A13&gt;Inputs!$B$9,"",Combined_Fixed_Model!I9)</f>
        <v>1.5932296479962799E-7</v>
      </c>
      <c r="G13" s="26">
        <f>IF($A13&gt;Inputs!$B$9,"",Combined_Fixed_Model!J9)</f>
        <v>1.7660882729728973E-8</v>
      </c>
      <c r="H13" s="26">
        <f>IF($A13&gt;Inputs!$B$9,"",Combined_Fixed_Model!K9)</f>
        <v>6.7370921057620899E-14</v>
      </c>
      <c r="I13" s="26" t="str">
        <f>IF(OR($A13&gt;Inputs!$B$9,$A13&gt;4),"",Combined_Fixed_Model!L9)</f>
        <v/>
      </c>
      <c r="J13" s="26">
        <f>IF($A13&gt;Inputs!$B$9,"",Combined_Fixed_Model!Y9)</f>
        <v>9.6436076727323384E-5</v>
      </c>
      <c r="K13" s="26">
        <f>IF($A13&gt;Inputs!$B$9,"",Combined_Fixed_Model!Z9)</f>
        <v>8.4324583162718163E-3</v>
      </c>
      <c r="L13" s="26">
        <f>IF($A13&gt;Inputs!$B$9,"",Combined_Fixed_Model!AA9)</f>
        <v>3.5484446455552813E-8</v>
      </c>
      <c r="M13" s="26" t="str">
        <f>IF(OR($A13&gt;Inputs!$B$9,$A13&gt;4),"",Combined_Fixed_Model!AB9)</f>
        <v/>
      </c>
    </row>
    <row r="14" spans="1:13">
      <c r="A14" s="3">
        <v>11</v>
      </c>
      <c r="B14" s="26">
        <f>IF($A14&gt;Inputs!$B$9,"",Combined_Fixed_Model!E10)</f>
        <v>2.1747348218137397E-5</v>
      </c>
      <c r="C14" s="26">
        <f>IF($A14&gt;Inputs!$B$9,"",Combined_Fixed_Model!F10)</f>
        <v>8.0137538577503831E-2</v>
      </c>
      <c r="D14" s="26">
        <f>IF($A14&gt;Inputs!$B$9,"",Combined_Fixed_Model!G10)</f>
        <v>7.9661479190917817E-8</v>
      </c>
      <c r="E14" s="26" t="str">
        <f>IF(OR($A14&gt;Inputs!$B$9,$A14&gt;4),"",Combined_Fixed_Model!H10)</f>
        <v/>
      </c>
      <c r="F14" s="26">
        <f>IF($A14&gt;Inputs!$B$9,"",Combined_Fixed_Model!I10)</f>
        <v>1.5932296479962801E-8</v>
      </c>
      <c r="G14" s="26">
        <f>IF($A14&gt;Inputs!$B$9,"",Combined_Fixed_Model!J10)</f>
        <v>2.3547843639638631E-9</v>
      </c>
      <c r="H14" s="26">
        <f>IF($A14&gt;Inputs!$B$9,"",Combined_Fixed_Model!K10)</f>
        <v>2.2456973685873634E-15</v>
      </c>
      <c r="I14" s="26" t="str">
        <f>IF(OR($A14&gt;Inputs!$B$9,$A14&gt;4),"",Combined_Fixed_Model!L10)</f>
        <v/>
      </c>
      <c r="J14" s="26">
        <f>IF($A14&gt;Inputs!$B$9,"",Combined_Fixed_Model!Y10)</f>
        <v>5.1331117915367361E-6</v>
      </c>
      <c r="K14" s="26">
        <f>IF($A14&gt;Inputs!$B$9,"",Combined_Fixed_Model!Z10)</f>
        <v>2.4972327844094123E-3</v>
      </c>
      <c r="L14" s="26">
        <f>IF($A14&gt;Inputs!$B$9,"",Combined_Fixed_Model!AA10)</f>
        <v>2.4618916712368652E-9</v>
      </c>
      <c r="M14" s="26" t="str">
        <f>IF(OR($A14&gt;Inputs!$B$9,$A14&gt;4),"",Combined_Fixed_Model!AB10)</f>
        <v/>
      </c>
    </row>
    <row r="15" spans="1:13">
      <c r="A15" s="3">
        <v>12</v>
      </c>
      <c r="B15" s="26">
        <f>IF($A15&gt;Inputs!$B$9,"",Combined_Fixed_Model!E11)</f>
        <v>5.9177083699957223E-7</v>
      </c>
      <c r="C15" s="26">
        <f>IF($A15&gt;Inputs!$B$9,"",Combined_Fixed_Model!F11)</f>
        <v>2.1584031619577559E-2</v>
      </c>
      <c r="D15" s="26">
        <f>IF($A15&gt;Inputs!$B$9,"",Combined_Fixed_Model!G11)</f>
        <v>5.2023825240694813E-9</v>
      </c>
      <c r="E15" s="26" t="str">
        <f>IF(OR($A15&gt;Inputs!$B$9,$A15&gt;4),"",Combined_Fixed_Model!H11)</f>
        <v/>
      </c>
      <c r="F15" s="26">
        <f>IF($A15&gt;Inputs!$B$9,"",Combined_Fixed_Model!I11)</f>
        <v>1.3005956310173714E-9</v>
      </c>
      <c r="G15" s="26">
        <f>IF($A15&gt;Inputs!$B$9,"",Combined_Fixed_Model!J11)</f>
        <v>3.0756367202793319E-10</v>
      </c>
      <c r="H15" s="26">
        <f>IF($A15&gt;Inputs!$B$9,"",Combined_Fixed_Model!K11)</f>
        <v>7.3328893668158814E-17</v>
      </c>
      <c r="I15" s="26" t="str">
        <f>IF(OR($A15&gt;Inputs!$B$9,$A15&gt;4),"",Combined_Fixed_Model!L11)</f>
        <v/>
      </c>
      <c r="J15" s="26">
        <f>IF($A15&gt;Inputs!$B$9,"",Combined_Fixed_Model!Y11)</f>
        <v>1.740008241454342E-7</v>
      </c>
      <c r="K15" s="26">
        <f>IF($A15&gt;Inputs!$B$9,"",Combined_Fixed_Model!Z11)</f>
        <v>5.819599023146394E-4</v>
      </c>
      <c r="L15" s="26">
        <f>IF($A15&gt;Inputs!$B$9,"",Combined_Fixed_Model!AA11)</f>
        <v>1.3996416328062946E-10</v>
      </c>
      <c r="M15" s="26" t="str">
        <f>IF(OR($A15&gt;Inputs!$B$9,$A15&gt;4),"",Combined_Fixed_Model!AB11)</f>
        <v/>
      </c>
    </row>
    <row r="16" spans="1:13">
      <c r="A16" s="3">
        <v>13</v>
      </c>
      <c r="B16" s="26">
        <f>IF($A16&gt;Inputs!$B$9,"",Combined_Fixed_Model!E12)</f>
        <v>8.5351588285514931E-9</v>
      </c>
      <c r="C16" s="26">
        <f>IF($A16&gt;Inputs!$B$9,"",Combined_Fixed_Model!F12)</f>
        <v>4.0829620454846394E-3</v>
      </c>
      <c r="D16" s="26">
        <f>IF($A16&gt;Inputs!$B$9,"",Combined_Fixed_Model!G12)</f>
        <v>2.4386168081575695E-10</v>
      </c>
      <c r="E16" s="26" t="str">
        <f>IF(OR($A16&gt;Inputs!$B$9,$A16&gt;4),"",Combined_Fixed_Model!H12)</f>
        <v/>
      </c>
      <c r="F16" s="26">
        <f>IF($A16&gt;Inputs!$B$9,"",Combined_Fixed_Model!I12)</f>
        <v>8.128722693858571E-11</v>
      </c>
      <c r="G16" s="26">
        <f>IF($A16&gt;Inputs!$B$9,"",Combined_Fixed_Model!J12)</f>
        <v>3.8445459003491648E-11</v>
      </c>
      <c r="H16" s="26">
        <f>IF($A16&gt;Inputs!$B$9,"",Combined_Fixed_Model!K12)</f>
        <v>2.2915279271299629E-18</v>
      </c>
      <c r="I16" s="26" t="str">
        <f>IF(OR($A16&gt;Inputs!$B$9,$A16&gt;4),"",Combined_Fixed_Model!L12)</f>
        <v/>
      </c>
      <c r="J16" s="26">
        <f>IF($A16&gt;Inputs!$B$9,"",Combined_Fixed_Model!Y12)</f>
        <v>3.3649122824288189E-9</v>
      </c>
      <c r="K16" s="26">
        <f>IF($A16&gt;Inputs!$B$9,"",Combined_Fixed_Model!Z12)</f>
        <v>1.0133262295104354E-4</v>
      </c>
      <c r="L16" s="26">
        <f>IF($A16&gt;Inputs!$B$9,"",Combined_Fixed_Model!AA12)</f>
        <v>6.0497841696088488E-12</v>
      </c>
      <c r="M16" s="26" t="str">
        <f>IF(OR($A16&gt;Inputs!$B$9,$A16&gt;4),"",Combined_Fixed_Model!AB12)</f>
        <v/>
      </c>
    </row>
    <row r="17" spans="1:13">
      <c r="A17" s="3">
        <v>14</v>
      </c>
      <c r="B17" s="26">
        <f>IF($A17&gt;Inputs!$B$9,"",Combined_Fixed_Model!E13)</f>
        <v>5.1885464003352544E-11</v>
      </c>
      <c r="C17" s="26">
        <f>IF($A17&gt;Inputs!$B$9,"",Combined_Fixed_Model!F13)</f>
        <v>4.6415551946632494E-4</v>
      </c>
      <c r="D17" s="26">
        <f>IF($A17&gt;Inputs!$B$9,"",Combined_Fixed_Model!G13)</f>
        <v>6.9180618671136717E-12</v>
      </c>
      <c r="E17" s="26" t="str">
        <f>IF(OR($A17&gt;Inputs!$B$9,$A17&gt;4),"",Combined_Fixed_Model!H13)</f>
        <v/>
      </c>
      <c r="F17" s="26">
        <f>IF($A17&gt;Inputs!$B$9,"",Combined_Fixed_Model!I13)</f>
        <v>3.4590309335568387E-12</v>
      </c>
      <c r="G17" s="26">
        <f>IF($A17&gt;Inputs!$B$9,"",Combined_Fixed_Model!J13)</f>
        <v>4.3626052769919598E-12</v>
      </c>
      <c r="H17" s="26">
        <f>IF($A17&gt;Inputs!$B$9,"",Combined_Fixed_Model!K13)</f>
        <v>6.5007884457587597E-20</v>
      </c>
      <c r="I17" s="26" t="str">
        <f>IF(OR($A17&gt;Inputs!$B$9,$A17&gt;4),"",Combined_Fixed_Model!L13)</f>
        <v/>
      </c>
      <c r="J17" s="26">
        <f>IF($A17&gt;Inputs!$B$9,"",Combined_Fixed_Model!Y13)</f>
        <v>3.0187521200780056E-11</v>
      </c>
      <c r="K17" s="26">
        <f>IF($A17&gt;Inputs!$B$9,"",Combined_Fixed_Model!Z13)</f>
        <v>1.1515425750818239E-5</v>
      </c>
      <c r="L17" s="26">
        <f>IF($A17&gt;Inputs!$B$9,"",Combined_Fixed_Model!AA13)</f>
        <v>1.7162508282578324E-13</v>
      </c>
      <c r="M17" s="26" t="str">
        <f>IF(OR($A17&gt;Inputs!$B$9,$A17&gt;4),"",Combined_Fixed_Model!AB13)</f>
        <v/>
      </c>
    </row>
    <row r="18" spans="1:13">
      <c r="A18" s="3">
        <v>15</v>
      </c>
      <c r="B18" s="26">
        <f>IF($A18&gt;Inputs!$B$9,"",Combined_Fixed_Model!E14)</f>
        <v>7.5196324642539908E-14</v>
      </c>
      <c r="C18" s="26">
        <f>IF($A18&gt;Inputs!$B$9,"",Combined_Fixed_Model!F14)</f>
        <v>2.0185155971907953E-5</v>
      </c>
      <c r="D18" s="26">
        <f>IF($A18&gt;Inputs!$B$9,"",Combined_Fixed_Model!G14)</f>
        <v>7.5196324642539908E-14</v>
      </c>
      <c r="E18" s="26" t="str">
        <f>IF(OR($A18&gt;Inputs!$B$9,$A18&gt;4),"",Combined_Fixed_Model!H14)</f>
        <v/>
      </c>
      <c r="F18" s="26">
        <f>IF($A18&gt;Inputs!$B$9,"",Combined_Fixed_Model!I14)</f>
        <v>7.5196324642539971E-14</v>
      </c>
      <c r="G18" s="26">
        <f>IF($A18&gt;Inputs!$B$9,"",Combined_Fixed_Model!J14)</f>
        <v>3.7935698060799651E-13</v>
      </c>
      <c r="H18" s="26">
        <f>IF($A18&gt;Inputs!$B$9,"",Combined_Fixed_Model!K14)</f>
        <v>1.4132148795127738E-21</v>
      </c>
      <c r="I18" s="26" t="str">
        <f>IF(OR($A18&gt;Inputs!$B$9,$A18&gt;4),"",Combined_Fixed_Model!L14)</f>
        <v/>
      </c>
      <c r="J18" s="26">
        <f>IF($A18&gt;Inputs!$B$9,"",Combined_Fixed_Model!Y14)</f>
        <v>7.5196324642540034E-14</v>
      </c>
      <c r="K18" s="26">
        <f>IF($A18&gt;Inputs!$B$9,"",Combined_Fixed_Model!Z14)</f>
        <v>5.7522175615738375E-7</v>
      </c>
      <c r="L18" s="26">
        <f>IF($A18&gt;Inputs!$B$9,"",Combined_Fixed_Model!AA14)</f>
        <v>2.1428853295457254E-15</v>
      </c>
      <c r="M18" s="26" t="str">
        <f>IF(OR($A18&gt;Inputs!$B$9,$A18&gt;4),"",Combined_Fixed_Model!AB14)</f>
        <v/>
      </c>
    </row>
    <row r="21" spans="1:13">
      <c r="A21" s="24" t="s">
        <v>118</v>
      </c>
    </row>
    <row r="22" spans="1:13" ht="28.3">
      <c r="A22" s="25" t="s">
        <v>91</v>
      </c>
      <c r="B22" s="25" t="s">
        <v>167</v>
      </c>
      <c r="C22" s="25" t="s">
        <v>168</v>
      </c>
      <c r="D22" s="25" t="s">
        <v>169</v>
      </c>
      <c r="E22" s="25" t="s">
        <v>170</v>
      </c>
      <c r="F22" s="25" t="s">
        <v>110</v>
      </c>
      <c r="G22" s="25" t="s">
        <v>111</v>
      </c>
      <c r="H22" s="25" t="s">
        <v>112</v>
      </c>
      <c r="I22" s="25" t="s">
        <v>113</v>
      </c>
      <c r="J22" s="25" t="s">
        <v>114</v>
      </c>
      <c r="K22" s="25" t="s">
        <v>115</v>
      </c>
      <c r="L22" s="25" t="s">
        <v>116</v>
      </c>
      <c r="M22" s="25" t="s">
        <v>117</v>
      </c>
    </row>
    <row r="23" spans="1:13">
      <c r="A23" s="3">
        <v>3</v>
      </c>
      <c r="B23" s="27">
        <f>IF($A23&gt;Inputs!$B$9,"",Combined_Fixed_Model!M2)</f>
        <v>3.0929925288115491E-11</v>
      </c>
      <c r="C23" s="27">
        <f>IF($A23&gt;Inputs!$B$9,"",Combined_Fixed_Model!N2)</f>
        <v>1.5689345858865983E-5</v>
      </c>
      <c r="D23" s="27">
        <f>IF($A23&gt;Inputs!$B$9,"",Combined_Fixed_Model!O2)</f>
        <v>0.69488885625919738</v>
      </c>
      <c r="E23" s="27">
        <f>IF(OR($A23&gt;Inputs!$B$9,$A23&gt;4),"",Combined_Fixed_Model!P2)</f>
        <v>0.59843353923653009</v>
      </c>
      <c r="F23" s="27">
        <f>IF($A23&gt;Inputs!$B$9,"",Combined_Fixed_Model!Q2)</f>
        <v>2.9339737673753432</v>
      </c>
      <c r="G23" s="27">
        <f>IF($A23&gt;Inputs!$B$9,"",Combined_Fixed_Model!R2)</f>
        <v>3.716733106624976</v>
      </c>
      <c r="H23" s="27">
        <f>IF($A23&gt;Inputs!$B$9,"",Combined_Fixed_Model!S2)</f>
        <v>6.4893218288647567</v>
      </c>
      <c r="I23" s="27">
        <f>IF(OR($A23&gt;Inputs!$B$9,$A23&gt;4),"",Combined_Fixed_Model!T2)</f>
        <v>6.3462209852240834</v>
      </c>
      <c r="J23" s="27">
        <f>IF($A23&gt;Inputs!$B$9,"",Combined_Fixed_Model!U2)</f>
        <v>0.58679475349981247</v>
      </c>
      <c r="K23" s="27">
        <f>IF($A23&gt;Inputs!$B$9,"",Combined_Fixed_Model!V2)</f>
        <v>0.74335917280168218</v>
      </c>
      <c r="L23" s="27">
        <f>IF($A23&gt;Inputs!$B$9,"",Combined_Fixed_Model!W2)</f>
        <v>1.8537754507803093</v>
      </c>
      <c r="M23" s="27">
        <f>IF(OR($A23&gt;Inputs!$B$9,$A23&gt;4),"",Combined_Fixed_Model!X2)</f>
        <v>1.7479910284340405</v>
      </c>
    </row>
    <row r="24" spans="1:13">
      <c r="A24" s="3">
        <v>4</v>
      </c>
      <c r="B24" s="27">
        <f>IF($A24&gt;Inputs!$B$9,"",Combined_Fixed_Model!M3)</f>
        <v>2.3032661810224149E-7</v>
      </c>
      <c r="C24" s="27">
        <f>IF($A24&gt;Inputs!$B$9,"",Combined_Fixed_Model!N3)</f>
        <v>1.8426667186211991E-4</v>
      </c>
      <c r="D24" s="27">
        <f>IF($A24&gt;Inputs!$B$9,"",Combined_Fixed_Model!O3)</f>
        <v>2.073641021364272</v>
      </c>
      <c r="E24" s="27">
        <f>IF(OR($A24&gt;Inputs!$B$9,$A24&gt;4),"",Combined_Fixed_Model!P3)</f>
        <v>3.191283273434939</v>
      </c>
      <c r="F24" s="27">
        <f>IF($A24&gt;Inputs!$B$9,"",Combined_Fixed_Model!Q3)</f>
        <v>4.4921183854218931</v>
      </c>
      <c r="G24" s="27">
        <f>IF($A24&gt;Inputs!$B$9,"",Combined_Fixed_Model!R3)</f>
        <v>5.7603855404532265</v>
      </c>
      <c r="H24" s="27">
        <f>IF($A24&gt;Inputs!$B$9,"",Combined_Fixed_Model!S3)</f>
        <v>9.9192686238128989</v>
      </c>
      <c r="I24" s="27">
        <f>IF(OR($A24&gt;Inputs!$B$9,$A24&gt;4),"",Combined_Fixed_Model!T3)</f>
        <v>10.389272253058634</v>
      </c>
      <c r="J24" s="27">
        <f>IF($A24&gt;Inputs!$B$9,"",Combined_Fixed_Model!U3)</f>
        <v>0.89842386134567287</v>
      </c>
      <c r="K24" s="27">
        <f>IF($A24&gt;Inputs!$B$9,"",Combined_Fixed_Model!V3)</f>
        <v>1.1522245214281348</v>
      </c>
      <c r="L24" s="27">
        <f>IF($A24&gt;Inputs!$B$9,"",Combined_Fixed_Model!W3)</f>
        <v>3.6427665418539972</v>
      </c>
      <c r="M24" s="27">
        <f>IF(OR($A24&gt;Inputs!$B$9,$A24&gt;4),"",Combined_Fixed_Model!X3)</f>
        <v>4.6308810693596776</v>
      </c>
    </row>
    <row r="25" spans="1:13">
      <c r="A25" s="3">
        <v>5</v>
      </c>
      <c r="B25" s="27">
        <f>IF($A25&gt;Inputs!$B$9,"",Combined_Fixed_Model!M4)</f>
        <v>1.354810539456582E-3</v>
      </c>
      <c r="C25" s="27">
        <f>IF($A25&gt;Inputs!$B$9,"",Combined_Fixed_Model!N4)</f>
        <v>2.0447849317662948E-3</v>
      </c>
      <c r="D25" s="27">
        <f>IF($A25&gt;Inputs!$B$9,"",Combined_Fixed_Model!O4)</f>
        <v>3.7337517926801636</v>
      </c>
      <c r="E25" s="27" t="str">
        <f>IF(OR($A25&gt;Inputs!$B$9,$A25&gt;4),"",Combined_Fixed_Model!P4)</f>
        <v/>
      </c>
      <c r="F25" s="27">
        <f>IF($A25&gt;Inputs!$B$9,"",Combined_Fixed_Model!Q4)</f>
        <v>6.1195748033586721</v>
      </c>
      <c r="G25" s="27">
        <f>IF($A25&gt;Inputs!$B$9,"",Combined_Fixed_Model!R4)</f>
        <v>7.7933070664981692</v>
      </c>
      <c r="H25" s="27">
        <f>IF($A25&gt;Inputs!$B$9,"",Combined_Fixed_Model!S4)</f>
        <v>13.338484510977732</v>
      </c>
      <c r="I25" s="27" t="str">
        <f>IF(OR($A25&gt;Inputs!$B$9,$A25&gt;4),"",Combined_Fixed_Model!T4)</f>
        <v/>
      </c>
      <c r="J25" s="27">
        <f>IF($A25&gt;Inputs!$B$9,"",Combined_Fixed_Model!U4)</f>
        <v>1.2249988091032993</v>
      </c>
      <c r="K25" s="27">
        <f>IF($A25&gt;Inputs!$B$9,"",Combined_Fixed_Model!V4)</f>
        <v>1.5602972412450464</v>
      </c>
      <c r="L25" s="27">
        <f>IF($A25&gt;Inputs!$B$9,"",Combined_Fixed_Model!W4)</f>
        <v>5.6546983363396768</v>
      </c>
      <c r="M25" s="27" t="str">
        <f>IF(OR($A25&gt;Inputs!$B$9,$A25&gt;4),"",Combined_Fixed_Model!X4)</f>
        <v/>
      </c>
    </row>
    <row r="26" spans="1:13">
      <c r="A26" s="3">
        <v>6</v>
      </c>
      <c r="B26" s="27">
        <f>IF($A26&gt;Inputs!$B$9,"",Combined_Fixed_Model!M5)</f>
        <v>0.14518736100145593</v>
      </c>
      <c r="C26" s="27">
        <f>IF($A26&gt;Inputs!$B$9,"",Combined_Fixed_Model!N5)</f>
        <v>1.6798282102354206E-2</v>
      </c>
      <c r="D26" s="27">
        <f>IF($A26&gt;Inputs!$B$9,"",Combined_Fixed_Model!O5)</f>
        <v>5.5237365826127274</v>
      </c>
      <c r="E26" s="27" t="str">
        <f>IF(OR($A26&gt;Inputs!$B$9,$A26&gt;4),"",Combined_Fixed_Model!P5)</f>
        <v/>
      </c>
      <c r="F26" s="27">
        <f>IF($A26&gt;Inputs!$B$9,"",Combined_Fixed_Model!Q5)</f>
        <v>7.8243228955970974</v>
      </c>
      <c r="G26" s="27">
        <f>IF($A26&gt;Inputs!$B$9,"",Combined_Fixed_Model!R5)</f>
        <v>9.8165088898551289</v>
      </c>
      <c r="H26" s="27">
        <f>IF($A26&gt;Inputs!$B$9,"",Combined_Fixed_Model!S5)</f>
        <v>16.747980695454583</v>
      </c>
      <c r="I26" s="27" t="str">
        <f>IF(OR($A26&gt;Inputs!$B$9,$A26&gt;4),"",Combined_Fixed_Model!T5)</f>
        <v/>
      </c>
      <c r="J26" s="27">
        <f>IF($A26&gt;Inputs!$B$9,"",Combined_Fixed_Model!U5)</f>
        <v>1.6810144679205838</v>
      </c>
      <c r="K26" s="27">
        <f>IF($A26&gt;Inputs!$B$9,"",Combined_Fixed_Model!V5)</f>
        <v>1.9767404036529088</v>
      </c>
      <c r="L26" s="27">
        <f>IF($A26&gt;Inputs!$B$9,"",Combined_Fixed_Model!W5)</f>
        <v>7.7685854051810974</v>
      </c>
      <c r="M26" s="27" t="str">
        <f>IF(OR($A26&gt;Inputs!$B$9,$A26&gt;4),"",Combined_Fixed_Model!X5)</f>
        <v/>
      </c>
    </row>
    <row r="27" spans="1:13">
      <c r="A27" s="3">
        <v>7</v>
      </c>
      <c r="B27" s="27">
        <f>IF($A27&gt;Inputs!$B$9,"",Combined_Fixed_Model!M6)</f>
        <v>1.0533634451710172</v>
      </c>
      <c r="C27" s="27">
        <f>IF($A27&gt;Inputs!$B$9,"",Combined_Fixed_Model!N6)</f>
        <v>8.9594924537770293E-2</v>
      </c>
      <c r="D27" s="27">
        <f>IF($A27&gt;Inputs!$B$9,"",Combined_Fixed_Model!O6)</f>
        <v>7.4191576894434057</v>
      </c>
      <c r="E27" s="27" t="str">
        <f>IF(OR($A27&gt;Inputs!$B$9,$A27&gt;4),"",Combined_Fixed_Model!P6)</f>
        <v/>
      </c>
      <c r="F27" s="27">
        <f>IF($A27&gt;Inputs!$B$9,"",Combined_Fixed_Model!Q6)</f>
        <v>9.6160823648251519</v>
      </c>
      <c r="G27" s="27">
        <f>IF($A27&gt;Inputs!$B$9,"",Combined_Fixed_Model!R6)</f>
        <v>11.831411910397394</v>
      </c>
      <c r="H27" s="27">
        <f>IF($A27&gt;Inputs!$B$9,"",Combined_Fixed_Model!S6)</f>
        <v>20.149178077116737</v>
      </c>
      <c r="I27" s="27" t="str">
        <f>IF(OR($A27&gt;Inputs!$B$9,$A27&gt;4),"",Combined_Fixed_Model!T6)</f>
        <v/>
      </c>
      <c r="J27" s="27">
        <f>IF($A27&gt;Inputs!$B$9,"",Combined_Fixed_Model!U6)</f>
        <v>2.7659072291018436</v>
      </c>
      <c r="K27" s="27">
        <f>IF($A27&gt;Inputs!$B$9,"",Combined_Fixed_Model!V6)</f>
        <v>2.4379583217096945</v>
      </c>
      <c r="L27" s="27">
        <f>IF($A27&gt;Inputs!$B$9,"",Combined_Fixed_Model!W6)</f>
        <v>9.9651617669780705</v>
      </c>
      <c r="M27" s="27" t="str">
        <f>IF(OR($A27&gt;Inputs!$B$9,$A27&gt;4),"",Combined_Fixed_Model!X6)</f>
        <v/>
      </c>
    </row>
    <row r="28" spans="1:13">
      <c r="A28" s="3">
        <v>8</v>
      </c>
      <c r="B28" s="27">
        <f>IF($A28&gt;Inputs!$B$9,"",Combined_Fixed_Model!M7)</f>
        <v>2.769619398868421</v>
      </c>
      <c r="C28" s="27">
        <f>IF($A28&gt;Inputs!$B$9,"",Combined_Fixed_Model!N7)</f>
        <v>0.31130557489530331</v>
      </c>
      <c r="D28" s="27">
        <f>IF($A28&gt;Inputs!$B$9,"",Combined_Fixed_Model!O7)</f>
        <v>9.4275314351769666</v>
      </c>
      <c r="E28" s="27" t="str">
        <f>IF(OR($A28&gt;Inputs!$B$9,$A28&gt;4),"",Combined_Fixed_Model!P7)</f>
        <v/>
      </c>
      <c r="F28" s="27">
        <f>IF($A28&gt;Inputs!$B$9,"",Combined_Fixed_Model!Q7)</f>
        <v>11.506932736697438</v>
      </c>
      <c r="G28" s="27">
        <f>IF($A28&gt;Inputs!$B$9,"",Combined_Fixed_Model!R7)</f>
        <v>13.840045317926064</v>
      </c>
      <c r="H28" s="27">
        <f>IF($A28&gt;Inputs!$B$9,"",Combined_Fixed_Model!S7)</f>
        <v>23.544105845765298</v>
      </c>
      <c r="I28" s="27" t="str">
        <f>IF(OR($A28&gt;Inputs!$B$9,$A28&gt;4),"",Combined_Fixed_Model!T7)</f>
        <v/>
      </c>
      <c r="J28" s="27">
        <f>IF($A28&gt;Inputs!$B$9,"",Combined_Fixed_Model!U7)</f>
        <v>4.5170820664342237</v>
      </c>
      <c r="K28" s="27">
        <f>IF($A28&gt;Inputs!$B$9,"",Combined_Fixed_Model!V7)</f>
        <v>3.0170535235014548</v>
      </c>
      <c r="L28" s="27">
        <f>IF($A28&gt;Inputs!$B$9,"",Combined_Fixed_Model!W7)</f>
        <v>12.250846317294631</v>
      </c>
      <c r="M28" s="27" t="str">
        <f>IF(OR($A28&gt;Inputs!$B$9,$A28&gt;4),"",Combined_Fixed_Model!X7)</f>
        <v/>
      </c>
    </row>
    <row r="29" spans="1:13">
      <c r="A29" s="3">
        <v>9</v>
      </c>
      <c r="B29" s="27">
        <f>IF($A29&gt;Inputs!$B$9,"",Combined_Fixed_Model!M8)</f>
        <v>4.9974606988713539</v>
      </c>
      <c r="C29" s="27">
        <f>IF($A29&gt;Inputs!$B$9,"",Combined_Fixed_Model!N8)</f>
        <v>0.77060205442374252</v>
      </c>
      <c r="D29" s="27">
        <f>IF($A29&gt;Inputs!$B$9,"",Combined_Fixed_Model!O8)</f>
        <v>11.566360897018845</v>
      </c>
      <c r="E29" s="27" t="str">
        <f>IF(OR($A29&gt;Inputs!$B$9,$A29&gt;4),"",Combined_Fixed_Model!P8)</f>
        <v/>
      </c>
      <c r="F29" s="27">
        <f>IF($A29&gt;Inputs!$B$9,"",Combined_Fixed_Model!Q8)</f>
        <v>13.512266306223552</v>
      </c>
      <c r="G29" s="27">
        <f>IF($A29&gt;Inputs!$B$9,"",Combined_Fixed_Model!R8)</f>
        <v>15.845378887452178</v>
      </c>
      <c r="H29" s="27">
        <f>IF($A29&gt;Inputs!$B$9,"",Combined_Fixed_Model!S8)</f>
        <v>26.935733776411304</v>
      </c>
      <c r="I29" s="27" t="str">
        <f>IF(OR($A29&gt;Inputs!$B$9,$A29&gt;4),"",Combined_Fixed_Model!T8)</f>
        <v/>
      </c>
      <c r="J29" s="27">
        <f>IF($A29&gt;Inputs!$B$9,"",Combined_Fixed_Model!U8)</f>
        <v>6.7004218203417931</v>
      </c>
      <c r="K29" s="27">
        <f>IF($A29&gt;Inputs!$B$9,"",Combined_Fixed_Model!V8)</f>
        <v>3.7855574210294289</v>
      </c>
      <c r="L29" s="27">
        <f>IF($A29&gt;Inputs!$B$9,"",Combined_Fixed_Model!W8)</f>
        <v>14.640235472897336</v>
      </c>
      <c r="M29" s="27" t="str">
        <f>IF(OR($A29&gt;Inputs!$B$9,$A29&gt;4),"",Combined_Fixed_Model!X8)</f>
        <v/>
      </c>
    </row>
    <row r="30" spans="1:13">
      <c r="A30" s="3">
        <v>10</v>
      </c>
      <c r="B30" s="27">
        <f>IF($A30&gt;Inputs!$B$9,"",Combined_Fixed_Model!M9)</f>
        <v>7.6452046156301323</v>
      </c>
      <c r="C30" s="27">
        <f>IF($A30&gt;Inputs!$B$9,"",Combined_Fixed_Model!N9)</f>
        <v>1.5066052532486622</v>
      </c>
      <c r="D30" s="27">
        <f>IF($A30&gt;Inputs!$B$9,"",Combined_Fixed_Model!O9)</f>
        <v>13.860573478503964</v>
      </c>
      <c r="E30" s="27" t="str">
        <f>IF(OR($A30&gt;Inputs!$B$9,$A30&gt;4),"",Combined_Fixed_Model!P9)</f>
        <v/>
      </c>
      <c r="F30" s="27">
        <f>IF($A30&gt;Inputs!$B$9,"",Combined_Fixed_Model!Q9)</f>
        <v>15.652332469719823</v>
      </c>
      <c r="G30" s="27">
        <f>IF($A30&gt;Inputs!$B$9,"",Combined_Fixed_Model!R9)</f>
        <v>17.851913658323927</v>
      </c>
      <c r="H30" s="27">
        <f>IF($A30&gt;Inputs!$B$9,"",Combined_Fixed_Model!S9)</f>
        <v>30.32856290840294</v>
      </c>
      <c r="I30" s="27" t="str">
        <f>IF(OR($A30&gt;Inputs!$B$9,$A30&gt;4),"",Combined_Fixed_Model!T9)</f>
        <v/>
      </c>
      <c r="J30" s="27">
        <f>IF($A30&gt;Inputs!$B$9,"",Combined_Fixed_Model!U9)</f>
        <v>9.2466301864480691</v>
      </c>
      <c r="K30" s="27">
        <f>IF($A30&gt;Inputs!$B$9,"",Combined_Fixed_Model!V9)</f>
        <v>4.7756669342637146</v>
      </c>
      <c r="L30" s="27">
        <f>IF($A30&gt;Inputs!$B$9,"",Combined_Fixed_Model!W9)</f>
        <v>17.154171364483759</v>
      </c>
      <c r="M30" s="27" t="str">
        <f>IF(OR($A30&gt;Inputs!$B$9,$A30&gt;4),"",Combined_Fixed_Model!X9)</f>
        <v/>
      </c>
    </row>
    <row r="31" spans="1:13">
      <c r="A31" s="3">
        <v>11</v>
      </c>
      <c r="B31" s="27">
        <f>IF($A31&gt;Inputs!$B$9,"",Combined_Fixed_Model!M10)</f>
        <v>10.736018728867728</v>
      </c>
      <c r="C31" s="27">
        <f>IF($A31&gt;Inputs!$B$9,"",Combined_Fixed_Model!N10)</f>
        <v>2.5240108882774708</v>
      </c>
      <c r="D31" s="27">
        <f>IF($A31&gt;Inputs!$B$9,"",Combined_Fixed_Model!O10)</f>
        <v>16.345479690561422</v>
      </c>
      <c r="E31" s="27" t="str">
        <f>IF(OR($A31&gt;Inputs!$B$9,$A31&gt;4),"",Combined_Fixed_Model!P10)</f>
        <v/>
      </c>
      <c r="F31" s="27">
        <f>IF($A31&gt;Inputs!$B$9,"",Combined_Fixed_Model!Q10)</f>
        <v>17.95491756271387</v>
      </c>
      <c r="G31" s="27">
        <f>IF($A31&gt;Inputs!$B$9,"",Combined_Fixed_Model!R10)</f>
        <v>19.86681667886619</v>
      </c>
      <c r="H31" s="27">
        <f>IF($A31&gt;Inputs!$B$9,"",Combined_Fixed_Model!S10)</f>
        <v>33.729760290065094</v>
      </c>
      <c r="I31" s="27" t="str">
        <f>IF(OR($A31&gt;Inputs!$B$9,$A31&gt;4),"",Combined_Fixed_Model!T10)</f>
        <v/>
      </c>
      <c r="J31" s="27">
        <f>IF($A31&gt;Inputs!$B$9,"",Combined_Fixed_Model!U10)</f>
        <v>12.179798495636955</v>
      </c>
      <c r="K31" s="27">
        <f>IF($A31&gt;Inputs!$B$9,"",Combined_Fixed_Model!V10)</f>
        <v>5.9925720463952139</v>
      </c>
      <c r="L31" s="27">
        <f>IF($A31&gt;Inputs!$B$9,"",Combined_Fixed_Model!W10)</f>
        <v>19.822335810462157</v>
      </c>
      <c r="M31" s="27" t="str">
        <f>IF(OR($A31&gt;Inputs!$B$9,$A31&gt;4),"",Combined_Fixed_Model!X10)</f>
        <v/>
      </c>
    </row>
    <row r="32" spans="1:13">
      <c r="A32" s="3">
        <v>12</v>
      </c>
      <c r="B32" s="27">
        <f>IF($A32&gt;Inputs!$B$9,"",Combined_Fixed_Model!M11)</f>
        <v>14.340146376667706</v>
      </c>
      <c r="C32" s="27">
        <f>IF($A32&gt;Inputs!$B$9,"",Combined_Fixed_Model!N11)</f>
        <v>3.8358015145633271</v>
      </c>
      <c r="D32" s="27">
        <f>IF($A32&gt;Inputs!$B$9,"",Combined_Fixed_Model!O11)</f>
        <v>19.074149138584716</v>
      </c>
      <c r="E32" s="27" t="str">
        <f>IF(OR($A32&gt;Inputs!$B$9,$A32&gt;4),"",Combined_Fixed_Model!P11)</f>
        <v/>
      </c>
      <c r="F32" s="27">
        <f>IF($A32&gt;Inputs!$B$9,"",Combined_Fixed_Model!Q11)</f>
        <v>20.460443499704606</v>
      </c>
      <c r="G32" s="27">
        <f>IF($A32&gt;Inputs!$B$9,"",Combined_Fixed_Model!R11)</f>
        <v>21.902338986611191</v>
      </c>
      <c r="H32" s="27">
        <f>IF($A32&gt;Inputs!$B$9,"",Combined_Fixed_Model!S11)</f>
        <v>37.151576958929986</v>
      </c>
      <c r="I32" s="27" t="str">
        <f>IF(OR($A32&gt;Inputs!$B$9,$A32&gt;4),"",Combined_Fixed_Model!T11)</f>
        <v/>
      </c>
      <c r="J32" s="27">
        <f>IF($A32&gt;Inputs!$B$9,"",Combined_Fixed_Model!U11)</f>
        <v>15.564205801275087</v>
      </c>
      <c r="K32" s="27">
        <f>IF($A32&gt;Inputs!$B$9,"",Combined_Fixed_Model!V11)</f>
        <v>7.4491090089728988</v>
      </c>
      <c r="L32" s="27">
        <f>IF($A32&gt;Inputs!$B$9,"",Combined_Fixed_Model!W11)</f>
        <v>22.68963470265377</v>
      </c>
      <c r="M32" s="27" t="str">
        <f>IF(OR($A32&gt;Inputs!$B$9,$A32&gt;4),"",Combined_Fixed_Model!X11)</f>
        <v/>
      </c>
    </row>
    <row r="33" spans="1:13">
      <c r="A33" s="3">
        <v>13</v>
      </c>
      <c r="B33" s="27">
        <f>IF($A33&gt;Inputs!$B$9,"",Combined_Fixed_Model!M12)</f>
        <v>18.579071871786862</v>
      </c>
      <c r="C33" s="27">
        <f>IF($A33&gt;Inputs!$B$9,"",Combined_Fixed_Model!N12)</f>
        <v>5.5009325624300933</v>
      </c>
      <c r="D33" s="27">
        <f>IF($A33&gt;Inputs!$B$9,"",Combined_Fixed_Model!O12)</f>
        <v>22.134419933276277</v>
      </c>
      <c r="E33" s="27" t="str">
        <f>IF(OR($A33&gt;Inputs!$B$9,$A33&gt;4),"",Combined_Fixed_Model!P12)</f>
        <v/>
      </c>
      <c r="F33" s="27">
        <f>IF($A33&gt;Inputs!$B$9,"",Combined_Fixed_Model!Q12)</f>
        <v>23.233032221944384</v>
      </c>
      <c r="G33" s="27">
        <f>IF($A33&gt;Inputs!$B$9,"",Combined_Fixed_Model!R12)</f>
        <v>23.981780528291026</v>
      </c>
      <c r="H33" s="27">
        <f>IF($A33&gt;Inputs!$B$9,"",Combined_Fixed_Model!S12)</f>
        <v>40.617312861729715</v>
      </c>
      <c r="I33" s="27" t="str">
        <f>IF(OR($A33&gt;Inputs!$B$9,$A33&gt;4),"",Combined_Fixed_Model!T12)</f>
        <v/>
      </c>
      <c r="J33" s="27">
        <f>IF($A33&gt;Inputs!$B$9,"",Combined_Fixed_Model!U12)</f>
        <v>19.509863941818367</v>
      </c>
      <c r="K33" s="27">
        <f>IF($A33&gt;Inputs!$B$9,"",Combined_Fixed_Model!V12)</f>
        <v>9.1971021556022787</v>
      </c>
      <c r="L33" s="27">
        <f>IF($A33&gt;Inputs!$B$9,"",Combined_Fixed_Model!W12)</f>
        <v>25.830998518966965</v>
      </c>
      <c r="M33" s="27" t="str">
        <f>IF(OR($A33&gt;Inputs!$B$9,$A33&gt;4),"",Combined_Fixed_Model!X12)</f>
        <v/>
      </c>
    </row>
    <row r="34" spans="1:13">
      <c r="A34" s="3">
        <v>14</v>
      </c>
      <c r="B34" s="27">
        <f>IF($A34&gt;Inputs!$B$9,"",Combined_Fixed_Model!M13)</f>
        <v>23.68198244199229</v>
      </c>
      <c r="C34" s="27">
        <f>IF($A34&gt;Inputs!$B$9,"",Combined_Fixed_Model!N13)</f>
        <v>7.6752908906317279</v>
      </c>
      <c r="D34" s="27">
        <f>IF($A34&gt;Inputs!$B$9,"",Combined_Fixed_Model!O13)</f>
        <v>25.696885462534553</v>
      </c>
      <c r="E34" s="27" t="str">
        <f>IF(OR($A34&gt;Inputs!$B$9,$A34&gt;4),"",Combined_Fixed_Model!P13)</f>
        <v/>
      </c>
      <c r="F34" s="27">
        <f>IF($A34&gt;Inputs!$B$9,"",Combined_Fixed_Model!Q13)</f>
        <v>26.3900326430945</v>
      </c>
      <c r="G34" s="27">
        <f>IF($A34&gt;Inputs!$B$9,"",Combined_Fixed_Model!R13)</f>
        <v>26.157951696429414</v>
      </c>
      <c r="H34" s="27">
        <f>IF($A34&gt;Inputs!$B$9,"",Combined_Fixed_Model!S13)</f>
        <v>44.179778390987991</v>
      </c>
      <c r="I34" s="27" t="str">
        <f>IF(OR($A34&gt;Inputs!$B$9,$A34&gt;4),"",Combined_Fixed_Model!T13)</f>
        <v/>
      </c>
      <c r="J34" s="27">
        <f>IF($A34&gt;Inputs!$B$9,"",Combined_Fixed_Model!U13)</f>
        <v>24.22359248221273</v>
      </c>
      <c r="K34" s="27">
        <f>IF($A34&gt;Inputs!$B$9,"",Combined_Fixed_Model!V13)</f>
        <v>11.371823051791264</v>
      </c>
      <c r="L34" s="27">
        <f>IF($A34&gt;Inputs!$B$9,"",Combined_Fixed_Model!W13)</f>
        <v>29.393464048225241</v>
      </c>
      <c r="M34" s="27" t="str">
        <f>IF(OR($A34&gt;Inputs!$B$9,$A34&gt;4),"",Combined_Fixed_Model!X13)</f>
        <v/>
      </c>
    </row>
    <row r="35" spans="1:13">
      <c r="A35" s="3">
        <v>15</v>
      </c>
      <c r="B35" s="27">
        <f>IF($A35&gt;Inputs!$B$9,"",Combined_Fixed_Model!M14)</f>
        <v>30.218674039583593</v>
      </c>
      <c r="C35" s="27">
        <f>IF($A35&gt;Inputs!$B$9,"",Combined_Fixed_Model!N14)</f>
        <v>10.810563076569682</v>
      </c>
      <c r="D35" s="27">
        <f>IF($A35&gt;Inputs!$B$9,"",Combined_Fixed_Model!O14)</f>
        <v>30.218674039583593</v>
      </c>
      <c r="E35" s="27" t="str">
        <f>IF(OR($A35&gt;Inputs!$B$9,$A35&gt;4),"",Combined_Fixed_Model!P14)</f>
        <v/>
      </c>
      <c r="F35" s="27">
        <f>IF($A35&gt;Inputs!$B$9,"",Combined_Fixed_Model!Q14)</f>
        <v>30.218674039583593</v>
      </c>
      <c r="G35" s="27">
        <f>IF($A35&gt;Inputs!$B$9,"",Combined_Fixed_Model!R14)</f>
        <v>28.600298731798617</v>
      </c>
      <c r="H35" s="27">
        <f>IF($A35&gt;Inputs!$B$9,"",Combined_Fixed_Model!S14)</f>
        <v>48.008419787477088</v>
      </c>
      <c r="I35" s="27" t="str">
        <f>IF(OR($A35&gt;Inputs!$B$9,$A35&gt;4),"",Combined_Fixed_Model!T14)</f>
        <v/>
      </c>
      <c r="J35" s="27">
        <f>IF($A35&gt;Inputs!$B$9,"",Combined_Fixed_Model!U14)</f>
        <v>30.218674039583593</v>
      </c>
      <c r="K35" s="27">
        <f>IF($A35&gt;Inputs!$B$9,"",Combined_Fixed_Model!V14)</f>
        <v>14.368510207615468</v>
      </c>
      <c r="L35" s="27">
        <f>IF($A35&gt;Inputs!$B$9,"",Combined_Fixed_Model!W14)</f>
        <v>33.776623189162294</v>
      </c>
      <c r="M35" s="27" t="str">
        <f>IF(OR($A35&gt;Inputs!$B$9,$A35&gt;4),"",Combined_Fixed_Model!X14)</f>
        <v/>
      </c>
    </row>
    <row r="39" spans="1:13">
      <c r="A39" s="24" t="s">
        <v>171</v>
      </c>
    </row>
    <row r="40" spans="1:13" ht="28.3">
      <c r="A40" s="25" t="s">
        <v>91</v>
      </c>
      <c r="B40" s="25" t="s">
        <v>167</v>
      </c>
      <c r="C40" s="25" t="s">
        <v>168</v>
      </c>
      <c r="D40" s="25" t="s">
        <v>169</v>
      </c>
      <c r="E40" s="25" t="s">
        <v>170</v>
      </c>
      <c r="F40" s="25" t="s">
        <v>110</v>
      </c>
      <c r="G40" s="25" t="s">
        <v>111</v>
      </c>
      <c r="H40" s="25" t="s">
        <v>112</v>
      </c>
      <c r="I40" s="25" t="s">
        <v>113</v>
      </c>
      <c r="J40" s="25" t="s">
        <v>114</v>
      </c>
      <c r="K40" s="25" t="s">
        <v>115</v>
      </c>
      <c r="L40" s="25" t="s">
        <v>116</v>
      </c>
      <c r="M40" s="25" t="s">
        <v>117</v>
      </c>
    </row>
    <row r="41" spans="1:13">
      <c r="A41" s="3">
        <v>3</v>
      </c>
      <c r="B41" s="26">
        <f>IF($A41&gt;Inputs!$B$9,"",Combined_Fixed_Model!E15)</f>
        <v>0.9999997799712439</v>
      </c>
      <c r="C41" s="26">
        <f>IF($A41&gt;Inputs!$B$9,"",Combined_Fixed_Model!F15)</f>
        <v>0.99998243580807977</v>
      </c>
      <c r="D41" s="26">
        <f>IF($A41&gt;Inputs!$B$9,"",Combined_Fixed_Model!G15)</f>
        <v>0.35466513807856237</v>
      </c>
      <c r="E41" s="26">
        <f>IF(OR($A41&gt;Inputs!$B$9,$A41&gt;5),"",Combined_Fixed_Model!H15)</f>
        <v>0.63604926509087356</v>
      </c>
      <c r="F41" s="26">
        <f>IF($A41&gt;Inputs!$B$9,"",Combined_Fixed_Model!I15)</f>
        <v>3.3691225472047399E-2</v>
      </c>
      <c r="G41" s="26">
        <f>IF($A41&gt;Inputs!$B$9,"",Combined_Fixed_Model!J15)</f>
        <v>2.4065161051462423E-2</v>
      </c>
      <c r="H41" s="26">
        <f>IF($A41&gt;Inputs!$B$9,"",Combined_Fixed_Model!K15)</f>
        <v>9.6260644205849687E-4</v>
      </c>
      <c r="I41" s="26">
        <f>IF(OR($A41&gt;Inputs!$B$9,$A41&gt;5),"",Combined_Fixed_Model!L15)</f>
        <v>2.2213994816734544E-3</v>
      </c>
      <c r="J41" s="26">
        <f>IF($A41&gt;Inputs!$B$9,"",Combined_Fixed_Model!Y15)</f>
        <v>0.50757857854612887</v>
      </c>
      <c r="K41" s="26">
        <f>IF($A41&gt;Inputs!$B$9,"",Combined_Fixed_Model!Z15)</f>
        <v>0.47453871730417979</v>
      </c>
      <c r="L41" s="26">
        <f>IF($A41&gt;Inputs!$B$9,"",Combined_Fixed_Model!AA15)</f>
        <v>0.10877887272792965</v>
      </c>
      <c r="M41" s="26">
        <f>IF(OR($A41&gt;Inputs!$B$9,$A41&gt;5),"",Combined_Fixed_Model!AB15)</f>
        <v>0.2051719269749866</v>
      </c>
    </row>
    <row r="42" spans="1:13">
      <c r="A42" s="3">
        <v>4</v>
      </c>
      <c r="B42" s="26">
        <f>IF($A42&gt;Inputs!$B$9,"",Combined_Fixed_Model!E16)</f>
        <v>0.99953092777095853</v>
      </c>
      <c r="C42" s="26">
        <f>IF($A42&gt;Inputs!$B$9,"",Combined_Fixed_Model!F16)</f>
        <v>0.99978020304465232</v>
      </c>
      <c r="D42" s="26">
        <f>IF($A42&gt;Inputs!$B$9,"",Combined_Fixed_Model!G16)</f>
        <v>6.5162396564701353E-2</v>
      </c>
      <c r="E42" s="26">
        <f>IF(OR($A42&gt;Inputs!$B$9,$A42&gt;5),"",Combined_Fixed_Model!H16)</f>
        <v>8.077840887136567E-2</v>
      </c>
      <c r="F42" s="26">
        <f>IF($A42&gt;Inputs!$B$9,"",Combined_Fixed_Model!I16)</f>
        <v>5.6152042453412329E-3</v>
      </c>
      <c r="G42" s="26">
        <f>IF($A42&gt;Inputs!$B$9,"",Combined_Fixed_Model!J16)</f>
        <v>3.0852770578797973E-3</v>
      </c>
      <c r="H42" s="26">
        <f>IF($A42&gt;Inputs!$B$9,"",Combined_Fixed_Model!K16)</f>
        <v>2.468221646303838E-5</v>
      </c>
      <c r="I42" s="26">
        <f>IF(OR($A42&gt;Inputs!$B$9,$A42&gt;5),"",Combined_Fixed_Model!L16)</f>
        <v>6.1705541157595955E-5</v>
      </c>
      <c r="J42" s="26">
        <f>IF($A42&gt;Inputs!$B$9,"",Combined_Fixed_Model!Y16)</f>
        <v>0.35457662419777575</v>
      </c>
      <c r="K42" s="26">
        <f>IF($A42&gt;Inputs!$B$9,"",Combined_Fixed_Model!Z16)</f>
        <v>0.31461719900657387</v>
      </c>
      <c r="L42" s="26">
        <f>IF($A42&gt;Inputs!$B$9,"",Combined_Fixed_Model!AA16)</f>
        <v>1.3479521327397525E-2</v>
      </c>
      <c r="M42" s="26">
        <f>IF(OR($A42&gt;Inputs!$B$9,$A42&gt;5),"",Combined_Fixed_Model!AB16)</f>
        <v>1.9226537025294796E-2</v>
      </c>
    </row>
    <row r="43" spans="1:13">
      <c r="A43" s="3">
        <v>5</v>
      </c>
      <c r="B43" s="26">
        <f>IF($A43&gt;Inputs!$B$9,"",Combined_Fixed_Model!E17)</f>
        <v>0.92664858965648977</v>
      </c>
      <c r="C43" s="26">
        <f>IF($A43&gt;Inputs!$B$9,"",Combined_Fixed_Model!F17)</f>
        <v>0.9974736593208503</v>
      </c>
      <c r="D43" s="26">
        <f>IF($A43&gt;Inputs!$B$9,"",Combined_Fixed_Model!G17)</f>
        <v>9.5239307739855006E-3</v>
      </c>
      <c r="E43" s="26">
        <f>IF(OR($A43&gt;Inputs!$B$9,$A43&gt;5),"",Combined_Fixed_Model!H17)</f>
        <v>2.6064808778946125E-3</v>
      </c>
      <c r="F43" s="26">
        <f>IF($A43&gt;Inputs!$B$9,"",Combined_Fixed_Model!I17)</f>
        <v>8.6996122110920499E-4</v>
      </c>
      <c r="G43" s="26">
        <f>IF($A43&gt;Inputs!$B$9,"",Combined_Fixed_Model!J17)</f>
        <v>3.9833389244926961E-4</v>
      </c>
      <c r="H43" s="26">
        <f>IF($A43&gt;Inputs!$B$9,"",Combined_Fixed_Model!K17)</f>
        <v>6.3733422791883147E-7</v>
      </c>
      <c r="I43" s="26">
        <f>IF(OR($A43&gt;Inputs!$B$9,$A43&gt;5),"",Combined_Fixed_Model!L17)</f>
        <v>8.6909212898022475E-7</v>
      </c>
      <c r="J43" s="26">
        <f>IF($A43&gt;Inputs!$B$9,"",Combined_Fixed_Model!Y17)</f>
        <v>0.22984339825207159</v>
      </c>
      <c r="K43" s="26">
        <f>IF($A43&gt;Inputs!$B$9,"",Combined_Fixed_Model!Z17)</f>
        <v>0.2085309879477503</v>
      </c>
      <c r="L43" s="26">
        <f>IF($A43&gt;Inputs!$B$9,"",Combined_Fixed_Model!AA17)</f>
        <v>1.392920828775915E-3</v>
      </c>
      <c r="M43" s="26">
        <f>IF(OR($A43&gt;Inputs!$B$9,$A43&gt;5),"",Combined_Fixed_Model!AB17)</f>
        <v>5.2560174431316676E-4</v>
      </c>
    </row>
    <row r="44" spans="1:13">
      <c r="A44" s="3">
        <v>6</v>
      </c>
      <c r="B44" s="26">
        <f>IF($A44&gt;Inputs!$B$9,"",Combined_Fixed_Model!E18)</f>
        <v>0.46314233372247893</v>
      </c>
      <c r="C44" s="26">
        <f>IF($A44&gt;Inputs!$B$9,"",Combined_Fixed_Model!F18)</f>
        <v>0.97942658254676562</v>
      </c>
      <c r="D44" s="26">
        <f>IF($A44&gt;Inputs!$B$9,"",Combined_Fixed_Model!G18)</f>
        <v>1.2420297861838181E-3</v>
      </c>
      <c r="E44" s="26" t="str">
        <f>IF(OR($A44&gt;Inputs!$B$9,$A44&gt;5),"",Combined_Fixed_Model!H18)</f>
        <v/>
      </c>
      <c r="F44" s="26">
        <f>IF($A44&gt;Inputs!$B$9,"",Combined_Fixed_Model!I18)</f>
        <v>1.2428017444417213E-4</v>
      </c>
      <c r="G44" s="26">
        <f>IF($A44&gt;Inputs!$B$9,"",Combined_Fixed_Model!J18)</f>
        <v>5.1731674344060982E-5</v>
      </c>
      <c r="H44" s="26">
        <f>IF($A44&gt;Inputs!$B$9,"",Combined_Fixed_Model!K18)</f>
        <v>1.6554135790099519E-8</v>
      </c>
      <c r="I44" s="26" t="str">
        <f>IF(OR($A44&gt;Inputs!$B$9,$A44&gt;5),"",Combined_Fixed_Model!L18)</f>
        <v/>
      </c>
      <c r="J44" s="26">
        <f>IF($A44&gt;Inputs!$B$9,"",Combined_Fixed_Model!Y18)</f>
        <v>8.9423559836598859E-2</v>
      </c>
      <c r="K44" s="26">
        <f>IF($A44&gt;Inputs!$B$9,"",Combined_Fixed_Model!Z18)</f>
        <v>0.13662457267235414</v>
      </c>
      <c r="L44" s="26">
        <f>IF($A44&gt;Inputs!$B$9,"",Combined_Fixed_Model!AA18)</f>
        <v>1.3154880630585479E-4</v>
      </c>
      <c r="M44" s="26" t="str">
        <f>IF(OR($A44&gt;Inputs!$B$9,$A44&gt;5),"",Combined_Fixed_Model!AB18)</f>
        <v/>
      </c>
    </row>
    <row r="45" spans="1:13">
      <c r="A45" s="3">
        <v>7</v>
      </c>
      <c r="B45" s="26">
        <f>IF($A45&gt;Inputs!$B$9,"",Combined_Fixed_Model!E19)</f>
        <v>9.9057907996357053E-2</v>
      </c>
      <c r="C45" s="26">
        <f>IF($A45&gt;Inputs!$B$9,"",Combined_Fixed_Model!F19)</f>
        <v>0.8976744202682877</v>
      </c>
      <c r="D45" s="26">
        <f>IF($A45&gt;Inputs!$B$9,"",Combined_Fixed_Model!G19)</f>
        <v>1.458834757964711E-4</v>
      </c>
      <c r="E45" s="26" t="str">
        <f>IF(OR($A45&gt;Inputs!$B$9,$A45&gt;5),"",Combined_Fixed_Model!H19)</f>
        <v/>
      </c>
      <c r="F45" s="26">
        <f>IF($A45&gt;Inputs!$B$9,"",Combined_Fixed_Model!I19)</f>
        <v>1.6210457536196364E-5</v>
      </c>
      <c r="G45" s="26">
        <f>IF($A45&gt;Inputs!$B$9,"",Combined_Fixed_Model!J19)</f>
        <v>6.7476096970514322E-6</v>
      </c>
      <c r="H45" s="26">
        <f>IF($A45&gt;Inputs!$B$9,"",Combined_Fixed_Model!K19)</f>
        <v>4.3184702061129177E-10</v>
      </c>
      <c r="I45" s="26" t="str">
        <f>IF(OR($A45&gt;Inputs!$B$9,$A45&gt;5),"",Combined_Fixed_Model!L19)</f>
        <v/>
      </c>
      <c r="J45" s="26">
        <f>IF($A45&gt;Inputs!$B$9,"",Combined_Fixed_Model!Y19)</f>
        <v>1.7324885621019744E-2</v>
      </c>
      <c r="K45" s="26">
        <f>IF($A45&gt;Inputs!$B$9,"",Combined_Fixed_Model!Z19)</f>
        <v>8.4786180366115224E-2</v>
      </c>
      <c r="L45" s="26">
        <f>IF($A45&gt;Inputs!$B$9,"",Combined_Fixed_Model!AA19)</f>
        <v>1.1435913646105979E-5</v>
      </c>
      <c r="M45" s="26" t="str">
        <f>IF(OR($A45&gt;Inputs!$B$9,$A45&gt;5),"",Combined_Fixed_Model!AB19)</f>
        <v/>
      </c>
    </row>
    <row r="46" spans="1:13">
      <c r="A46" s="3">
        <v>8</v>
      </c>
      <c r="B46" s="26">
        <f>IF($A46&gt;Inputs!$B$9,"",Combined_Fixed_Model!E20)</f>
        <v>1.2197272715614216E-2</v>
      </c>
      <c r="C46" s="26">
        <f>IF($A46&gt;Inputs!$B$9,"",Combined_Fixed_Model!F20)</f>
        <v>0.69636999482615825</v>
      </c>
      <c r="D46" s="26">
        <f>IF($A46&gt;Inputs!$B$9,"",Combined_Fixed_Model!G20)</f>
        <v>1.5256784824613234E-5</v>
      </c>
      <c r="E46" s="26" t="str">
        <f>IF(OR($A46&gt;Inputs!$B$9,$A46&gt;5),"",Combined_Fixed_Model!H20)</f>
        <v/>
      </c>
      <c r="F46" s="26">
        <f>IF($A46&gt;Inputs!$B$9,"",Combined_Fixed_Model!I20)</f>
        <v>1.9071126513172193E-6</v>
      </c>
      <c r="G46" s="26">
        <f>IF($A46&gt;Inputs!$B$9,"",Combined_Fixed_Model!J20)</f>
        <v>8.8204048327469711E-7</v>
      </c>
      <c r="H46" s="26">
        <f>IF($A46&gt;Inputs!$B$9,"",Combined_Fixed_Model!K20)</f>
        <v>1.1290118185916125E-11</v>
      </c>
      <c r="I46" s="26" t="str">
        <f>IF(OR($A46&gt;Inputs!$B$9,$A46&gt;5),"",Combined_Fixed_Model!L20)</f>
        <v/>
      </c>
      <c r="J46" s="26">
        <f>IF($A46&gt;Inputs!$B$9,"",Combined_Fixed_Model!Y20)</f>
        <v>2.1139049552486677E-3</v>
      </c>
      <c r="K46" s="26">
        <f>IF($A46&gt;Inputs!$B$9,"",Combined_Fixed_Model!Z20)</f>
        <v>4.6064858737039256E-2</v>
      </c>
      <c r="L46" s="26">
        <f>IF($A46&gt;Inputs!$B$9,"",Combined_Fixed_Model!AA20)</f>
        <v>9.0637958397857385E-7</v>
      </c>
      <c r="M46" s="26" t="str">
        <f>IF(OR($A46&gt;Inputs!$B$9,$A46&gt;5),"",Combined_Fixed_Model!AB20)</f>
        <v/>
      </c>
    </row>
    <row r="47" spans="1:13">
      <c r="A47" s="3">
        <v>9</v>
      </c>
      <c r="B47" s="26">
        <f>IF($A47&gt;Inputs!$B$9,"",Combined_Fixed_Model!E21)</f>
        <v>9.9675204277105411E-4</v>
      </c>
      <c r="C47" s="26">
        <f>IF($A47&gt;Inputs!$B$9,"",Combined_Fixed_Model!F21)</f>
        <v>0.42005719502267069</v>
      </c>
      <c r="D47" s="26">
        <f>IF($A47&gt;Inputs!$B$9,"",Combined_Fixed_Model!G21)</f>
        <v>1.3947530559388355E-6</v>
      </c>
      <c r="E47" s="26" t="str">
        <f>IF(OR($A47&gt;Inputs!$B$9,$A47&gt;5),"",Combined_Fixed_Model!H21)</f>
        <v/>
      </c>
      <c r="F47" s="26">
        <f>IF($A47&gt;Inputs!$B$9,"",Combined_Fixed_Model!I21)</f>
        <v>1.9925057551075426E-7</v>
      </c>
      <c r="G47" s="26">
        <f>IF($A47&gt;Inputs!$B$9,"",Combined_Fixed_Model!J21)</f>
        <v>1.1519185415900895E-7</v>
      </c>
      <c r="H47" s="26">
        <f>IF($A47&gt;Inputs!$B$9,"",Combined_Fixed_Model!K21)</f>
        <v>2.9489114664706294E-13</v>
      </c>
      <c r="I47" s="26" t="str">
        <f>IF(OR($A47&gt;Inputs!$B$9,$A47&gt;5),"",Combined_Fixed_Model!L21)</f>
        <v/>
      </c>
      <c r="J47" s="26">
        <f>IF($A47&gt;Inputs!$B$9,"",Combined_Fixed_Model!Y21)</f>
        <v>1.8144692994779077E-4</v>
      </c>
      <c r="K47" s="26">
        <f>IF($A47&gt;Inputs!$B$9,"",Combined_Fixed_Model!Z21)</f>
        <v>2.0461199798447838E-2</v>
      </c>
      <c r="L47" s="26">
        <f>IF($A47&gt;Inputs!$B$9,"",Combined_Fixed_Model!AA21)</f>
        <v>6.449561734639023E-8</v>
      </c>
      <c r="M47" s="26" t="str">
        <f>IF(OR($A47&gt;Inputs!$B$9,$A47&gt;5),"",Combined_Fixed_Model!AB21)</f>
        <v/>
      </c>
    </row>
    <row r="48" spans="1:13">
      <c r="A48" s="3">
        <v>10</v>
      </c>
      <c r="B48" s="26">
        <f>IF($A48&gt;Inputs!$B$9,"",Combined_Fixed_Model!E22)</f>
        <v>5.4393927711116064E-5</v>
      </c>
      <c r="C48" s="26">
        <f>IF($A48&gt;Inputs!$B$9,"",Combined_Fixed_Model!F22)</f>
        <v>0.19125352297565568</v>
      </c>
      <c r="D48" s="26">
        <f>IF($A48&gt;Inputs!$B$9,"",Combined_Fixed_Model!G22)</f>
        <v>1.0868212618753148E-7</v>
      </c>
      <c r="E48" s="26" t="str">
        <f>IF(OR($A48&gt;Inputs!$B$9,$A48&gt;5),"",Combined_Fixed_Model!H22)</f>
        <v/>
      </c>
      <c r="F48" s="26">
        <f>IF($A48&gt;Inputs!$B$9,"",Combined_Fixed_Model!I22)</f>
        <v>1.8113688682795842E-8</v>
      </c>
      <c r="G48" s="26">
        <f>IF($A48&gt;Inputs!$B$9,"",Combined_Fixed_Model!J22)</f>
        <v>1.4959981059611549E-8</v>
      </c>
      <c r="H48" s="26">
        <f>IF($A48&gt;Inputs!$B$9,"",Combined_Fixed_Model!K22)</f>
        <v>7.6595103025211163E-15</v>
      </c>
      <c r="I48" s="26" t="str">
        <f>IF(OR($A48&gt;Inputs!$B$9,$A48&gt;5),"",Combined_Fixed_Model!L22)</f>
        <v/>
      </c>
      <c r="J48" s="26">
        <f>IF($A48&gt;Inputs!$B$9,"",Combined_Fixed_Model!Y22)</f>
        <v>1.0965835221863369E-5</v>
      </c>
      <c r="K48" s="26">
        <f>IF($A48&gt;Inputs!$B$9,"",Combined_Fixed_Model!Z22)</f>
        <v>7.2489276266609328E-3</v>
      </c>
      <c r="L48" s="26">
        <f>IF($A48&gt;Inputs!$B$9,"",Combined_Fixed_Model!AA22)</f>
        <v>4.0342861735151187E-9</v>
      </c>
      <c r="M48" s="26" t="str">
        <f>IF(OR($A48&gt;Inputs!$B$9,$A48&gt;5),"",Combined_Fixed_Model!AB22)</f>
        <v/>
      </c>
    </row>
    <row r="49" spans="1:13">
      <c r="A49" s="3">
        <v>11</v>
      </c>
      <c r="B49" s="26">
        <f>IF($A49&gt;Inputs!$B$9,"",Combined_Fixed_Model!E23)</f>
        <v>1.9019355029792351E-6</v>
      </c>
      <c r="C49" s="26">
        <f>IF($A49&gt;Inputs!$B$9,"",Combined_Fixed_Model!F23)</f>
        <v>6.5772401407864112E-2</v>
      </c>
      <c r="D49" s="26">
        <f>IF($A49&gt;Inputs!$B$9,"",Combined_Fixed_Model!G23)</f>
        <v>6.9668033395368607E-9</v>
      </c>
      <c r="E49" s="26" t="str">
        <f>IF(OR($A49&gt;Inputs!$B$9,$A49&gt;5),"",Combined_Fixed_Model!H23)</f>
        <v/>
      </c>
      <c r="F49" s="26">
        <f>IF($A49&gt;Inputs!$B$9,"",Combined_Fixed_Model!I23)</f>
        <v>1.3933606679073726E-9</v>
      </c>
      <c r="G49" s="26">
        <f>IF($A49&gt;Inputs!$B$9,"",Combined_Fixed_Model!J23)</f>
        <v>1.9179462896937883E-9</v>
      </c>
      <c r="H49" s="26">
        <f>IF($A49&gt;Inputs!$B$9,"",Combined_Fixed_Model!K23)</f>
        <v>1.9639770006464401E-16</v>
      </c>
      <c r="I49" s="26" t="str">
        <f>IF(OR($A49&gt;Inputs!$B$9,$A49&gt;5),"",Combined_Fixed_Model!L23)</f>
        <v/>
      </c>
      <c r="J49" s="26">
        <f>IF($A49&gt;Inputs!$B$9,"",Combined_Fixed_Model!Y23)</f>
        <v>4.4892039637413067E-7</v>
      </c>
      <c r="K49" s="26">
        <f>IF($A49&gt;Inputs!$B$9,"",Combined_Fixed_Model!Z23)</f>
        <v>2.0464552253130928E-3</v>
      </c>
      <c r="L49" s="26">
        <f>IF($A49&gt;Inputs!$B$9,"",Combined_Fixed_Model!AA23)</f>
        <v>2.1530500252784915E-10</v>
      </c>
      <c r="M49" s="26" t="str">
        <f>IF(OR($A49&gt;Inputs!$B$9,$A49&gt;5),"",Combined_Fixed_Model!AB23)</f>
        <v/>
      </c>
    </row>
    <row r="50" spans="1:13">
      <c r="A50" s="3">
        <v>12</v>
      </c>
      <c r="B50" s="26">
        <f>IF($A50&gt;Inputs!$B$9,"",Combined_Fixed_Model!E24)</f>
        <v>3.9623693215418143E-8</v>
      </c>
      <c r="C50" s="26">
        <f>IF($A50&gt;Inputs!$B$9,"",Combined_Fixed_Model!F24)</f>
        <v>1.6864964254071801E-2</v>
      </c>
      <c r="D50" s="26">
        <f>IF($A50&gt;Inputs!$B$9,"",Combined_Fixed_Model!G24)</f>
        <v>3.4834016697684304E-10</v>
      </c>
      <c r="E50" s="26" t="str">
        <f>IF(OR($A50&gt;Inputs!$B$9,$A50&gt;5),"",Combined_Fixed_Model!H24)</f>
        <v/>
      </c>
      <c r="F50" s="26">
        <f>IF($A50&gt;Inputs!$B$9,"",Combined_Fixed_Model!I24)</f>
        <v>8.7085041744210785E-11</v>
      </c>
      <c r="G50" s="26">
        <f>IF($A50&gt;Inputs!$B$9,"",Combined_Fixed_Model!J24)</f>
        <v>2.3974328621172353E-10</v>
      </c>
      <c r="H50" s="26">
        <f>IF($A50&gt;Inputs!$B$9,"",Combined_Fixed_Model!K24)</f>
        <v>4.9099425016161006E-18</v>
      </c>
      <c r="I50" s="26" t="str">
        <f>IF(OR($A50&gt;Inputs!$B$9,$A50&gt;5),"",Combined_Fixed_Model!L24)</f>
        <v/>
      </c>
      <c r="J50" s="26">
        <f>IF($A50&gt;Inputs!$B$9,"",Combined_Fixed_Model!Y24)</f>
        <v>1.1650717580420179E-8</v>
      </c>
      <c r="K50" s="26">
        <f>IF($A50&gt;Inputs!$B$9,"",Combined_Fixed_Model!Z24)</f>
        <v>4.5450391743170475E-4</v>
      </c>
      <c r="L50" s="26">
        <f>IF($A50&gt;Inputs!$B$9,"",Combined_Fixed_Model!AA24)</f>
        <v>9.3716945615545805E-12</v>
      </c>
      <c r="M50" s="26" t="str">
        <f>IF(OR($A50&gt;Inputs!$B$9,$A50&gt;5),"",Combined_Fixed_Model!AB24)</f>
        <v/>
      </c>
    </row>
    <row r="51" spans="1:13">
      <c r="A51" s="3">
        <v>13</v>
      </c>
      <c r="B51" s="26">
        <f>IF($A51&gt;Inputs!$B$9,"",Combined_Fixed_Model!E25)</f>
        <v>4.3542520872105379E-10</v>
      </c>
      <c r="C51" s="26">
        <f>IF($A51&gt;Inputs!$B$9,"",Combined_Fixed_Model!F25)</f>
        <v>3.0326773326718737E-3</v>
      </c>
      <c r="D51" s="26">
        <f>IF($A51&gt;Inputs!$B$9,"",Combined_Fixed_Model!G25)</f>
        <v>1.2440720249172966E-11</v>
      </c>
      <c r="E51" s="26" t="str">
        <f>IF(OR($A51&gt;Inputs!$B$9,$A51&gt;5),"",Combined_Fixed_Model!H25)</f>
        <v/>
      </c>
      <c r="F51" s="26">
        <f>IF($A51&gt;Inputs!$B$9,"",Combined_Fixed_Model!I25)</f>
        <v>4.146906749724323E-12</v>
      </c>
      <c r="G51" s="26">
        <f>IF($A51&gt;Inputs!$B$9,"",Combined_Fixed_Model!J25)</f>
        <v>2.8540867406157561E-11</v>
      </c>
      <c r="H51" s="26">
        <f>IF($A51&gt;Inputs!$B$9,"",Combined_Fixed_Model!K25)</f>
        <v>1.1690339289562144E-19</v>
      </c>
      <c r="I51" s="26" t="str">
        <f>IF(OR($A51&gt;Inputs!$B$9,$A51&gt;5),"",Combined_Fixed_Model!L25)</f>
        <v/>
      </c>
      <c r="J51" s="26">
        <f>IF($A51&gt;Inputs!$B$9,"",Combined_Fixed_Model!Y25)</f>
        <v>1.7166260901945752E-10</v>
      </c>
      <c r="K51" s="26">
        <f>IF($A51&gt;Inputs!$B$9,"",Combined_Fixed_Model!Z25)</f>
        <v>7.5258298938816386E-5</v>
      </c>
      <c r="L51" s="26">
        <f>IF($A51&gt;Inputs!$B$9,"",Combined_Fixed_Model!AA25)</f>
        <v>3.0863263211427744E-13</v>
      </c>
      <c r="M51" s="26" t="str">
        <f>IF(OR($A51&gt;Inputs!$B$9,$A51&gt;5),"",Combined_Fixed_Model!AB25)</f>
        <v/>
      </c>
    </row>
    <row r="52" spans="1:13">
      <c r="A52" s="3">
        <v>14</v>
      </c>
      <c r="B52" s="26">
        <f>IF($A52&gt;Inputs!$B$9,"",Combined_Fixed_Model!E26)</f>
        <v>2.0065677821246717E-12</v>
      </c>
      <c r="C52" s="26">
        <f>IF($A52&gt;Inputs!$B$9,"",Combined_Fixed_Model!F26)</f>
        <v>3.2653648364233678E-4</v>
      </c>
      <c r="D52" s="26">
        <f>IF($A52&gt;Inputs!$B$9,"",Combined_Fixed_Model!G26)</f>
        <v>2.6754237094995625E-13</v>
      </c>
      <c r="E52" s="26" t="str">
        <f>IF(OR($A52&gt;Inputs!$B$9,$A52&gt;5),"",Combined_Fixed_Model!H26)</f>
        <v/>
      </c>
      <c r="F52" s="26">
        <f>IF($A52&gt;Inputs!$B$9,"",Combined_Fixed_Model!I26)</f>
        <v>1.3377118547497815E-13</v>
      </c>
      <c r="G52" s="26">
        <f>IF($A52&gt;Inputs!$B$9,"",Combined_Fixed_Model!J26)</f>
        <v>3.0689104737803827E-12</v>
      </c>
      <c r="H52" s="26">
        <f>IF($A52&gt;Inputs!$B$9,"",Combined_Fixed_Model!K26)</f>
        <v>2.5140514601208912E-21</v>
      </c>
      <c r="I52" s="26" t="str">
        <f>IF(OR($A52&gt;Inputs!$B$9,$A52&gt;5),"",Combined_Fixed_Model!L26)</f>
        <v/>
      </c>
      <c r="J52" s="26">
        <f>IF($A52&gt;Inputs!$B$9,"",Combined_Fixed_Model!Y26)</f>
        <v>1.1674427246092824E-12</v>
      </c>
      <c r="K52" s="26">
        <f>IF($A52&gt;Inputs!$B$9,"",Combined_Fixed_Model!Z26)</f>
        <v>8.1010667983446648E-6</v>
      </c>
      <c r="L52" s="26">
        <f>IF($A52&gt;Inputs!$B$9,"",Combined_Fixed_Model!AA26)</f>
        <v>6.6372609056833964E-15</v>
      </c>
      <c r="M52" s="26" t="str">
        <f>IF(OR($A52&gt;Inputs!$B$9,$A52&gt;5),"",Combined_Fixed_Model!AB26)</f>
        <v/>
      </c>
    </row>
    <row r="53" spans="1:13">
      <c r="A53" s="3">
        <v>15</v>
      </c>
      <c r="B53" s="26">
        <f>IF($A53&gt;Inputs!$B$9,"",Combined_Fixed_Model!E27)</f>
        <v>2.1929702536881659E-15</v>
      </c>
      <c r="C53" s="26">
        <f>IF($A53&gt;Inputs!$B$9,"",Combined_Fixed_Model!F27)</f>
        <v>1.3384738632105098E-5</v>
      </c>
      <c r="D53" s="26">
        <f>IF($A53&gt;Inputs!$B$9,"",Combined_Fixed_Model!G27)</f>
        <v>2.1929702536881659E-15</v>
      </c>
      <c r="E53" s="26" t="str">
        <f>IF(OR($A53&gt;Inputs!$B$9,$A53&gt;5),"",Combined_Fixed_Model!H27)</f>
        <v/>
      </c>
      <c r="F53" s="26">
        <f>IF($A53&gt;Inputs!$B$9,"",Combined_Fixed_Model!I27)</f>
        <v>2.1929702536881667E-15</v>
      </c>
      <c r="G53" s="26">
        <f>IF($A53&gt;Inputs!$B$9,"",Combined_Fixed_Model!J27)</f>
        <v>2.515500388344576E-13</v>
      </c>
      <c r="H53" s="26">
        <f>IF($A53&gt;Inputs!$B$9,"",Combined_Fixed_Model!K27)</f>
        <v>4.1213958362637565E-23</v>
      </c>
      <c r="I53" s="26" t="str">
        <f>IF(OR($A53&gt;Inputs!$B$9,$A53&gt;5),"",Combined_Fixed_Model!L27)</f>
        <v/>
      </c>
      <c r="J53" s="26">
        <f>IF($A53&gt;Inputs!$B$9,"",Combined_Fixed_Model!Y27)</f>
        <v>2.1929702536881592E-15</v>
      </c>
      <c r="K53" s="26">
        <f>IF($A53&gt;Inputs!$B$9,"",Combined_Fixed_Model!Z27)</f>
        <v>3.8142819587516711E-7</v>
      </c>
      <c r="L53" s="26">
        <f>IF($A53&gt;Inputs!$B$9,"",Combined_Fixed_Model!AA27)</f>
        <v>6.2493530197087097E-17</v>
      </c>
      <c r="M53" s="26" t="str">
        <f>IF(OR($A53&gt;Inputs!$B$9,$A53&gt;5),"",Combined_Fixed_Model!AB27)</f>
        <v/>
      </c>
    </row>
    <row r="56" spans="1:13">
      <c r="A56" s="24" t="s">
        <v>120</v>
      </c>
    </row>
    <row r="57" spans="1:13" ht="28.3">
      <c r="A57" s="25" t="s">
        <v>91</v>
      </c>
      <c r="B57" s="25" t="s">
        <v>167</v>
      </c>
      <c r="C57" s="25" t="s">
        <v>168</v>
      </c>
      <c r="D57" s="25" t="s">
        <v>169</v>
      </c>
      <c r="E57" s="25" t="s">
        <v>170</v>
      </c>
      <c r="F57" s="25" t="s">
        <v>110</v>
      </c>
      <c r="G57" s="25" t="s">
        <v>111</v>
      </c>
      <c r="H57" s="25" t="s">
        <v>112</v>
      </c>
      <c r="I57" s="25" t="s">
        <v>113</v>
      </c>
      <c r="J57" s="25" t="s">
        <v>114</v>
      </c>
      <c r="K57" s="25" t="s">
        <v>115</v>
      </c>
      <c r="L57" s="25" t="s">
        <v>116</v>
      </c>
      <c r="M57" s="25" t="s">
        <v>117</v>
      </c>
    </row>
    <row r="58" spans="1:13">
      <c r="A58" s="3">
        <v>3</v>
      </c>
      <c r="B58" s="27">
        <f>IF($A58&gt;Inputs!$B$9,"",Combined_Fixed_Model!M15)</f>
        <v>2.2002878031015974E-7</v>
      </c>
      <c r="C58" s="27">
        <f>IF($A58&gt;Inputs!$B$9,"",Combined_Fixed_Model!N15)</f>
        <v>1.756434617245252E-5</v>
      </c>
      <c r="D58" s="27">
        <f>IF($A58&gt;Inputs!$B$9,"",Combined_Fixed_Model!O15)</f>
        <v>1.0365812076868104</v>
      </c>
      <c r="E58" s="27">
        <f>IF(OR($A58&gt;Inputs!$B$9,$A58&gt;5),"",Combined_Fixed_Model!P15)</f>
        <v>0.45247925780724357</v>
      </c>
      <c r="F58" s="27">
        <f>IF($A58&gt;Inputs!$B$9,"",Combined_Fixed_Model!Q15)</f>
        <v>3.3905178472757651</v>
      </c>
      <c r="G58" s="27">
        <f>IF($A58&gt;Inputs!$B$9,"",Combined_Fixed_Model!R15)</f>
        <v>3.7269900838969785</v>
      </c>
      <c r="H58" s="27">
        <f>IF($A58&gt;Inputs!$B$9,"",Combined_Fixed_Model!S15)</f>
        <v>6.9458659087651791</v>
      </c>
      <c r="I58" s="27">
        <f>IF(OR($A58&gt;Inputs!$B$9,$A58&gt;5),"",Combined_Fixed_Model!T15)</f>
        <v>6.1096178845645603</v>
      </c>
      <c r="J58" s="27">
        <f>IF($A58&gt;Inputs!$B$9,"",Combined_Fixed_Model!U15)</f>
        <v>0.67810374547817709</v>
      </c>
      <c r="K58" s="27">
        <f>IF($A58&gt;Inputs!$B$9,"",Combined_Fixed_Model!V15)</f>
        <v>0.74541206825633355</v>
      </c>
      <c r="L58" s="27">
        <f>IF($A58&gt;Inputs!$B$9,"",Combined_Fixed_Model!W15)</f>
        <v>2.2184381479024839</v>
      </c>
      <c r="M58" s="27">
        <f>IF(OR($A58&gt;Inputs!$B$9,$A58&gt;5),"",Combined_Fixed_Model!X15)</f>
        <v>1.5839069831587067</v>
      </c>
    </row>
    <row r="59" spans="1:13">
      <c r="A59" s="3">
        <v>4</v>
      </c>
      <c r="B59" s="27">
        <f>IF($A59&gt;Inputs!$B$9,"",Combined_Fixed_Model!M16)</f>
        <v>4.6918227783473033E-4</v>
      </c>
      <c r="C59" s="27">
        <f>IF($A59&gt;Inputs!$B$9,"",Combined_Fixed_Model!N16)</f>
        <v>2.1982111423857285E-4</v>
      </c>
      <c r="D59" s="27">
        <f>IF($A59&gt;Inputs!$B$9,"",Combined_Fixed_Model!O16)</f>
        <v>2.7308727162330997</v>
      </c>
      <c r="E59" s="27">
        <f>IF(OR($A59&gt;Inputs!$B$9,$A59&gt;5),"",Combined_Fixed_Model!P16)</f>
        <v>2.5160455661024388</v>
      </c>
      <c r="F59" s="27">
        <f>IF($A59&gt;Inputs!$B$9,"",Combined_Fixed_Model!Q16)</f>
        <v>5.1822773165038205</v>
      </c>
      <c r="G59" s="27">
        <f>IF($A59&gt;Inputs!$B$9,"",Combined_Fixed_Model!R16)</f>
        <v>5.7811138175925247</v>
      </c>
      <c r="H59" s="27">
        <f>IF($A59&gt;Inputs!$B$9,"",Combined_Fixed_Model!S16)</f>
        <v>10.609427554894825</v>
      </c>
      <c r="I59" s="27">
        <f>IF(OR($A59&gt;Inputs!$B$9,$A59&gt;5),"",Combined_Fixed_Model!T16)</f>
        <v>9.6931368230206711</v>
      </c>
      <c r="J59" s="27">
        <f>IF($A59&gt;Inputs!$B$9,"",Combined_Fixed_Model!U16)</f>
        <v>1.0368308091230316</v>
      </c>
      <c r="K59" s="27">
        <f>IF($A59&gt;Inputs!$B$9,"",Combined_Fixed_Model!V16)</f>
        <v>1.1563986204098955</v>
      </c>
      <c r="L59" s="27">
        <f>IF($A59&gt;Inputs!$B$9,"",Combined_Fixed_Model!W16)</f>
        <v>4.3065836839654441</v>
      </c>
      <c r="M59" s="27">
        <f>IF(OR($A59&gt;Inputs!$B$9,$A59&gt;5),"",Combined_Fixed_Model!X16)</f>
        <v>3.951463817486085</v>
      </c>
    </row>
    <row r="60" spans="1:13">
      <c r="A60" s="3">
        <v>5</v>
      </c>
      <c r="B60" s="27">
        <f>IF($A60&gt;Inputs!$B$9,"",Combined_Fixed_Model!M17)</f>
        <v>7.6180868720778103E-2</v>
      </c>
      <c r="C60" s="27">
        <f>IF($A60&gt;Inputs!$B$9,"",Combined_Fixed_Model!N17)</f>
        <v>2.5295372626708825E-3</v>
      </c>
      <c r="D60" s="27">
        <f>IF($A60&gt;Inputs!$B$9,"",Combined_Fixed_Model!O17)</f>
        <v>4.6539476189700881</v>
      </c>
      <c r="E60" s="27">
        <f>IF(OR($A60&gt;Inputs!$B$9,$A60&gt;5),"",Combined_Fixed_Model!P17)</f>
        <v>5.9497542900981548</v>
      </c>
      <c r="F60" s="27">
        <f>IF($A60&gt;Inputs!$B$9,"",Combined_Fixed_Model!Q17)</f>
        <v>7.0470619207467653</v>
      </c>
      <c r="G60" s="27">
        <f>IF($A60&gt;Inputs!$B$9,"",Combined_Fixed_Model!R17)</f>
        <v>7.8282199786294244</v>
      </c>
      <c r="H60" s="27">
        <f>IF($A60&gt;Inputs!$B$9,"",Combined_Fixed_Model!S17)</f>
        <v>14.265971628365826</v>
      </c>
      <c r="I60" s="27">
        <f>IF(OR($A60&gt;Inputs!$B$9,$A60&gt;5),"",Combined_Fixed_Model!T17)</f>
        <v>13.955816700061986</v>
      </c>
      <c r="J60" s="27">
        <f>IF($A60&gt;Inputs!$B$9,"",Combined_Fixed_Model!U17)</f>
        <v>1.4703570791259752</v>
      </c>
      <c r="K60" s="27">
        <f>IF($A60&gt;Inputs!$B$9,"",Combined_Fixed_Model!V17)</f>
        <v>1.5676676255360211</v>
      </c>
      <c r="L60" s="27">
        <f>IF($A60&gt;Inputs!$B$9,"",Combined_Fixed_Model!W17)</f>
        <v>6.5763524208492354</v>
      </c>
      <c r="M60" s="27">
        <f>IF(OR($A60&gt;Inputs!$B$9,$A60&gt;5),"",Combined_Fixed_Model!X17)</f>
        <v>7.5509667720909199</v>
      </c>
    </row>
    <row r="61" spans="1:13">
      <c r="A61" s="3">
        <v>6</v>
      </c>
      <c r="B61" s="27">
        <f>IF($A61&gt;Inputs!$B$9,"",Combined_Fixed_Model!M18)</f>
        <v>0.76972085589134098</v>
      </c>
      <c r="C61" s="27">
        <f>IF($A61&gt;Inputs!$B$9,"",Combined_Fixed_Model!N18)</f>
        <v>2.0787998417182398E-2</v>
      </c>
      <c r="D61" s="27">
        <f>IF($A61&gt;Inputs!$B$9,"",Combined_Fixed_Model!O18)</f>
        <v>6.6910083133237874</v>
      </c>
      <c r="E61" s="27" t="str">
        <f>IF(OR($A61&gt;Inputs!$B$9,$A61&gt;5),"",Combined_Fixed_Model!P18)</f>
        <v/>
      </c>
      <c r="F61" s="27">
        <f>IF($A61&gt;Inputs!$B$9,"",Combined_Fixed_Model!Q18)</f>
        <v>8.9929720698020787</v>
      </c>
      <c r="G61" s="27">
        <f>IF($A61&gt;Inputs!$B$9,"",Combined_Fixed_Model!R18)</f>
        <v>9.8694403074890626</v>
      </c>
      <c r="H61" s="27">
        <f>IF($A61&gt;Inputs!$B$9,"",Combined_Fixed_Model!S18)</f>
        <v>17.916629869659563</v>
      </c>
      <c r="I61" s="27" t="str">
        <f>IF(OR($A61&gt;Inputs!$B$9,$A61&gt;5),"",Combined_Fixed_Model!T18)</f>
        <v/>
      </c>
      <c r="J61" s="27">
        <f>IF($A61&gt;Inputs!$B$9,"",Combined_Fixed_Model!U18)</f>
        <v>2.4143710986734881</v>
      </c>
      <c r="K61" s="27">
        <f>IF($A61&gt;Inputs!$B$9,"",Combined_Fixed_Model!V18)</f>
        <v>1.990518460231558</v>
      </c>
      <c r="L61" s="27">
        <f>IF($A61&gt;Inputs!$B$9,"",Combined_Fixed_Model!W18)</f>
        <v>8.9361326245909414</v>
      </c>
      <c r="M61" s="27" t="str">
        <f>IF(OR($A61&gt;Inputs!$B$9,$A61&gt;5),"",Combined_Fixed_Model!X18)</f>
        <v/>
      </c>
    </row>
    <row r="62" spans="1:13">
      <c r="A62" s="3">
        <v>7</v>
      </c>
      <c r="B62" s="27">
        <f>IF($A62&gt;Inputs!$B$9,"",Combined_Fixed_Model!M19)</f>
        <v>2.3120506705958523</v>
      </c>
      <c r="C62" s="27">
        <f>IF($A62&gt;Inputs!$B$9,"",Combined_Fixed_Model!N19)</f>
        <v>0.10794783736950339</v>
      </c>
      <c r="D62" s="27">
        <f>IF($A62&gt;Inputs!$B$9,"",Combined_Fixed_Model!O19)</f>
        <v>8.832702365899145</v>
      </c>
      <c r="E62" s="27" t="str">
        <f>IF(OR($A62&gt;Inputs!$B$9,$A62&gt;5),"",Combined_Fixed_Model!P19)</f>
        <v/>
      </c>
      <c r="F62" s="27">
        <f>IF($A62&gt;Inputs!$B$9,"",Combined_Fixed_Model!Q19)</f>
        <v>11.029853997063119</v>
      </c>
      <c r="G62" s="27">
        <f>IF($A62&gt;Inputs!$B$9,"",Combined_Fixed_Model!R19)</f>
        <v>11.906322234750103</v>
      </c>
      <c r="H62" s="27">
        <f>IF($A62&gt;Inputs!$B$9,"",Combined_Fixed_Model!S19)</f>
        <v>21.562949709354704</v>
      </c>
      <c r="I62" s="27" t="str">
        <f>IF(OR($A62&gt;Inputs!$B$9,$A62&gt;5),"",Combined_Fixed_Model!T19)</f>
        <v/>
      </c>
      <c r="J62" s="27">
        <f>IF($A62&gt;Inputs!$B$9,"",Combined_Fixed_Model!U19)</f>
        <v>4.0556113358893056</v>
      </c>
      <c r="K62" s="27">
        <f>IF($A62&gt;Inputs!$B$9,"",Combined_Fixed_Model!V19)</f>
        <v>2.4676227168456228</v>
      </c>
      <c r="L62" s="27">
        <f>IF($A62&gt;Inputs!$B$9,"",Combined_Fixed_Model!W19)</f>
        <v>11.378751834590258</v>
      </c>
      <c r="M62" s="27" t="str">
        <f>IF(OR($A62&gt;Inputs!$B$9,$A62&gt;5),"",Combined_Fixed_Model!X19)</f>
        <v/>
      </c>
    </row>
    <row r="63" spans="1:13">
      <c r="A63" s="3">
        <v>8</v>
      </c>
      <c r="B63" s="27">
        <f>IF($A63&gt;Inputs!$B$9,"",Combined_Fixed_Model!M20)</f>
        <v>4.4065429001339567</v>
      </c>
      <c r="C63" s="27">
        <f>IF($A63&gt;Inputs!$B$9,"",Combined_Fixed_Model!N20)</f>
        <v>0.36187415813615531</v>
      </c>
      <c r="D63" s="27">
        <f>IF($A63&gt;Inputs!$B$9,"",Combined_Fixed_Model!O20)</f>
        <v>11.090486247320404</v>
      </c>
      <c r="E63" s="27" t="str">
        <f>IF(OR($A63&gt;Inputs!$B$9,$A63&gt;5),"",Combined_Fixed_Model!P20)</f>
        <v/>
      </c>
      <c r="F63" s="27">
        <f>IF($A63&gt;Inputs!$B$9,"",Combined_Fixed_Model!Q20)</f>
        <v>13.169920160559389</v>
      </c>
      <c r="G63" s="27">
        <f>IF($A63&gt;Inputs!$B$9,"",Combined_Fixed_Model!R20)</f>
        <v>13.941027882588546</v>
      </c>
      <c r="H63" s="27">
        <f>IF($A63&gt;Inputs!$B$9,"",Combined_Fixed_Model!S20)</f>
        <v>25.207093269627251</v>
      </c>
      <c r="I63" s="27" t="str">
        <f>IF(OR($A63&gt;Inputs!$B$9,$A63&gt;5),"",Combined_Fixed_Model!T20)</f>
        <v/>
      </c>
      <c r="J63" s="27">
        <f>IF($A63&gt;Inputs!$B$9,"",Combined_Fixed_Model!U20)</f>
        <v>6.1592183522190425</v>
      </c>
      <c r="K63" s="27">
        <f>IF($A63&gt;Inputs!$B$9,"",Combined_Fixed_Model!V20)</f>
        <v>3.0777049030266328</v>
      </c>
      <c r="L63" s="27">
        <f>IF($A63&gt;Inputs!$B$9,"",Combined_Fixed_Model!W20)</f>
        <v>13.913807651781774</v>
      </c>
      <c r="M63" s="27" t="str">
        <f>IF(OR($A63&gt;Inputs!$B$9,$A63&gt;5),"",Combined_Fixed_Model!X20)</f>
        <v/>
      </c>
    </row>
    <row r="64" spans="1:13">
      <c r="A64" s="3">
        <v>9</v>
      </c>
      <c r="B64" s="27">
        <f>IF($A64&gt;Inputs!$B$9,"",Combined_Fixed_Model!M21)</f>
        <v>6.9110085222732023</v>
      </c>
      <c r="C64" s="27">
        <f>IF($A64&gt;Inputs!$B$9,"",Combined_Fixed_Model!N21)</f>
        <v>0.86736439835078394</v>
      </c>
      <c r="D64" s="27">
        <f>IF($A64&gt;Inputs!$B$9,"",Combined_Fixed_Model!O21)</f>
        <v>13.482793179193358</v>
      </c>
      <c r="E64" s="27" t="str">
        <f>IF(OR($A64&gt;Inputs!$B$9,$A64&gt;5),"",Combined_Fixed_Model!P21)</f>
        <v/>
      </c>
      <c r="F64" s="27">
        <f>IF($A64&gt;Inputs!$B$9,"",Combined_Fixed_Model!Q21)</f>
        <v>15.428702630895042</v>
      </c>
      <c r="G64" s="27">
        <f>IF($A64&gt;Inputs!$B$9,"",Combined_Fixed_Model!R21)</f>
        <v>15.976666801609991</v>
      </c>
      <c r="H64" s="27">
        <f>IF($A64&gt;Inputs!$B$9,"",Combined_Fixed_Model!S21)</f>
        <v>28.852170101082791</v>
      </c>
      <c r="I64" s="27" t="str">
        <f>IF(OR($A64&gt;Inputs!$B$9,$A64&gt;5),"",Combined_Fixed_Model!T21)</f>
        <v/>
      </c>
      <c r="J64" s="27">
        <f>IF($A64&gt;Inputs!$B$9,"",Combined_Fixed_Model!U21)</f>
        <v>8.6145473439975699</v>
      </c>
      <c r="K64" s="27">
        <f>IF($A64&gt;Inputs!$B$9,"",Combined_Fixed_Model!V21)</f>
        <v>3.8892248790026245</v>
      </c>
      <c r="L64" s="27">
        <f>IF($A64&gt;Inputs!$B$9,"",Combined_Fixed_Model!W21)</f>
        <v>16.556668563571243</v>
      </c>
      <c r="M64" s="27" t="str">
        <f>IF(OR($A64&gt;Inputs!$B$9,$A64&gt;5),"",Combined_Fixed_Model!X21)</f>
        <v/>
      </c>
    </row>
    <row r="65" spans="1:13">
      <c r="A65" s="3">
        <v>10</v>
      </c>
      <c r="B65" s="27">
        <f>IF($A65&gt;Inputs!$B$9,"",Combined_Fixed_Model!M22)</f>
        <v>9.819258033290108</v>
      </c>
      <c r="C65" s="27">
        <f>IF($A65&gt;Inputs!$B$9,"",Combined_Fixed_Model!N22)</f>
        <v>1.6541553856574103</v>
      </c>
      <c r="D65" s="27">
        <f>IF($A65&gt;Inputs!$B$9,"",Combined_Fixed_Model!O22)</f>
        <v>16.034838488837163</v>
      </c>
      <c r="E65" s="27" t="str">
        <f>IF(OR($A65&gt;Inputs!$B$9,$A65&gt;5),"",Combined_Fixed_Model!P22)</f>
        <v/>
      </c>
      <c r="F65" s="27">
        <f>IF($A65&gt;Inputs!$B$9,"",Combined_Fixed_Model!Q22)</f>
        <v>17.826597903693411</v>
      </c>
      <c r="G65" s="27">
        <f>IF($A65&gt;Inputs!$B$9,"",Combined_Fixed_Model!R22)</f>
        <v>18.017887130469628</v>
      </c>
      <c r="H65" s="27">
        <f>IF($A65&gt;Inputs!$B$9,"",Combined_Fixed_Model!S22)</f>
        <v>32.502828342376532</v>
      </c>
      <c r="I65" s="27" t="str">
        <f>IF(OR($A65&gt;Inputs!$B$9,$A65&gt;5),"",Combined_Fixed_Model!T22)</f>
        <v/>
      </c>
      <c r="J65" s="27">
        <f>IF($A65&gt;Inputs!$B$9,"",Combined_Fixed_Model!U22)</f>
        <v>11.420726007370767</v>
      </c>
      <c r="K65" s="27">
        <f>IF($A65&gt;Inputs!$B$9,"",Combined_Fixed_Model!V22)</f>
        <v>4.9269017346198529</v>
      </c>
      <c r="L65" s="27">
        <f>IF($A65&gt;Inputs!$B$9,"",Combined_Fixed_Model!W22)</f>
        <v>19.328436459545038</v>
      </c>
      <c r="M65" s="27" t="str">
        <f>IF(OR($A65&gt;Inputs!$B$9,$A65&gt;5),"",Combined_Fixed_Model!X22)</f>
        <v/>
      </c>
    </row>
    <row r="66" spans="1:13">
      <c r="A66" s="3">
        <v>11</v>
      </c>
      <c r="B66" s="27">
        <f>IF($A66&gt;Inputs!$B$9,"",Combined_Fixed_Model!M23)</f>
        <v>13.172638504521592</v>
      </c>
      <c r="C66" s="27">
        <f>IF($A66&gt;Inputs!$B$9,"",Combined_Fixed_Model!N23)</f>
        <v>2.7215549601282838</v>
      </c>
      <c r="D66" s="27">
        <f>IF($A66&gt;Inputs!$B$9,"",Combined_Fixed_Model!O23)</f>
        <v>18.782109348720848</v>
      </c>
      <c r="E66" s="27" t="str">
        <f>IF(OR($A66&gt;Inputs!$B$9,$A66&gt;5),"",Combined_Fixed_Model!P23)</f>
        <v/>
      </c>
      <c r="F66" s="27">
        <f>IF($A66&gt;Inputs!$B$9,"",Combined_Fixed_Model!Q23)</f>
        <v>20.391547261154951</v>
      </c>
      <c r="G66" s="27">
        <f>IF($A66&gt;Inputs!$B$9,"",Combined_Fixed_Model!R23)</f>
        <v>20.072010864165176</v>
      </c>
      <c r="H66" s="27">
        <f>IF($A66&gt;Inputs!$B$9,"",Combined_Fixed_Model!S23)</f>
        <v>36.166389988506175</v>
      </c>
      <c r="I66" s="27" t="str">
        <f>IF(OR($A66&gt;Inputs!$B$9,$A66&gt;5),"",Combined_Fixed_Model!T23)</f>
        <v/>
      </c>
      <c r="J66" s="27">
        <f>IF($A66&gt;Inputs!$B$9,"",Combined_Fixed_Model!U23)</f>
        <v>14.616420255848263</v>
      </c>
      <c r="K66" s="27">
        <f>IF($A66&gt;Inputs!$B$9,"",Combined_Fixed_Model!V23)</f>
        <v>6.1916461409356618</v>
      </c>
      <c r="L66" s="27">
        <f>IF($A66&gt;Inputs!$B$9,"",Combined_Fixed_Model!W23)</f>
        <v>22.258965476677911</v>
      </c>
      <c r="M66" s="27" t="str">
        <f>IF(OR($A66&gt;Inputs!$B$9,$A66&gt;5),"",Combined_Fixed_Model!X23)</f>
        <v/>
      </c>
    </row>
    <row r="67" spans="1:13">
      <c r="A67" s="3">
        <v>12</v>
      </c>
      <c r="B67" s="27">
        <f>IF($A67&gt;Inputs!$B$9,"",Combined_Fixed_Model!M24)</f>
        <v>17.043838584083488</v>
      </c>
      <c r="C67" s="27">
        <f>IF($A67&gt;Inputs!$B$9,"",Combined_Fixed_Model!N24)</f>
        <v>4.0825169300040161</v>
      </c>
      <c r="D67" s="27">
        <f>IF($A67&gt;Inputs!$B$9,"",Combined_Fixed_Model!O24)</f>
        <v>21.777841622274842</v>
      </c>
      <c r="E67" s="27" t="str">
        <f>IF(OR($A67&gt;Inputs!$B$9,$A67&gt;5),"",Combined_Fixed_Model!P24)</f>
        <v/>
      </c>
      <c r="F67" s="27">
        <f>IF($A67&gt;Inputs!$B$9,"",Combined_Fixed_Model!Q24)</f>
        <v>23.164135983394729</v>
      </c>
      <c r="G67" s="27">
        <f>IF($A67&gt;Inputs!$B$9,"",Combined_Fixed_Model!R24)</f>
        <v>22.15145240584501</v>
      </c>
      <c r="H67" s="27">
        <f>IF($A67&gt;Inputs!$B$9,"",Combined_Fixed_Model!S24)</f>
        <v>39.855269442620113</v>
      </c>
      <c r="I67" s="27" t="str">
        <f>IF(OR($A67&gt;Inputs!$B$9,$A67&gt;5),"",Combined_Fixed_Model!T24)</f>
        <v/>
      </c>
      <c r="J67" s="27">
        <f>IF($A67&gt;Inputs!$B$9,"",Combined_Fixed_Model!U24)</f>
        <v>18.267898063945736</v>
      </c>
      <c r="K67" s="27">
        <f>IF($A67&gt;Inputs!$B$9,"",Combined_Fixed_Model!V24)</f>
        <v>7.6963040251722141</v>
      </c>
      <c r="L67" s="27">
        <f>IF($A67&gt;Inputs!$B$9,"",Combined_Fixed_Model!W24)</f>
        <v>25.393327186343896</v>
      </c>
      <c r="M67" s="27" t="str">
        <f>IF(OR($A67&gt;Inputs!$B$9,$A67&gt;5),"",Combined_Fixed_Model!X24)</f>
        <v/>
      </c>
    </row>
    <row r="68" spans="1:13">
      <c r="A68" s="3">
        <v>13</v>
      </c>
      <c r="B68" s="27">
        <f>IF($A68&gt;Inputs!$B$9,"",Combined_Fixed_Model!M25)</f>
        <v>21.55469807096063</v>
      </c>
      <c r="C68" s="27">
        <f>IF($A68&gt;Inputs!$B$9,"",Combined_Fixed_Model!N25)</f>
        <v>5.7983094414701908</v>
      </c>
      <c r="D68" s="27">
        <f>IF($A68&gt;Inputs!$B$9,"",Combined_Fixed_Model!O25)</f>
        <v>25.110046132450044</v>
      </c>
      <c r="E68" s="27" t="str">
        <f>IF(OR($A68&gt;Inputs!$B$9,$A68&gt;5),"",Combined_Fixed_Model!P25)</f>
        <v/>
      </c>
      <c r="F68" s="27">
        <f>IF($A68&gt;Inputs!$B$9,"",Combined_Fixed_Model!Q25)</f>
        <v>26.208658421118155</v>
      </c>
      <c r="G68" s="27">
        <f>IF($A68&gt;Inputs!$B$9,"",Combined_Fixed_Model!R25)</f>
        <v>24.279684111694277</v>
      </c>
      <c r="H68" s="27">
        <f>IF($A68&gt;Inputs!$B$9,"",Combined_Fixed_Model!S25)</f>
        <v>43.592939060903483</v>
      </c>
      <c r="I68" s="27" t="str">
        <f>IF(OR($A68&gt;Inputs!$B$9,$A68&gt;5),"",Combined_Fixed_Model!T25)</f>
        <v/>
      </c>
      <c r="J68" s="27">
        <f>IF($A68&gt;Inputs!$B$9,"",Combined_Fixed_Model!U25)</f>
        <v>22.485490140992134</v>
      </c>
      <c r="K68" s="27">
        <f>IF($A68&gt;Inputs!$B$9,"",Combined_Fixed_Model!V25)</f>
        <v>9.4945843755150072</v>
      </c>
      <c r="L68" s="27">
        <f>IF($A68&gt;Inputs!$B$9,"",Combined_Fixed_Model!W25)</f>
        <v>28.806624718140732</v>
      </c>
      <c r="M68" s="27" t="str">
        <f>IF(OR($A68&gt;Inputs!$B$9,$A68&gt;5),"",Combined_Fixed_Model!X25)</f>
        <v/>
      </c>
    </row>
    <row r="69" spans="1:13">
      <c r="A69" s="3">
        <v>14</v>
      </c>
      <c r="B69" s="27">
        <f>IF($A69&gt;Inputs!$B$9,"",Combined_Fixed_Model!M26)</f>
        <v>26.93459542450109</v>
      </c>
      <c r="C69" s="27">
        <f>IF($A69&gt;Inputs!$B$9,"",Combined_Fixed_Model!N26)</f>
        <v>8.0269688738599854</v>
      </c>
      <c r="D69" s="27">
        <f>IF($A69&gt;Inputs!$B$9,"",Combined_Fixed_Model!O26)</f>
        <v>28.949498445043353</v>
      </c>
      <c r="E69" s="27" t="str">
        <f>IF(OR($A69&gt;Inputs!$B$9,$A69&gt;5),"",Combined_Fixed_Model!P26)</f>
        <v/>
      </c>
      <c r="F69" s="27">
        <f>IF($A69&gt;Inputs!$B$9,"",Combined_Fixed_Model!Q26)</f>
        <v>29.642645625603301</v>
      </c>
      <c r="G69" s="27">
        <f>IF($A69&gt;Inputs!$B$9,"",Combined_Fixed_Model!R26)</f>
        <v>26.50969851185349</v>
      </c>
      <c r="H69" s="27">
        <f>IF($A69&gt;Inputs!$B$9,"",Combined_Fixed_Model!S26)</f>
        <v>47.432391373496792</v>
      </c>
      <c r="I69" s="27" t="str">
        <f>IF(OR($A69&gt;Inputs!$B$9,$A69&gt;5),"",Combined_Fixed_Model!T26)</f>
        <v/>
      </c>
      <c r="J69" s="27">
        <f>IF($A69&gt;Inputs!$B$9,"",Combined_Fixed_Model!U26)</f>
        <v>27.476205464721531</v>
      </c>
      <c r="K69" s="27">
        <f>IF($A69&gt;Inputs!$B$9,"",Combined_Fixed_Model!V26)</f>
        <v>11.723514801458684</v>
      </c>
      <c r="L69" s="27">
        <f>IF($A69&gt;Inputs!$B$9,"",Combined_Fixed_Model!W26)</f>
        <v>32.646077030734041</v>
      </c>
      <c r="M69" s="27" t="str">
        <f>IF(OR($A69&gt;Inputs!$B$9,$A69&gt;5),"",Combined_Fixed_Model!X26)</f>
        <v/>
      </c>
    </row>
    <row r="70" spans="1:13">
      <c r="A70" s="3">
        <v>15</v>
      </c>
      <c r="B70" s="27">
        <f>IF($A70&gt;Inputs!$B$9,"",Combined_Fixed_Model!M27)</f>
        <v>33.753519489776615</v>
      </c>
      <c r="C70" s="27">
        <f>IF($A70&gt;Inputs!$B$9,"",Combined_Fixed_Model!N27)</f>
        <v>11.221395408107893</v>
      </c>
      <c r="D70" s="27">
        <f>IF($A70&gt;Inputs!$B$9,"",Combined_Fixed_Model!O27)</f>
        <v>33.753519489776615</v>
      </c>
      <c r="E70" s="27" t="str">
        <f>IF(OR($A70&gt;Inputs!$B$9,$A70&gt;5),"",Combined_Fixed_Model!P27)</f>
        <v/>
      </c>
      <c r="F70" s="27">
        <f>IF($A70&gt;Inputs!$B$9,"",Combined_Fixed_Model!Q27)</f>
        <v>33.753519489776615</v>
      </c>
      <c r="G70" s="27">
        <f>IF($A70&gt;Inputs!$B$9,"",Combined_Fixed_Model!R27)</f>
        <v>29.0111344635927</v>
      </c>
      <c r="H70" s="27">
        <f>IF($A70&gt;Inputs!$B$9,"",Combined_Fixed_Model!S27)</f>
        <v>51.543265237670106</v>
      </c>
      <c r="I70" s="27" t="str">
        <f>IF(OR($A70&gt;Inputs!$B$9,$A70&gt;5),"",Combined_Fixed_Model!T27)</f>
        <v/>
      </c>
      <c r="J70" s="27">
        <f>IF($A70&gt;Inputs!$B$9,"",Combined_Fixed_Model!U27)</f>
        <v>33.753519489776615</v>
      </c>
      <c r="K70" s="27">
        <f>IF($A70&gt;Inputs!$B$9,"",Combined_Fixed_Model!V27)</f>
        <v>14.779343219204854</v>
      </c>
      <c r="L70" s="27">
        <f>IF($A70&gt;Inputs!$B$9,"",Combined_Fixed_Model!W27)</f>
        <v>37.311468639355311</v>
      </c>
      <c r="M70" s="27" t="str">
        <f>IF(OR($A70&gt;Inputs!$B$9,$A70&gt;5),"",Combined_Fixed_Model!X27)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1"/>
  <sheetViews>
    <sheetView workbookViewId="0"/>
  </sheetViews>
  <sheetFormatPr defaultRowHeight="14.15"/>
  <cols>
    <col min="1" max="1" width="12" customWidth="1"/>
    <col min="2" max="11" width="14" customWidth="1"/>
    <col min="12" max="12" width="10" customWidth="1"/>
    <col min="13" max="28" width="14" customWidth="1"/>
  </cols>
  <sheetData>
    <row r="1" spans="1:28" ht="22.85" customHeight="1">
      <c r="A1" s="30" t="s">
        <v>172</v>
      </c>
      <c r="B1" s="30" t="s">
        <v>28</v>
      </c>
      <c r="C1" s="30" t="s">
        <v>173</v>
      </c>
      <c r="D1" s="30" t="s">
        <v>174</v>
      </c>
      <c r="E1" s="30" t="s">
        <v>29</v>
      </c>
      <c r="F1" s="30" t="s">
        <v>31</v>
      </c>
      <c r="G1" s="30" t="s">
        <v>175</v>
      </c>
      <c r="H1" s="30" t="s">
        <v>176</v>
      </c>
      <c r="I1" s="30" t="s">
        <v>177</v>
      </c>
      <c r="J1" s="30" t="s">
        <v>178</v>
      </c>
      <c r="K1" s="30" t="s">
        <v>30</v>
      </c>
      <c r="L1" s="30" t="s">
        <v>179</v>
      </c>
      <c r="M1" s="31" t="s">
        <v>180</v>
      </c>
      <c r="N1" s="31" t="s">
        <v>181</v>
      </c>
      <c r="O1" s="31" t="s">
        <v>182</v>
      </c>
      <c r="P1" s="31" t="s">
        <v>183</v>
      </c>
      <c r="Q1" s="31" t="s">
        <v>184</v>
      </c>
      <c r="R1" s="31" t="s">
        <v>185</v>
      </c>
      <c r="S1" s="31" t="s">
        <v>186</v>
      </c>
      <c r="T1" s="31" t="s">
        <v>187</v>
      </c>
      <c r="U1" s="31" t="s">
        <v>188</v>
      </c>
      <c r="V1" s="31" t="s">
        <v>189</v>
      </c>
      <c r="W1" s="31" t="s">
        <v>190</v>
      </c>
      <c r="X1" s="31" t="s">
        <v>191</v>
      </c>
      <c r="Y1" s="31" t="s">
        <v>192</v>
      </c>
      <c r="Z1" s="31" t="s">
        <v>193</v>
      </c>
      <c r="AA1" s="31" t="s">
        <v>194</v>
      </c>
      <c r="AB1" s="31" t="s">
        <v>195</v>
      </c>
    </row>
    <row r="2" spans="1:28">
      <c r="A2" t="s">
        <v>196</v>
      </c>
      <c r="B2">
        <v>1</v>
      </c>
      <c r="C2">
        <v>2</v>
      </c>
      <c r="D2">
        <v>0.2</v>
      </c>
      <c r="E2">
        <f>IF(B2=1,Inputs!$B$5,Inputs!$B$6)</f>
        <v>4</v>
      </c>
      <c r="F2">
        <f>E2*Inputs!$B$4</f>
        <v>60</v>
      </c>
      <c r="G2">
        <f t="shared" ref="G2:G65" si="0">F2/C2</f>
        <v>30</v>
      </c>
      <c r="H2">
        <f t="shared" ref="H2:H65" si="1">ROUNDDOWN(G2,0)</f>
        <v>30</v>
      </c>
      <c r="I2">
        <f t="shared" ref="I2:I65" si="2">ROUNDUP(G2,0)</f>
        <v>30</v>
      </c>
      <c r="J2">
        <f t="shared" ref="J2:J65" si="3">G2-H2</f>
        <v>0</v>
      </c>
      <c r="K2">
        <v>3</v>
      </c>
      <c r="L2" t="s">
        <v>197</v>
      </c>
      <c r="M2">
        <f>IF(L2="C",E2*COMBIN(Inputs!$B$4,K2),IF(L2="T",(Inputs!$B$4-K2+1)*E2^K2,IF(L2="PT",E2*(Inputs!$B$4-K2+1),IF(AND(L2="E",K2&lt;=E2),Inputs!$B$4*COMBIN(E2,K2),""))))</f>
        <v>1820.0000000000002</v>
      </c>
      <c r="N2">
        <f t="shared" ref="N2:N65" si="4">IF(OR(M2="",H2&lt;K2),"",M2*COMBIN(F2-K2,H2-K2)/COMBIN(F2,H2))</f>
        <v>215.93220338983056</v>
      </c>
      <c r="O2">
        <f t="shared" ref="O2:O65" si="5">IF(OR(M2="",I2&lt;K2),"",M2*COMBIN(F2-K2,I2-K2)/COMBIN(F2,I2))</f>
        <v>215.93220338983056</v>
      </c>
      <c r="P2">
        <f t="shared" ref="P2:P65" si="6">IF(M2="","",IF(H2=I2,N2,(1-J2)*N2+J2*O2))</f>
        <v>215.93220338983056</v>
      </c>
      <c r="Q2">
        <f t="shared" ref="Q2:Q65" si="7">IF(P2="","",1-EXP(-P2))</f>
        <v>1</v>
      </c>
      <c r="R2">
        <f t="shared" ref="R2:R65" si="8">IF(Q2="","",-LN(Q2))</f>
        <v>0</v>
      </c>
      <c r="S2">
        <f>IF(M2="","",IF(L2="C",SUMIFS(Marginal_Model!$J:$J,Marginal_Model!$A:$A,B2,Marginal_Model!$C:$C,K2),IF(L2="T",SUMIFS(Marginal_Model!$K:$K,Marginal_Model!$A:$A,B2,Marginal_Model!$C:$C,K2),IF(L2="PT",SUMIFS(Marginal_Model!$L:$L,Marginal_Model!$A:$A,B2,Marginal_Model!$C:$C,K2),SUMIFS(Marginal_Model!$M:$M,Marginal_Model!$A:$A,B2,Marginal_Model!$C:$C,K2)))))</f>
        <v>5.3185271770894223E-2</v>
      </c>
      <c r="T2">
        <f t="shared" ref="T2:T65" si="9">IF(S2="","",-LN(S2))</f>
        <v>2.9339737673753432</v>
      </c>
      <c r="U2">
        <f>IF(M2="","",Inputs!$B$7*R2+Inputs!$B$8*T2)</f>
        <v>0.58679475347506849</v>
      </c>
      <c r="V2">
        <f t="shared" ref="V2:V65" si="10">IF(U2="","",EXP(-U2))</f>
        <v>0.55610689085215859</v>
      </c>
      <c r="W2">
        <f>Inputs!$B$9</f>
        <v>15</v>
      </c>
      <c r="X2">
        <f t="shared" ref="X2:X65" si="11">IF(OR(M2="",W2&lt;K2),"",M2*COMBIN(F2-K2,W2-K2)/COMBIN(F2,W2))</f>
        <v>24.199298655756863</v>
      </c>
      <c r="Y2">
        <f t="shared" ref="Y2:Y65" si="12">IF(X2="","",1-EXP(-X2))</f>
        <v>0.99999999996907007</v>
      </c>
      <c r="Z2">
        <f t="shared" ref="Z2:Z65" si="13">IF(Y2="","",-LN(Y2))</f>
        <v>3.0929925288115491E-11</v>
      </c>
      <c r="AA2">
        <f>IF(M2="","",Inputs!$B$7*Z2+Inputs!$B$8*T2)</f>
        <v>0.58679475349981247</v>
      </c>
      <c r="AB2">
        <f t="shared" ref="AB2:AB65" si="14">IF(AA2="","",EXP(-AA2))</f>
        <v>0.55610689083839826</v>
      </c>
    </row>
    <row r="3" spans="1:28">
      <c r="A3" t="s">
        <v>196</v>
      </c>
      <c r="B3">
        <v>1</v>
      </c>
      <c r="C3">
        <v>2</v>
      </c>
      <c r="D3">
        <v>0.2</v>
      </c>
      <c r="E3">
        <f>IF(B3=1,Inputs!$B$5,Inputs!$B$6)</f>
        <v>4</v>
      </c>
      <c r="F3">
        <f>E3*Inputs!$B$4</f>
        <v>60</v>
      </c>
      <c r="G3">
        <f t="shared" si="0"/>
        <v>30</v>
      </c>
      <c r="H3">
        <f t="shared" si="1"/>
        <v>30</v>
      </c>
      <c r="I3">
        <f t="shared" si="2"/>
        <v>30</v>
      </c>
      <c r="J3">
        <f t="shared" si="3"/>
        <v>0</v>
      </c>
      <c r="K3">
        <v>3</v>
      </c>
      <c r="L3" t="s">
        <v>198</v>
      </c>
      <c r="M3">
        <f>IF(L3="C",E3*COMBIN(Inputs!$B$4,K3),IF(L3="T",(Inputs!$B$4-K3+1)*E3^K3,IF(L3="PT",E3*(Inputs!$B$4-K3+1),IF(AND(L3="E",K3&lt;=E3),Inputs!$B$4*COMBIN(E3,K3),""))))</f>
        <v>832</v>
      </c>
      <c r="N3">
        <f t="shared" si="4"/>
        <v>98.711864406779654</v>
      </c>
      <c r="O3">
        <f t="shared" si="5"/>
        <v>98.711864406779654</v>
      </c>
      <c r="P3">
        <f t="shared" si="6"/>
        <v>98.711864406779654</v>
      </c>
      <c r="Q3">
        <f t="shared" si="7"/>
        <v>1</v>
      </c>
      <c r="R3">
        <f t="shared" si="8"/>
        <v>0</v>
      </c>
      <c r="S3">
        <f>IF(M3="","",IF(L3="C",SUMIFS(Marginal_Model!$J:$J,Marginal_Model!$A:$A,B3,Marginal_Model!$C:$C,K3),IF(L3="T",SUMIFS(Marginal_Model!$K:$K,Marginal_Model!$A:$A,B3,Marginal_Model!$C:$C,K3),IF(L3="PT",SUMIFS(Marginal_Model!$L:$L,Marginal_Model!$A:$A,B3,Marginal_Model!$C:$C,K3),SUMIFS(Marginal_Model!$M:$M,Marginal_Model!$A:$A,B3,Marginal_Model!$C:$C,K3)))))</f>
        <v>2.4313267095265927E-2</v>
      </c>
      <c r="T3">
        <f t="shared" si="9"/>
        <v>3.716733106624976</v>
      </c>
      <c r="U3">
        <f>IF(M3="","",Inputs!$B$7*R3+Inputs!$B$8*T3)</f>
        <v>0.74334662132499507</v>
      </c>
      <c r="V3">
        <f t="shared" si="10"/>
        <v>0.47551986474682062</v>
      </c>
      <c r="W3">
        <f>Inputs!$B$9</f>
        <v>15</v>
      </c>
      <c r="X3">
        <f t="shared" si="11"/>
        <v>11.062536528345992</v>
      </c>
      <c r="Y3">
        <f t="shared" si="12"/>
        <v>0.99998431077721828</v>
      </c>
      <c r="Z3">
        <f t="shared" si="13"/>
        <v>1.5689345858865983E-5</v>
      </c>
      <c r="AA3">
        <f>IF(M3="","",Inputs!$B$7*Z3+Inputs!$B$8*T3)</f>
        <v>0.74335917280168218</v>
      </c>
      <c r="AB3">
        <f t="shared" si="14"/>
        <v>0.4755138963077804</v>
      </c>
    </row>
    <row r="4" spans="1:28">
      <c r="A4" t="s">
        <v>196</v>
      </c>
      <c r="B4">
        <v>1</v>
      </c>
      <c r="C4">
        <v>2</v>
      </c>
      <c r="D4">
        <v>0.2</v>
      </c>
      <c r="E4">
        <f>IF(B4=1,Inputs!$B$5,Inputs!$B$6)</f>
        <v>4</v>
      </c>
      <c r="F4">
        <f>E4*Inputs!$B$4</f>
        <v>60</v>
      </c>
      <c r="G4">
        <f t="shared" si="0"/>
        <v>30</v>
      </c>
      <c r="H4">
        <f t="shared" si="1"/>
        <v>30</v>
      </c>
      <c r="I4">
        <f t="shared" si="2"/>
        <v>30</v>
      </c>
      <c r="J4">
        <f t="shared" si="3"/>
        <v>0</v>
      </c>
      <c r="K4">
        <v>3</v>
      </c>
      <c r="L4" t="s">
        <v>199</v>
      </c>
      <c r="M4">
        <f>IF(L4="C",E4*COMBIN(Inputs!$B$4,K4),IF(L4="T",(Inputs!$B$4-K4+1)*E4^K4,IF(L4="PT",E4*(Inputs!$B$4-K4+1),IF(AND(L4="E",K4&lt;=E4),Inputs!$B$4*COMBIN(E4,K4),""))))</f>
        <v>52</v>
      </c>
      <c r="N4">
        <f t="shared" si="4"/>
        <v>6.1694915254237284</v>
      </c>
      <c r="O4">
        <f t="shared" si="5"/>
        <v>6.1694915254237284</v>
      </c>
      <c r="P4">
        <f t="shared" si="6"/>
        <v>6.1694915254237284</v>
      </c>
      <c r="Q4">
        <f t="shared" si="7"/>
        <v>0.99790770038875909</v>
      </c>
      <c r="R4">
        <f t="shared" si="8"/>
        <v>2.0944915280373018E-3</v>
      </c>
      <c r="S4">
        <f>IF(M4="","",IF(L4="C",SUMIFS(Marginal_Model!$J:$J,Marginal_Model!$A:$A,B4,Marginal_Model!$C:$C,K4),IF(L4="T",SUMIFS(Marginal_Model!$K:$K,Marginal_Model!$A:$A,B4,Marginal_Model!$C:$C,K4),IF(L4="PT",SUMIFS(Marginal_Model!$L:$L,Marginal_Model!$A:$A,B4,Marginal_Model!$C:$C,K4),SUMIFS(Marginal_Model!$M:$M,Marginal_Model!$A:$A,B4,Marginal_Model!$C:$C,K4)))))</f>
        <v>1.5195791934541204E-3</v>
      </c>
      <c r="T4">
        <f t="shared" si="9"/>
        <v>6.4893218288647567</v>
      </c>
      <c r="U4">
        <f>IF(M4="","",Inputs!$B$7*R4+Inputs!$B$8*T4)</f>
        <v>1.2995399589953811</v>
      </c>
      <c r="V4">
        <f t="shared" si="10"/>
        <v>0.2726571976772979</v>
      </c>
      <c r="W4">
        <f>Inputs!$B$9</f>
        <v>15</v>
      </c>
      <c r="X4">
        <f t="shared" si="11"/>
        <v>0.69140853302162453</v>
      </c>
      <c r="Y4">
        <f t="shared" si="12"/>
        <v>0.49912992006885437</v>
      </c>
      <c r="Z4">
        <f t="shared" si="13"/>
        <v>0.69488885625919738</v>
      </c>
      <c r="AA4">
        <f>IF(M4="","",Inputs!$B$7*Z4+Inputs!$B$8*T4)</f>
        <v>1.8537754507803093</v>
      </c>
      <c r="AB4">
        <f t="shared" si="14"/>
        <v>0.15664464435394132</v>
      </c>
    </row>
    <row r="5" spans="1:28">
      <c r="A5" t="s">
        <v>196</v>
      </c>
      <c r="B5">
        <v>1</v>
      </c>
      <c r="C5">
        <v>2</v>
      </c>
      <c r="D5">
        <v>0.2</v>
      </c>
      <c r="E5">
        <f>IF(B5=1,Inputs!$B$5,Inputs!$B$6)</f>
        <v>4</v>
      </c>
      <c r="F5">
        <f>E5*Inputs!$B$4</f>
        <v>60</v>
      </c>
      <c r="G5">
        <f t="shared" si="0"/>
        <v>30</v>
      </c>
      <c r="H5">
        <f t="shared" si="1"/>
        <v>30</v>
      </c>
      <c r="I5">
        <f t="shared" si="2"/>
        <v>30</v>
      </c>
      <c r="J5">
        <f t="shared" si="3"/>
        <v>0</v>
      </c>
      <c r="K5">
        <v>3</v>
      </c>
      <c r="L5" t="s">
        <v>200</v>
      </c>
      <c r="M5">
        <f>IF(L5="C",E5*COMBIN(Inputs!$B$4,K5),IF(L5="T",(Inputs!$B$4-K5+1)*E5^K5,IF(L5="PT",E5*(Inputs!$B$4-K5+1),IF(AND(L5="E",K5&lt;=E5),Inputs!$B$4*COMBIN(E5,K5),""))))</f>
        <v>60</v>
      </c>
      <c r="N5">
        <f t="shared" si="4"/>
        <v>7.1186440677966099</v>
      </c>
      <c r="O5">
        <f t="shared" si="5"/>
        <v>7.1186440677966099</v>
      </c>
      <c r="P5">
        <f t="shared" si="6"/>
        <v>7.1186440677966099</v>
      </c>
      <c r="Q5">
        <f t="shared" si="7"/>
        <v>0.99919013587217698</v>
      </c>
      <c r="R5">
        <f t="shared" si="8"/>
        <v>8.1019224494127424E-4</v>
      </c>
      <c r="S5">
        <f>IF(M5="","",IF(L5="C",SUMIFS(Marginal_Model!$J:$J,Marginal_Model!$A:$A,B5,Marginal_Model!$C:$C,K5),IF(L5="T",SUMIFS(Marginal_Model!$K:$K,Marginal_Model!$A:$A,B5,Marginal_Model!$C:$C,K5),IF(L5="PT",SUMIFS(Marginal_Model!$L:$L,Marginal_Model!$A:$A,B5,Marginal_Model!$C:$C,K5),SUMIFS(Marginal_Model!$M:$M,Marginal_Model!$A:$A,B5,Marginal_Model!$C:$C,K5)))))</f>
        <v>1.7533606078316774E-3</v>
      </c>
      <c r="T5">
        <f t="shared" si="9"/>
        <v>6.3462209852240834</v>
      </c>
      <c r="U5">
        <f>IF(M5="","",Inputs!$B$7*R5+Inputs!$B$8*T5)</f>
        <v>1.2698923508407696</v>
      </c>
      <c r="V5">
        <f t="shared" si="10"/>
        <v>0.28086185469359426</v>
      </c>
      <c r="W5">
        <f>Inputs!$B$9</f>
        <v>15</v>
      </c>
      <c r="X5">
        <f t="shared" si="11"/>
        <v>0.79777907656341307</v>
      </c>
      <c r="Y5">
        <f t="shared" si="12"/>
        <v>0.54967200167703711</v>
      </c>
      <c r="Z5">
        <f t="shared" si="13"/>
        <v>0.59843353923653009</v>
      </c>
      <c r="AA5">
        <f>IF(M5="","",Inputs!$B$7*Z5+Inputs!$B$8*T5)</f>
        <v>1.7479910284340405</v>
      </c>
      <c r="AB5">
        <f t="shared" si="14"/>
        <v>0.1741234012696195</v>
      </c>
    </row>
    <row r="6" spans="1:28">
      <c r="A6" t="s">
        <v>196</v>
      </c>
      <c r="B6">
        <v>1</v>
      </c>
      <c r="C6">
        <v>2</v>
      </c>
      <c r="D6">
        <v>0.2</v>
      </c>
      <c r="E6">
        <f>IF(B6=1,Inputs!$B$5,Inputs!$B$6)</f>
        <v>4</v>
      </c>
      <c r="F6">
        <f>E6*Inputs!$B$4</f>
        <v>60</v>
      </c>
      <c r="G6">
        <f t="shared" si="0"/>
        <v>30</v>
      </c>
      <c r="H6">
        <f t="shared" si="1"/>
        <v>30</v>
      </c>
      <c r="I6">
        <f t="shared" si="2"/>
        <v>30</v>
      </c>
      <c r="J6">
        <f t="shared" si="3"/>
        <v>0</v>
      </c>
      <c r="K6">
        <v>4</v>
      </c>
      <c r="L6" t="s">
        <v>197</v>
      </c>
      <c r="M6">
        <f>IF(L6="C",E6*COMBIN(Inputs!$B$4,K6),IF(L6="T",(Inputs!$B$4-K6+1)*E6^K6,IF(L6="PT",E6*(Inputs!$B$4-K6+1),IF(AND(L6="E",K6&lt;=E6),Inputs!$B$4*COMBIN(E6,K6),""))))</f>
        <v>5460</v>
      </c>
      <c r="N6">
        <f t="shared" si="4"/>
        <v>306.85102586975916</v>
      </c>
      <c r="O6">
        <f t="shared" si="5"/>
        <v>306.85102586975916</v>
      </c>
      <c r="P6">
        <f t="shared" si="6"/>
        <v>306.85102586975916</v>
      </c>
      <c r="Q6">
        <f t="shared" si="7"/>
        <v>1</v>
      </c>
      <c r="R6">
        <f t="shared" si="8"/>
        <v>0</v>
      </c>
      <c r="S6">
        <f>IF(M6="","",IF(L6="C",SUMIFS(Marginal_Model!$J:$J,Marginal_Model!$A:$A,B6,Marginal_Model!$C:$C,K6),IF(L6="T",SUMIFS(Marginal_Model!$K:$K,Marginal_Model!$A:$A,B6,Marginal_Model!$C:$C,K6),IF(L6="PT",SUMIFS(Marginal_Model!$L:$L,Marginal_Model!$A:$A,B6,Marginal_Model!$C:$C,K6),SUMIFS(Marginal_Model!$M:$M,Marginal_Model!$A:$A,B6,Marginal_Model!$C:$C,K6)))))</f>
        <v>1.1196899320188258E-2</v>
      </c>
      <c r="T6">
        <f t="shared" si="9"/>
        <v>4.4921183854218931</v>
      </c>
      <c r="U6">
        <f>IF(M6="","",Inputs!$B$7*R6+Inputs!$B$8*T6)</f>
        <v>0.89842367708437842</v>
      </c>
      <c r="V6">
        <f t="shared" si="10"/>
        <v>0.40721105019847276</v>
      </c>
      <c r="W6">
        <f>Inputs!$B$9</f>
        <v>15</v>
      </c>
      <c r="X6">
        <f t="shared" si="11"/>
        <v>15.283767572056965</v>
      </c>
      <c r="Y6">
        <f t="shared" si="12"/>
        <v>0.99999976967340842</v>
      </c>
      <c r="Z6">
        <f t="shared" si="13"/>
        <v>2.3032661810224149E-7</v>
      </c>
      <c r="AA6">
        <f>IF(M6="","",Inputs!$B$7*Z6+Inputs!$B$8*T6)</f>
        <v>0.89842386134567287</v>
      </c>
      <c r="AB6">
        <f t="shared" si="14"/>
        <v>0.4072109751652444</v>
      </c>
    </row>
    <row r="7" spans="1:28">
      <c r="A7" t="s">
        <v>196</v>
      </c>
      <c r="B7">
        <v>1</v>
      </c>
      <c r="C7">
        <v>2</v>
      </c>
      <c r="D7">
        <v>0.2</v>
      </c>
      <c r="E7">
        <f>IF(B7=1,Inputs!$B$5,Inputs!$B$6)</f>
        <v>4</v>
      </c>
      <c r="F7">
        <f>E7*Inputs!$B$4</f>
        <v>60</v>
      </c>
      <c r="G7">
        <f t="shared" si="0"/>
        <v>30</v>
      </c>
      <c r="H7">
        <f t="shared" si="1"/>
        <v>30</v>
      </c>
      <c r="I7">
        <f t="shared" si="2"/>
        <v>30</v>
      </c>
      <c r="J7">
        <f t="shared" si="3"/>
        <v>0</v>
      </c>
      <c r="K7">
        <v>4</v>
      </c>
      <c r="L7" t="s">
        <v>198</v>
      </c>
      <c r="M7">
        <f>IF(L7="C",E7*COMBIN(Inputs!$B$4,K7),IF(L7="T",(Inputs!$B$4-K7+1)*E7^K7,IF(L7="PT",E7*(Inputs!$B$4-K7+1),IF(AND(L7="E",K7&lt;=E7),Inputs!$B$4*COMBIN(E7,K7),""))))</f>
        <v>3072</v>
      </c>
      <c r="N7">
        <f t="shared" si="4"/>
        <v>172.64585191793046</v>
      </c>
      <c r="O7">
        <f t="shared" si="5"/>
        <v>172.64585191793046</v>
      </c>
      <c r="P7">
        <f t="shared" si="6"/>
        <v>172.64585191793046</v>
      </c>
      <c r="Q7">
        <f t="shared" si="7"/>
        <v>1</v>
      </c>
      <c r="R7">
        <f t="shared" si="8"/>
        <v>0</v>
      </c>
      <c r="S7">
        <f>IF(M7="","",IF(L7="C",SUMIFS(Marginal_Model!$J:$J,Marginal_Model!$A:$A,B7,Marginal_Model!$C:$C,K7),IF(L7="T",SUMIFS(Marginal_Model!$K:$K,Marginal_Model!$A:$A,B7,Marginal_Model!$C:$C,K7),IF(L7="PT",SUMIFS(Marginal_Model!$L:$L,Marginal_Model!$A:$A,B7,Marginal_Model!$C:$C,K7),SUMIFS(Marginal_Model!$M:$M,Marginal_Model!$A:$A,B7,Marginal_Model!$C:$C,K7)))))</f>
        <v>3.1498969516133993E-3</v>
      </c>
      <c r="T7">
        <f t="shared" si="9"/>
        <v>5.7603855404532265</v>
      </c>
      <c r="U7">
        <f>IF(M7="","",Inputs!$B$7*R7+Inputs!$B$8*T7)</f>
        <v>1.1520771080906451</v>
      </c>
      <c r="V7">
        <f t="shared" si="10"/>
        <v>0.31597976315626514</v>
      </c>
      <c r="W7">
        <f>Inputs!$B$9</f>
        <v>15</v>
      </c>
      <c r="X7">
        <f t="shared" si="11"/>
        <v>8.5992186779045774</v>
      </c>
      <c r="Y7">
        <f t="shared" si="12"/>
        <v>0.99981575030419834</v>
      </c>
      <c r="Z7">
        <f t="shared" si="13"/>
        <v>1.8426667186211991E-4</v>
      </c>
      <c r="AA7">
        <f>IF(M7="","",Inputs!$B$7*Z7+Inputs!$B$8*T7)</f>
        <v>1.1522245214281348</v>
      </c>
      <c r="AB7">
        <f t="shared" si="14"/>
        <v>0.31593318695785988</v>
      </c>
    </row>
    <row r="8" spans="1:28">
      <c r="A8" t="s">
        <v>196</v>
      </c>
      <c r="B8">
        <v>1</v>
      </c>
      <c r="C8">
        <v>2</v>
      </c>
      <c r="D8">
        <v>0.2</v>
      </c>
      <c r="E8">
        <f>IF(B8=1,Inputs!$B$5,Inputs!$B$6)</f>
        <v>4</v>
      </c>
      <c r="F8">
        <f>E8*Inputs!$B$4</f>
        <v>60</v>
      </c>
      <c r="G8">
        <f t="shared" si="0"/>
        <v>30</v>
      </c>
      <c r="H8">
        <f t="shared" si="1"/>
        <v>30</v>
      </c>
      <c r="I8">
        <f t="shared" si="2"/>
        <v>30</v>
      </c>
      <c r="J8">
        <f t="shared" si="3"/>
        <v>0</v>
      </c>
      <c r="K8">
        <v>4</v>
      </c>
      <c r="L8" t="s">
        <v>199</v>
      </c>
      <c r="M8">
        <f>IF(L8="C",E8*COMBIN(Inputs!$B$4,K8),IF(L8="T",(Inputs!$B$4-K8+1)*E8^K8,IF(L8="PT",E8*(Inputs!$B$4-K8+1),IF(AND(L8="E",K8&lt;=E8),Inputs!$B$4*COMBIN(E8,K8),""))))</f>
        <v>48</v>
      </c>
      <c r="N8">
        <f t="shared" si="4"/>
        <v>2.6975914362176634</v>
      </c>
      <c r="O8">
        <f t="shared" si="5"/>
        <v>2.6975914362176634</v>
      </c>
      <c r="P8">
        <f t="shared" si="6"/>
        <v>2.6975914362176634</v>
      </c>
      <c r="Q8">
        <f t="shared" si="7"/>
        <v>0.93263242340407149</v>
      </c>
      <c r="R8">
        <f t="shared" si="8"/>
        <v>6.9744128534082642E-2</v>
      </c>
      <c r="S8">
        <f>IF(M8="","",IF(L8="C",SUMIFS(Marginal_Model!$J:$J,Marginal_Model!$A:$A,B8,Marginal_Model!$C:$C,K8),IF(L8="T",SUMIFS(Marginal_Model!$K:$K,Marginal_Model!$A:$A,B8,Marginal_Model!$C:$C,K8),IF(L8="PT",SUMIFS(Marginal_Model!$L:$L,Marginal_Model!$A:$A,B8,Marginal_Model!$C:$C,K8),SUMIFS(Marginal_Model!$M:$M,Marginal_Model!$A:$A,B8,Marginal_Model!$C:$C,K8)))))</f>
        <v>4.9217139868959364E-5</v>
      </c>
      <c r="T8">
        <f t="shared" si="9"/>
        <v>9.9192686238128989</v>
      </c>
      <c r="U8">
        <f>IF(M8="","",Inputs!$B$7*R8+Inputs!$B$8*T8)</f>
        <v>2.0396490275898453</v>
      </c>
      <c r="V8">
        <f t="shared" si="10"/>
        <v>0.13007435537798367</v>
      </c>
      <c r="W8">
        <f>Inputs!$B$9</f>
        <v>15</v>
      </c>
      <c r="X8">
        <f t="shared" si="11"/>
        <v>0.13436279184225902</v>
      </c>
      <c r="Y8">
        <f t="shared" si="12"/>
        <v>0.12572717198852157</v>
      </c>
      <c r="Z8">
        <f t="shared" si="13"/>
        <v>2.073641021364272</v>
      </c>
      <c r="AA8">
        <f>IF(M8="","",Inputs!$B$7*Z8+Inputs!$B$8*T8)</f>
        <v>3.6427665418539972</v>
      </c>
      <c r="AB8">
        <f t="shared" si="14"/>
        <v>2.6179816129248083E-2</v>
      </c>
    </row>
    <row r="9" spans="1:28">
      <c r="A9" t="s">
        <v>196</v>
      </c>
      <c r="B9">
        <v>1</v>
      </c>
      <c r="C9">
        <v>2</v>
      </c>
      <c r="D9">
        <v>0.2</v>
      </c>
      <c r="E9">
        <f>IF(B9=1,Inputs!$B$5,Inputs!$B$6)</f>
        <v>4</v>
      </c>
      <c r="F9">
        <f>E9*Inputs!$B$4</f>
        <v>60</v>
      </c>
      <c r="G9">
        <f t="shared" si="0"/>
        <v>30</v>
      </c>
      <c r="H9">
        <f t="shared" si="1"/>
        <v>30</v>
      </c>
      <c r="I9">
        <f t="shared" si="2"/>
        <v>30</v>
      </c>
      <c r="J9">
        <f t="shared" si="3"/>
        <v>0</v>
      </c>
      <c r="K9">
        <v>4</v>
      </c>
      <c r="L9" t="s">
        <v>200</v>
      </c>
      <c r="M9">
        <f>IF(L9="C",E9*COMBIN(Inputs!$B$4,K9),IF(L9="T",(Inputs!$B$4-K9+1)*E9^K9,IF(L9="PT",E9*(Inputs!$B$4-K9+1),IF(AND(L9="E",K9&lt;=E9),Inputs!$B$4*COMBIN(E9,K9),""))))</f>
        <v>15</v>
      </c>
      <c r="N9">
        <f t="shared" si="4"/>
        <v>0.84299732381801973</v>
      </c>
      <c r="O9">
        <f t="shared" si="5"/>
        <v>0.84299732381801973</v>
      </c>
      <c r="P9">
        <f t="shared" si="6"/>
        <v>0.84299732381801973</v>
      </c>
      <c r="Q9">
        <f t="shared" si="7"/>
        <v>0.56958151550844249</v>
      </c>
      <c r="R9">
        <f t="shared" si="8"/>
        <v>0.56285337111662281</v>
      </c>
      <c r="S9">
        <f>IF(M9="","",IF(L9="C",SUMIFS(Marginal_Model!$J:$J,Marginal_Model!$A:$A,B9,Marginal_Model!$C:$C,K9),IF(L9="T",SUMIFS(Marginal_Model!$K:$K,Marginal_Model!$A:$A,B9,Marginal_Model!$C:$C,K9),IF(L9="PT",SUMIFS(Marginal_Model!$L:$L,Marginal_Model!$A:$A,B9,Marginal_Model!$C:$C,K9),SUMIFS(Marginal_Model!$M:$M,Marginal_Model!$A:$A,B9,Marginal_Model!$C:$C,K9)))))</f>
        <v>3.0760712418099601E-5</v>
      </c>
      <c r="T9">
        <f t="shared" si="9"/>
        <v>10.389272253058634</v>
      </c>
      <c r="U9">
        <f>IF(M9="","",Inputs!$B$7*R9+Inputs!$B$8*T9)</f>
        <v>2.5281371475050247</v>
      </c>
      <c r="V9">
        <f t="shared" si="10"/>
        <v>7.9807551593590445E-2</v>
      </c>
      <c r="W9">
        <f>Inputs!$B$9</f>
        <v>15</v>
      </c>
      <c r="X9">
        <f t="shared" si="11"/>
        <v>4.1988372450705948E-2</v>
      </c>
      <c r="Y9">
        <f t="shared" si="12"/>
        <v>4.1119070057055507E-2</v>
      </c>
      <c r="Z9">
        <f t="shared" si="13"/>
        <v>3.191283273434939</v>
      </c>
      <c r="AA9">
        <f>IF(M9="","",Inputs!$B$7*Z9+Inputs!$B$8*T9)</f>
        <v>4.6308810693596776</v>
      </c>
      <c r="AB9">
        <f t="shared" si="14"/>
        <v>9.7461682681029473E-3</v>
      </c>
    </row>
    <row r="10" spans="1:28">
      <c r="A10" t="s">
        <v>196</v>
      </c>
      <c r="B10">
        <v>1</v>
      </c>
      <c r="C10">
        <v>2</v>
      </c>
      <c r="D10">
        <v>0.2</v>
      </c>
      <c r="E10">
        <f>IF(B10=1,Inputs!$B$5,Inputs!$B$6)</f>
        <v>4</v>
      </c>
      <c r="F10">
        <f>E10*Inputs!$B$4</f>
        <v>60</v>
      </c>
      <c r="G10">
        <f t="shared" si="0"/>
        <v>30</v>
      </c>
      <c r="H10">
        <f t="shared" si="1"/>
        <v>30</v>
      </c>
      <c r="I10">
        <f t="shared" si="2"/>
        <v>30</v>
      </c>
      <c r="J10">
        <f t="shared" si="3"/>
        <v>0</v>
      </c>
      <c r="K10">
        <v>5</v>
      </c>
      <c r="L10" t="s">
        <v>197</v>
      </c>
      <c r="M10">
        <f>IF(L10="C",E10*COMBIN(Inputs!$B$4,K10),IF(L10="T",(Inputs!$B$4-K10+1)*E10^K10,IF(L10="PT",E10*(Inputs!$B$4-K10+1),IF(AND(L10="E",K10&lt;=E10),Inputs!$B$4*COMBIN(E10,K10),""))))</f>
        <v>12012</v>
      </c>
      <c r="N10">
        <f t="shared" si="4"/>
        <v>313.42640499553977</v>
      </c>
      <c r="O10">
        <f t="shared" si="5"/>
        <v>313.42640499553977</v>
      </c>
      <c r="P10">
        <f t="shared" si="6"/>
        <v>313.42640499553977</v>
      </c>
      <c r="Q10">
        <f t="shared" si="7"/>
        <v>1</v>
      </c>
      <c r="R10">
        <f t="shared" si="8"/>
        <v>0</v>
      </c>
      <c r="S10">
        <f>IF(M10="","",IF(L10="C",SUMIFS(Marginal_Model!$J:$J,Marginal_Model!$A:$A,B10,Marginal_Model!$C:$C,K10),IF(L10="T",SUMIFS(Marginal_Model!$K:$K,Marginal_Model!$A:$A,B10,Marginal_Model!$C:$C,K10),IF(L10="PT",SUMIFS(Marginal_Model!$L:$L,Marginal_Model!$A:$A,B10,Marginal_Model!$C:$C,K10),SUMIFS(Marginal_Model!$M:$M,Marginal_Model!$A:$A,B10,Marginal_Model!$C:$C,K10)))))</f>
        <v>2.199390937894122E-3</v>
      </c>
      <c r="T10">
        <f t="shared" si="9"/>
        <v>6.1195748033586721</v>
      </c>
      <c r="U10">
        <f>IF(M10="","",Inputs!$B$7*R10+Inputs!$B$8*T10)</f>
        <v>1.2239149606717341</v>
      </c>
      <c r="V10">
        <f t="shared" si="10"/>
        <v>0.29407661196591373</v>
      </c>
      <c r="W10">
        <f>Inputs!$B$9</f>
        <v>15</v>
      </c>
      <c r="X10">
        <f t="shared" si="11"/>
        <v>6.6047709864960451</v>
      </c>
      <c r="Y10">
        <f t="shared" si="12"/>
        <v>0.99864610680202093</v>
      </c>
      <c r="Z10">
        <f t="shared" si="13"/>
        <v>1.354810539456582E-3</v>
      </c>
      <c r="AA10">
        <f>IF(M10="","",Inputs!$B$7*Z10+Inputs!$B$8*T10)</f>
        <v>1.2249988091032993</v>
      </c>
      <c r="AB10">
        <f t="shared" si="14"/>
        <v>0.29375805015881723</v>
      </c>
    </row>
    <row r="11" spans="1:28">
      <c r="A11" t="s">
        <v>196</v>
      </c>
      <c r="B11">
        <v>1</v>
      </c>
      <c r="C11">
        <v>2</v>
      </c>
      <c r="D11">
        <v>0.2</v>
      </c>
      <c r="E11">
        <f>IF(B11=1,Inputs!$B$5,Inputs!$B$6)</f>
        <v>4</v>
      </c>
      <c r="F11">
        <f>E11*Inputs!$B$4</f>
        <v>60</v>
      </c>
      <c r="G11">
        <f t="shared" si="0"/>
        <v>30</v>
      </c>
      <c r="H11">
        <f t="shared" si="1"/>
        <v>30</v>
      </c>
      <c r="I11">
        <f t="shared" si="2"/>
        <v>30</v>
      </c>
      <c r="J11">
        <f t="shared" si="3"/>
        <v>0</v>
      </c>
      <c r="K11">
        <v>5</v>
      </c>
      <c r="L11" t="s">
        <v>198</v>
      </c>
      <c r="M11">
        <f>IF(L11="C",E11*COMBIN(Inputs!$B$4,K11),IF(L11="T",(Inputs!$B$4-K11+1)*E11^K11,IF(L11="PT",E11*(Inputs!$B$4-K11+1),IF(AND(L11="E",K11&lt;=E11),Inputs!$B$4*COMBIN(E11,K11),""))))</f>
        <v>11264</v>
      </c>
      <c r="N11">
        <f t="shared" si="4"/>
        <v>293.90900981266731</v>
      </c>
      <c r="O11">
        <f t="shared" si="5"/>
        <v>293.90900981266731</v>
      </c>
      <c r="P11">
        <f t="shared" si="6"/>
        <v>293.90900981266731</v>
      </c>
      <c r="Q11">
        <f t="shared" si="7"/>
        <v>1</v>
      </c>
      <c r="R11">
        <f t="shared" si="8"/>
        <v>0</v>
      </c>
      <c r="S11">
        <f>IF(M11="","",IF(L11="C",SUMIFS(Marginal_Model!$J:$J,Marginal_Model!$A:$A,B11,Marginal_Model!$C:$C,K11),IF(L11="T",SUMIFS(Marginal_Model!$K:$K,Marginal_Model!$A:$A,B11,Marginal_Model!$C:$C,K11),IF(L11="PT",SUMIFS(Marginal_Model!$L:$L,Marginal_Model!$A:$A,B11,Marginal_Model!$C:$C,K11),SUMIFS(Marginal_Model!$M:$M,Marginal_Model!$A:$A,B11,Marginal_Model!$C:$C,K11)))))</f>
        <v>4.1248650556842138E-4</v>
      </c>
      <c r="T11">
        <f t="shared" si="9"/>
        <v>7.7933070664981692</v>
      </c>
      <c r="U11">
        <f>IF(M11="","",Inputs!$B$7*R11+Inputs!$B$8*T11)</f>
        <v>1.5586614132996335</v>
      </c>
      <c r="V11">
        <f t="shared" si="10"/>
        <v>0.21041754489738571</v>
      </c>
      <c r="W11">
        <f>Inputs!$B$9</f>
        <v>15</v>
      </c>
      <c r="X11">
        <f t="shared" si="11"/>
        <v>6.1934848811098444</v>
      </c>
      <c r="Y11">
        <f t="shared" si="12"/>
        <v>0.99795730421674655</v>
      </c>
      <c r="Z11">
        <f t="shared" si="13"/>
        <v>2.0447849317662948E-3</v>
      </c>
      <c r="AA11">
        <f>IF(M11="","",Inputs!$B$7*Z11+Inputs!$B$8*T11)</f>
        <v>1.5602972412450464</v>
      </c>
      <c r="AB11">
        <f t="shared" si="14"/>
        <v>0.21007361937542082</v>
      </c>
    </row>
    <row r="12" spans="1:28">
      <c r="A12" t="s">
        <v>196</v>
      </c>
      <c r="B12">
        <v>1</v>
      </c>
      <c r="C12">
        <v>2</v>
      </c>
      <c r="D12">
        <v>0.2</v>
      </c>
      <c r="E12">
        <f>IF(B12=1,Inputs!$B$5,Inputs!$B$6)</f>
        <v>4</v>
      </c>
      <c r="F12">
        <f>E12*Inputs!$B$4</f>
        <v>60</v>
      </c>
      <c r="G12">
        <f t="shared" si="0"/>
        <v>30</v>
      </c>
      <c r="H12">
        <f t="shared" si="1"/>
        <v>30</v>
      </c>
      <c r="I12">
        <f t="shared" si="2"/>
        <v>30</v>
      </c>
      <c r="J12">
        <f t="shared" si="3"/>
        <v>0</v>
      </c>
      <c r="K12">
        <v>5</v>
      </c>
      <c r="L12" t="s">
        <v>199</v>
      </c>
      <c r="M12">
        <f>IF(L12="C",E12*COMBIN(Inputs!$B$4,K12),IF(L12="T",(Inputs!$B$4-K12+1)*E12^K12,IF(L12="PT",E12*(Inputs!$B$4-K12+1),IF(AND(L12="E",K12&lt;=E12),Inputs!$B$4*COMBIN(E12,K12),""))))</f>
        <v>44</v>
      </c>
      <c r="N12">
        <f t="shared" si="4"/>
        <v>1.1480820695807317</v>
      </c>
      <c r="O12">
        <f t="shared" si="5"/>
        <v>1.1480820695807317</v>
      </c>
      <c r="P12">
        <f t="shared" si="6"/>
        <v>1.1480820695807317</v>
      </c>
      <c r="Q12">
        <f t="shared" si="7"/>
        <v>0.68275536058921871</v>
      </c>
      <c r="R12">
        <f t="shared" si="8"/>
        <v>0.38161866719196297</v>
      </c>
      <c r="S12">
        <f>IF(M12="","",IF(L12="C",SUMIFS(Marginal_Model!$J:$J,Marginal_Model!$A:$A,B12,Marginal_Model!$C:$C,K12),IF(L12="T",SUMIFS(Marginal_Model!$K:$K,Marginal_Model!$A:$A,B12,Marginal_Model!$C:$C,K12),IF(L12="PT",SUMIFS(Marginal_Model!$L:$L,Marginal_Model!$A:$A,B12,Marginal_Model!$C:$C,K12),SUMIFS(Marginal_Model!$M:$M,Marginal_Model!$A:$A,B12,Marginal_Model!$C:$C,K12)))))</f>
        <v>1.611275412376646E-6</v>
      </c>
      <c r="T12">
        <f t="shared" si="9"/>
        <v>13.338484510977732</v>
      </c>
      <c r="U12">
        <f>IF(M12="","",Inputs!$B$7*R12+Inputs!$B$8*T12)</f>
        <v>2.9729918359491161</v>
      </c>
      <c r="V12">
        <f t="shared" si="10"/>
        <v>5.1150048625023078E-2</v>
      </c>
      <c r="W12">
        <f>Inputs!$B$9</f>
        <v>15</v>
      </c>
      <c r="X12">
        <f t="shared" si="11"/>
        <v>2.419330031683533E-2</v>
      </c>
      <c r="Y12">
        <f t="shared" si="12"/>
        <v>2.3902988340820053E-2</v>
      </c>
      <c r="Z12">
        <f t="shared" si="13"/>
        <v>3.7337517926801636</v>
      </c>
      <c r="AA12">
        <f>IF(M12="","",Inputs!$B$7*Z12+Inputs!$B$8*T12)</f>
        <v>5.6546983363396768</v>
      </c>
      <c r="AB12">
        <f t="shared" si="14"/>
        <v>3.5010290607660425E-3</v>
      </c>
    </row>
    <row r="13" spans="1:28">
      <c r="A13" t="s">
        <v>196</v>
      </c>
      <c r="B13">
        <v>1</v>
      </c>
      <c r="C13">
        <v>2</v>
      </c>
      <c r="D13">
        <v>0.2</v>
      </c>
      <c r="E13">
        <f>IF(B13=1,Inputs!$B$5,Inputs!$B$6)</f>
        <v>4</v>
      </c>
      <c r="F13">
        <f>E13*Inputs!$B$4</f>
        <v>60</v>
      </c>
      <c r="G13">
        <f t="shared" si="0"/>
        <v>30</v>
      </c>
      <c r="H13">
        <f t="shared" si="1"/>
        <v>30</v>
      </c>
      <c r="I13">
        <f t="shared" si="2"/>
        <v>30</v>
      </c>
      <c r="J13">
        <f t="shared" si="3"/>
        <v>0</v>
      </c>
      <c r="K13">
        <v>5</v>
      </c>
      <c r="L13" t="s">
        <v>200</v>
      </c>
      <c r="M13" t="str">
        <f>IF(L13="C",E13*COMBIN(Inputs!$B$4,K13),IF(L13="T",(Inputs!$B$4-K13+1)*E13^K13,IF(L13="PT",E13*(Inputs!$B$4-K13+1),IF(AND(L13="E",K13&lt;=E13),Inputs!$B$4*COMBIN(E13,K13),""))))</f>
        <v/>
      </c>
      <c r="N13" t="str">
        <f t="shared" si="4"/>
        <v/>
      </c>
      <c r="O13" t="str">
        <f t="shared" si="5"/>
        <v/>
      </c>
      <c r="P13" t="str">
        <f t="shared" si="6"/>
        <v/>
      </c>
      <c r="Q13" t="str">
        <f t="shared" si="7"/>
        <v/>
      </c>
      <c r="R13" t="str">
        <f t="shared" si="8"/>
        <v/>
      </c>
      <c r="S13" t="str">
        <f>IF(M13="","",IF(L13="C",SUMIFS(Marginal_Model!$J:$J,Marginal_Model!$A:$A,B13,Marginal_Model!$C:$C,K13),IF(L13="T",SUMIFS(Marginal_Model!$K:$K,Marginal_Model!$A:$A,B13,Marginal_Model!$C:$C,K13),IF(L13="PT",SUMIFS(Marginal_Model!$L:$L,Marginal_Model!$A:$A,B13,Marginal_Model!$C:$C,K13),SUMIFS(Marginal_Model!$M:$M,Marginal_Model!$A:$A,B13,Marginal_Model!$C:$C,K13)))))</f>
        <v/>
      </c>
      <c r="T13" t="str">
        <f t="shared" si="9"/>
        <v/>
      </c>
      <c r="U13" t="str">
        <f>IF(M13="","",Inputs!$B$7*R13+Inputs!$B$8*T13)</f>
        <v/>
      </c>
      <c r="V13" t="str">
        <f t="shared" si="10"/>
        <v/>
      </c>
      <c r="W13">
        <f>Inputs!$B$9</f>
        <v>15</v>
      </c>
      <c r="X13" t="str">
        <f t="shared" si="11"/>
        <v/>
      </c>
      <c r="Y13" t="str">
        <f t="shared" si="12"/>
        <v/>
      </c>
      <c r="Z13" t="str">
        <f t="shared" si="13"/>
        <v/>
      </c>
      <c r="AA13" t="str">
        <f>IF(M13="","",Inputs!$B$7*Z13+Inputs!$B$8*T13)</f>
        <v/>
      </c>
      <c r="AB13" t="str">
        <f t="shared" si="14"/>
        <v/>
      </c>
    </row>
    <row r="14" spans="1:28">
      <c r="A14" t="s">
        <v>196</v>
      </c>
      <c r="B14">
        <v>1</v>
      </c>
      <c r="C14">
        <v>2</v>
      </c>
      <c r="D14">
        <v>0.2</v>
      </c>
      <c r="E14">
        <f>IF(B14=1,Inputs!$B$5,Inputs!$B$6)</f>
        <v>4</v>
      </c>
      <c r="F14">
        <f>E14*Inputs!$B$4</f>
        <v>60</v>
      </c>
      <c r="G14">
        <f t="shared" si="0"/>
        <v>30</v>
      </c>
      <c r="H14">
        <f t="shared" si="1"/>
        <v>30</v>
      </c>
      <c r="I14">
        <f t="shared" si="2"/>
        <v>30</v>
      </c>
      <c r="J14">
        <f t="shared" si="3"/>
        <v>0</v>
      </c>
      <c r="K14">
        <v>6</v>
      </c>
      <c r="L14" t="s">
        <v>197</v>
      </c>
      <c r="M14">
        <f>IF(L14="C",E14*COMBIN(Inputs!$B$4,K14),IF(L14="T",(Inputs!$B$4-K14+1)*E14^K14,IF(L14="PT",E14*(Inputs!$B$4-K14+1),IF(AND(L14="E",K14&lt;=E14),Inputs!$B$4*COMBIN(E14,K14),""))))</f>
        <v>20020</v>
      </c>
      <c r="N14">
        <f t="shared" si="4"/>
        <v>237.44424620874219</v>
      </c>
      <c r="O14">
        <f t="shared" si="5"/>
        <v>237.44424620874219</v>
      </c>
      <c r="P14">
        <f t="shared" si="6"/>
        <v>237.44424620874219</v>
      </c>
      <c r="Q14">
        <f t="shared" si="7"/>
        <v>1</v>
      </c>
      <c r="R14">
        <f t="shared" si="8"/>
        <v>0</v>
      </c>
      <c r="S14">
        <f>IF(M14="","",IF(L14="C",SUMIFS(Marginal_Model!$J:$J,Marginal_Model!$A:$A,B14,Marginal_Model!$C:$C,K14),IF(L14="T",SUMIFS(Marginal_Model!$K:$K,Marginal_Model!$A:$A,B14,Marginal_Model!$C:$C,K14),IF(L14="PT",SUMIFS(Marginal_Model!$L:$L,Marginal_Model!$A:$A,B14,Marginal_Model!$C:$C,K14),SUMIFS(Marginal_Model!$M:$M,Marginal_Model!$A:$A,B14,Marginal_Model!$C:$C,K14)))))</f>
        <v>3.9988926143529491E-4</v>
      </c>
      <c r="T14">
        <f t="shared" si="9"/>
        <v>7.8243228955970974</v>
      </c>
      <c r="U14">
        <f>IF(M14="","",Inputs!$B$7*R14+Inputs!$B$8*T14)</f>
        <v>1.5648645791194191</v>
      </c>
      <c r="V14">
        <f t="shared" si="10"/>
        <v>0.20911632997344551</v>
      </c>
      <c r="W14">
        <f>Inputs!$B$9</f>
        <v>15</v>
      </c>
      <c r="X14">
        <f t="shared" si="11"/>
        <v>2.0014457534836496</v>
      </c>
      <c r="Y14">
        <f t="shared" si="12"/>
        <v>0.86486023684960811</v>
      </c>
      <c r="Z14">
        <f t="shared" si="13"/>
        <v>0.14518736100145593</v>
      </c>
      <c r="AA14">
        <f>IF(M14="","",Inputs!$B$7*Z14+Inputs!$B$8*T14)</f>
        <v>1.6810144679205838</v>
      </c>
      <c r="AB14">
        <f t="shared" si="14"/>
        <v>0.18618500149000228</v>
      </c>
    </row>
    <row r="15" spans="1:28">
      <c r="A15" t="s">
        <v>196</v>
      </c>
      <c r="B15">
        <v>1</v>
      </c>
      <c r="C15">
        <v>2</v>
      </c>
      <c r="D15">
        <v>0.2</v>
      </c>
      <c r="E15">
        <f>IF(B15=1,Inputs!$B$5,Inputs!$B$6)</f>
        <v>4</v>
      </c>
      <c r="F15">
        <f>E15*Inputs!$B$4</f>
        <v>60</v>
      </c>
      <c r="G15">
        <f t="shared" si="0"/>
        <v>30</v>
      </c>
      <c r="H15">
        <f t="shared" si="1"/>
        <v>30</v>
      </c>
      <c r="I15">
        <f t="shared" si="2"/>
        <v>30</v>
      </c>
      <c r="J15">
        <f t="shared" si="3"/>
        <v>0</v>
      </c>
      <c r="K15">
        <v>6</v>
      </c>
      <c r="L15" t="s">
        <v>198</v>
      </c>
      <c r="M15">
        <f>IF(L15="C",E15*COMBIN(Inputs!$B$4,K15),IF(L15="T",(Inputs!$B$4-K15+1)*E15^K15,IF(L15="PT",E15*(Inputs!$B$4-K15+1),IF(AND(L15="E",K15&lt;=E15),Inputs!$B$4*COMBIN(E15,K15),""))))</f>
        <v>40960</v>
      </c>
      <c r="N15">
        <f t="shared" si="4"/>
        <v>485.80001621928471</v>
      </c>
      <c r="O15">
        <f t="shared" si="5"/>
        <v>485.80001621928471</v>
      </c>
      <c r="P15">
        <f t="shared" si="6"/>
        <v>485.80001621928471</v>
      </c>
      <c r="Q15">
        <f t="shared" si="7"/>
        <v>1</v>
      </c>
      <c r="R15">
        <f t="shared" si="8"/>
        <v>0</v>
      </c>
      <c r="S15">
        <f>IF(M15="","",IF(L15="C",SUMIFS(Marginal_Model!$J:$J,Marginal_Model!$A:$A,B15,Marginal_Model!$C:$C,K15),IF(L15="T",SUMIFS(Marginal_Model!$K:$K,Marginal_Model!$A:$A,B15,Marginal_Model!$C:$C,K15),IF(L15="PT",SUMIFS(Marginal_Model!$L:$L,Marginal_Model!$A:$A,B15,Marginal_Model!$C:$C,K15),SUMIFS(Marginal_Model!$M:$M,Marginal_Model!$A:$A,B15,Marginal_Model!$C:$C,K15)))))</f>
        <v>5.454367015780779E-5</v>
      </c>
      <c r="T15">
        <f t="shared" si="9"/>
        <v>9.8165088898551289</v>
      </c>
      <c r="U15">
        <f>IF(M15="","",Inputs!$B$7*R15+Inputs!$B$8*T15)</f>
        <v>1.9633017779710253</v>
      </c>
      <c r="V15">
        <f t="shared" si="10"/>
        <v>0.14039410464625943</v>
      </c>
      <c r="W15">
        <f>Inputs!$B$9</f>
        <v>15</v>
      </c>
      <c r="X15">
        <f t="shared" si="11"/>
        <v>4.0948660370974164</v>
      </c>
      <c r="Y15">
        <f t="shared" si="12"/>
        <v>0.98334202231551537</v>
      </c>
      <c r="Z15">
        <f t="shared" si="13"/>
        <v>1.6798282102354206E-2</v>
      </c>
      <c r="AA15">
        <f>IF(M15="","",Inputs!$B$7*Z15+Inputs!$B$8*T15)</f>
        <v>1.9767404036529088</v>
      </c>
      <c r="AB15">
        <f t="shared" si="14"/>
        <v>0.13852002158072604</v>
      </c>
    </row>
    <row r="16" spans="1:28">
      <c r="A16" t="s">
        <v>196</v>
      </c>
      <c r="B16">
        <v>1</v>
      </c>
      <c r="C16">
        <v>2</v>
      </c>
      <c r="D16">
        <v>0.2</v>
      </c>
      <c r="E16">
        <f>IF(B16=1,Inputs!$B$5,Inputs!$B$6)</f>
        <v>4</v>
      </c>
      <c r="F16">
        <f>E16*Inputs!$B$4</f>
        <v>60</v>
      </c>
      <c r="G16">
        <f t="shared" si="0"/>
        <v>30</v>
      </c>
      <c r="H16">
        <f t="shared" si="1"/>
        <v>30</v>
      </c>
      <c r="I16">
        <f t="shared" si="2"/>
        <v>30</v>
      </c>
      <c r="J16">
        <f t="shared" si="3"/>
        <v>0</v>
      </c>
      <c r="K16">
        <v>6</v>
      </c>
      <c r="L16" t="s">
        <v>199</v>
      </c>
      <c r="M16">
        <f>IF(L16="C",E16*COMBIN(Inputs!$B$4,K16),IF(L16="T",(Inputs!$B$4-K16+1)*E16^K16,IF(L16="PT",E16*(Inputs!$B$4-K16+1),IF(AND(L16="E",K16&lt;=E16),Inputs!$B$4*COMBIN(E16,K16),""))))</f>
        <v>40</v>
      </c>
      <c r="N16">
        <f t="shared" si="4"/>
        <v>0.47441407833914523</v>
      </c>
      <c r="O16">
        <f t="shared" si="5"/>
        <v>0.47441407833914523</v>
      </c>
      <c r="P16">
        <f t="shared" si="6"/>
        <v>0.47441407833914523</v>
      </c>
      <c r="Q16">
        <f t="shared" si="7"/>
        <v>0.37775046084110986</v>
      </c>
      <c r="R16">
        <f t="shared" si="8"/>
        <v>0.973521457866803</v>
      </c>
      <c r="S16">
        <f>IF(M16="","",IF(L16="C",SUMIFS(Marginal_Model!$J:$J,Marginal_Model!$A:$A,B16,Marginal_Model!$C:$C,K16),IF(L16="T",SUMIFS(Marginal_Model!$K:$K,Marginal_Model!$A:$A,B16,Marginal_Model!$C:$C,K16),IF(L16="PT",SUMIFS(Marginal_Model!$L:$L,Marginal_Model!$A:$A,B16,Marginal_Model!$C:$C,K16),SUMIFS(Marginal_Model!$M:$M,Marginal_Model!$A:$A,B16,Marginal_Model!$C:$C,K16)))))</f>
        <v>5.326530288848417E-8</v>
      </c>
      <c r="T16">
        <f t="shared" si="9"/>
        <v>16.747980695454583</v>
      </c>
      <c r="U16">
        <f>IF(M16="","",Inputs!$B$7*R16+Inputs!$B$8*T16)</f>
        <v>4.1284133053843579</v>
      </c>
      <c r="V16">
        <f t="shared" si="10"/>
        <v>1.6108417695658395E-2</v>
      </c>
      <c r="W16">
        <f>Inputs!$B$9</f>
        <v>15</v>
      </c>
      <c r="X16">
        <f t="shared" si="11"/>
        <v>3.9988926143529457E-3</v>
      </c>
      <c r="Y16">
        <f t="shared" si="12"/>
        <v>3.9909076904460772E-3</v>
      </c>
      <c r="Z16">
        <f t="shared" si="13"/>
        <v>5.5237365826127274</v>
      </c>
      <c r="AA16">
        <f>IF(M16="","",Inputs!$B$7*Z16+Inputs!$B$8*T16)</f>
        <v>7.7685854051810974</v>
      </c>
      <c r="AB16">
        <f t="shared" si="14"/>
        <v>4.2281095014898057E-4</v>
      </c>
    </row>
    <row r="17" spans="1:28">
      <c r="A17" t="s">
        <v>196</v>
      </c>
      <c r="B17">
        <v>1</v>
      </c>
      <c r="C17">
        <v>2</v>
      </c>
      <c r="D17">
        <v>0.2</v>
      </c>
      <c r="E17">
        <f>IF(B17=1,Inputs!$B$5,Inputs!$B$6)</f>
        <v>4</v>
      </c>
      <c r="F17">
        <f>E17*Inputs!$B$4</f>
        <v>60</v>
      </c>
      <c r="G17">
        <f t="shared" si="0"/>
        <v>30</v>
      </c>
      <c r="H17">
        <f t="shared" si="1"/>
        <v>30</v>
      </c>
      <c r="I17">
        <f t="shared" si="2"/>
        <v>30</v>
      </c>
      <c r="J17">
        <f t="shared" si="3"/>
        <v>0</v>
      </c>
      <c r="K17">
        <v>6</v>
      </c>
      <c r="L17" t="s">
        <v>200</v>
      </c>
      <c r="M17" t="str">
        <f>IF(L17="C",E17*COMBIN(Inputs!$B$4,K17),IF(L17="T",(Inputs!$B$4-K17+1)*E17^K17,IF(L17="PT",E17*(Inputs!$B$4-K17+1),IF(AND(L17="E",K17&lt;=E17),Inputs!$B$4*COMBIN(E17,K17),""))))</f>
        <v/>
      </c>
      <c r="N17" t="str">
        <f t="shared" si="4"/>
        <v/>
      </c>
      <c r="O17" t="str">
        <f t="shared" si="5"/>
        <v/>
      </c>
      <c r="P17" t="str">
        <f t="shared" si="6"/>
        <v/>
      </c>
      <c r="Q17" t="str">
        <f t="shared" si="7"/>
        <v/>
      </c>
      <c r="R17" t="str">
        <f t="shared" si="8"/>
        <v/>
      </c>
      <c r="S17" t="str">
        <f>IF(M17="","",IF(L17="C",SUMIFS(Marginal_Model!$J:$J,Marginal_Model!$A:$A,B17,Marginal_Model!$C:$C,K17),IF(L17="T",SUMIFS(Marginal_Model!$K:$K,Marginal_Model!$A:$A,B17,Marginal_Model!$C:$C,K17),IF(L17="PT",SUMIFS(Marginal_Model!$L:$L,Marginal_Model!$A:$A,B17,Marginal_Model!$C:$C,K17),SUMIFS(Marginal_Model!$M:$M,Marginal_Model!$A:$A,B17,Marginal_Model!$C:$C,K17)))))</f>
        <v/>
      </c>
      <c r="T17" t="str">
        <f t="shared" si="9"/>
        <v/>
      </c>
      <c r="U17" t="str">
        <f>IF(M17="","",Inputs!$B$7*R17+Inputs!$B$8*T17)</f>
        <v/>
      </c>
      <c r="V17" t="str">
        <f t="shared" si="10"/>
        <v/>
      </c>
      <c r="W17">
        <f>Inputs!$B$9</f>
        <v>15</v>
      </c>
      <c r="X17" t="str">
        <f t="shared" si="11"/>
        <v/>
      </c>
      <c r="Y17" t="str">
        <f t="shared" si="12"/>
        <v/>
      </c>
      <c r="Z17" t="str">
        <f t="shared" si="13"/>
        <v/>
      </c>
      <c r="AA17" t="str">
        <f>IF(M17="","",Inputs!$B$7*Z17+Inputs!$B$8*T17)</f>
        <v/>
      </c>
      <c r="AB17" t="str">
        <f t="shared" si="14"/>
        <v/>
      </c>
    </row>
    <row r="18" spans="1:28">
      <c r="A18" t="s">
        <v>196</v>
      </c>
      <c r="B18">
        <v>1</v>
      </c>
      <c r="C18">
        <v>2</v>
      </c>
      <c r="D18">
        <v>0.2</v>
      </c>
      <c r="E18">
        <f>IF(B18=1,Inputs!$B$5,Inputs!$B$6)</f>
        <v>4</v>
      </c>
      <c r="F18">
        <f>E18*Inputs!$B$4</f>
        <v>60</v>
      </c>
      <c r="G18">
        <f t="shared" si="0"/>
        <v>30</v>
      </c>
      <c r="H18">
        <f t="shared" si="1"/>
        <v>30</v>
      </c>
      <c r="I18">
        <f t="shared" si="2"/>
        <v>30</v>
      </c>
      <c r="J18">
        <f t="shared" si="3"/>
        <v>0</v>
      </c>
      <c r="K18">
        <v>7</v>
      </c>
      <c r="L18" t="s">
        <v>197</v>
      </c>
      <c r="M18">
        <f>IF(L18="C",E18*COMBIN(Inputs!$B$4,K18),IF(L18="T",(Inputs!$B$4-K18+1)*E18^K18,IF(L18="PT",E18*(Inputs!$B$4-K18+1),IF(AND(L18="E",K18&lt;=E18),Inputs!$B$4*COMBIN(E18,K18),""))))</f>
        <v>25739.999999999996</v>
      </c>
      <c r="N18">
        <f t="shared" si="4"/>
        <v>135.68242640499554</v>
      </c>
      <c r="O18">
        <f t="shared" si="5"/>
        <v>135.68242640499554</v>
      </c>
      <c r="P18">
        <f t="shared" si="6"/>
        <v>135.68242640499554</v>
      </c>
      <c r="Q18">
        <f t="shared" si="7"/>
        <v>1</v>
      </c>
      <c r="R18">
        <f t="shared" si="8"/>
        <v>0</v>
      </c>
      <c r="S18">
        <f>IF(M18="","",IF(L18="C",SUMIFS(Marginal_Model!$J:$J,Marginal_Model!$A:$A,B18,Marginal_Model!$C:$C,K18),IF(L18="T",SUMIFS(Marginal_Model!$K:$K,Marginal_Model!$A:$A,B18,Marginal_Model!$C:$C,K18),IF(L18="PT",SUMIFS(Marginal_Model!$L:$L,Marginal_Model!$A:$A,B18,Marginal_Model!$C:$C,K18),SUMIFS(Marginal_Model!$M:$M,Marginal_Model!$A:$A,B18,Marginal_Model!$C:$C,K18)))))</f>
        <v>6.664821023921581E-5</v>
      </c>
      <c r="T18">
        <f t="shared" si="9"/>
        <v>9.6160823648251519</v>
      </c>
      <c r="U18">
        <f>IF(M18="","",Inputs!$B$7*R18+Inputs!$B$8*T18)</f>
        <v>1.9232164729650298</v>
      </c>
      <c r="V18">
        <f t="shared" si="10"/>
        <v>0.1461361623634298</v>
      </c>
      <c r="W18">
        <f>Inputs!$B$9</f>
        <v>15</v>
      </c>
      <c r="X18">
        <f t="shared" si="11"/>
        <v>0.42888123288935348</v>
      </c>
      <c r="Y18">
        <f t="shared" si="12"/>
        <v>0.34876272984291867</v>
      </c>
      <c r="Z18">
        <f t="shared" si="13"/>
        <v>1.0533634451710172</v>
      </c>
      <c r="AA18">
        <f>IF(M18="","",Inputs!$B$7*Z18+Inputs!$B$8*T18)</f>
        <v>2.7659072291018436</v>
      </c>
      <c r="AB18">
        <f t="shared" si="14"/>
        <v>6.2918991506830654E-2</v>
      </c>
    </row>
    <row r="19" spans="1:28">
      <c r="A19" t="s">
        <v>196</v>
      </c>
      <c r="B19">
        <v>1</v>
      </c>
      <c r="C19">
        <v>2</v>
      </c>
      <c r="D19">
        <v>0.2</v>
      </c>
      <c r="E19">
        <f>IF(B19=1,Inputs!$B$5,Inputs!$B$6)</f>
        <v>4</v>
      </c>
      <c r="F19">
        <f>E19*Inputs!$B$4</f>
        <v>60</v>
      </c>
      <c r="G19">
        <f t="shared" si="0"/>
        <v>30</v>
      </c>
      <c r="H19">
        <f t="shared" si="1"/>
        <v>30</v>
      </c>
      <c r="I19">
        <f t="shared" si="2"/>
        <v>30</v>
      </c>
      <c r="J19">
        <f t="shared" si="3"/>
        <v>0</v>
      </c>
      <c r="K19">
        <v>7</v>
      </c>
      <c r="L19" t="s">
        <v>198</v>
      </c>
      <c r="M19">
        <f>IF(L19="C",E19*COMBIN(Inputs!$B$4,K19),IF(L19="T",(Inputs!$B$4-K19+1)*E19^K19,IF(L19="PT",E19*(Inputs!$B$4-K19+1),IF(AND(L19="E",K19&lt;=E19),Inputs!$B$4*COMBIN(E19,K19),""))))</f>
        <v>147456</v>
      </c>
      <c r="N19">
        <f t="shared" si="4"/>
        <v>777.28002595085559</v>
      </c>
      <c r="O19">
        <f t="shared" si="5"/>
        <v>777.28002595085559</v>
      </c>
      <c r="P19">
        <f t="shared" si="6"/>
        <v>777.28002595085559</v>
      </c>
      <c r="Q19">
        <f t="shared" si="7"/>
        <v>1</v>
      </c>
      <c r="R19">
        <f t="shared" si="8"/>
        <v>0</v>
      </c>
      <c r="S19">
        <f>IF(M19="","",IF(L19="C",SUMIFS(Marginal_Model!$J:$J,Marginal_Model!$A:$A,B19,Marginal_Model!$C:$C,K19),IF(L19="T",SUMIFS(Marginal_Model!$K:$K,Marginal_Model!$A:$A,B19,Marginal_Model!$C:$C,K19),IF(L19="PT",SUMIFS(Marginal_Model!$L:$L,Marginal_Model!$A:$A,B19,Marginal_Model!$C:$C,K19),SUMIFS(Marginal_Model!$M:$M,Marginal_Model!$A:$A,B19,Marginal_Model!$C:$C,K19)))))</f>
        <v>7.272489354374372E-6</v>
      </c>
      <c r="T19">
        <f t="shared" si="9"/>
        <v>11.831411910397394</v>
      </c>
      <c r="U19">
        <f>IF(M19="","",Inputs!$B$7*R19+Inputs!$B$8*T19)</f>
        <v>2.3662823820794783</v>
      </c>
      <c r="V19">
        <f t="shared" si="10"/>
        <v>9.3828898686287021E-2</v>
      </c>
      <c r="W19">
        <f>Inputs!$B$9</f>
        <v>15</v>
      </c>
      <c r="X19">
        <f t="shared" si="11"/>
        <v>2.4569196222584502</v>
      </c>
      <c r="Y19">
        <f t="shared" si="12"/>
        <v>0.9143014713603892</v>
      </c>
      <c r="Z19">
        <f t="shared" si="13"/>
        <v>8.9594924537770293E-2</v>
      </c>
      <c r="AA19">
        <f>IF(M19="","",Inputs!$B$7*Z19+Inputs!$B$8*T19)</f>
        <v>2.4379583217096945</v>
      </c>
      <c r="AB19">
        <f t="shared" si="14"/>
        <v>8.7338987666707391E-2</v>
      </c>
    </row>
    <row r="20" spans="1:28">
      <c r="A20" t="s">
        <v>196</v>
      </c>
      <c r="B20">
        <v>1</v>
      </c>
      <c r="C20">
        <v>2</v>
      </c>
      <c r="D20">
        <v>0.2</v>
      </c>
      <c r="E20">
        <f>IF(B20=1,Inputs!$B$5,Inputs!$B$6)</f>
        <v>4</v>
      </c>
      <c r="F20">
        <f>E20*Inputs!$B$4</f>
        <v>60</v>
      </c>
      <c r="G20">
        <f t="shared" si="0"/>
        <v>30</v>
      </c>
      <c r="H20">
        <f t="shared" si="1"/>
        <v>30</v>
      </c>
      <c r="I20">
        <f t="shared" si="2"/>
        <v>30</v>
      </c>
      <c r="J20">
        <f t="shared" si="3"/>
        <v>0</v>
      </c>
      <c r="K20">
        <v>7</v>
      </c>
      <c r="L20" t="s">
        <v>199</v>
      </c>
      <c r="M20">
        <f>IF(L20="C",E20*COMBIN(Inputs!$B$4,K20),IF(L20="T",(Inputs!$B$4-K20+1)*E20^K20,IF(L20="PT",E20*(Inputs!$B$4-K20+1),IF(AND(L20="E",K20&lt;=E20),Inputs!$B$4*COMBIN(E20,K20),""))))</f>
        <v>36</v>
      </c>
      <c r="N20">
        <f t="shared" si="4"/>
        <v>0.1897656313356581</v>
      </c>
      <c r="O20">
        <f t="shared" si="5"/>
        <v>0.1897656313356581</v>
      </c>
      <c r="P20">
        <f t="shared" si="6"/>
        <v>0.1897656313356581</v>
      </c>
      <c r="Q20">
        <f t="shared" si="7"/>
        <v>0.17284703003529256</v>
      </c>
      <c r="R20">
        <f t="shared" si="8"/>
        <v>1.7553482950861448</v>
      </c>
      <c r="S20">
        <f>IF(M20="","",IF(L20="C",SUMIFS(Marginal_Model!$J:$J,Marginal_Model!$A:$A,B20,Marginal_Model!$C:$C,K20),IF(L20="T",SUMIFS(Marginal_Model!$K:$K,Marginal_Model!$A:$A,B20,Marginal_Model!$C:$C,K20),IF(L20="PT",SUMIFS(Marginal_Model!$L:$L,Marginal_Model!$A:$A,B20,Marginal_Model!$C:$C,K20),SUMIFS(Marginal_Model!$M:$M,Marginal_Model!$A:$A,B20,Marginal_Model!$C:$C,K20)))))</f>
        <v>1.7755100962828057E-9</v>
      </c>
      <c r="T20">
        <f t="shared" si="9"/>
        <v>20.149178077116737</v>
      </c>
      <c r="U20">
        <f>IF(M20="","",Inputs!$B$7*R20+Inputs!$B$8*T20)</f>
        <v>5.4341142514922627</v>
      </c>
      <c r="V20">
        <f t="shared" si="10"/>
        <v>4.3650996898739825E-3</v>
      </c>
      <c r="W20">
        <f>Inputs!$B$9</f>
        <v>15</v>
      </c>
      <c r="X20">
        <f t="shared" si="11"/>
        <v>5.9983389215294194E-4</v>
      </c>
      <c r="Y20">
        <f t="shared" si="12"/>
        <v>5.9965402776851473E-4</v>
      </c>
      <c r="Z20">
        <f t="shared" si="13"/>
        <v>7.4191576894434057</v>
      </c>
      <c r="AA20">
        <f>IF(M20="","",Inputs!$B$7*Z20+Inputs!$B$8*T20)</f>
        <v>9.9651617669780705</v>
      </c>
      <c r="AB20">
        <f t="shared" si="14"/>
        <v>4.7009456847255043E-5</v>
      </c>
    </row>
    <row r="21" spans="1:28">
      <c r="A21" t="s">
        <v>196</v>
      </c>
      <c r="B21">
        <v>1</v>
      </c>
      <c r="C21">
        <v>2</v>
      </c>
      <c r="D21">
        <v>0.2</v>
      </c>
      <c r="E21">
        <f>IF(B21=1,Inputs!$B$5,Inputs!$B$6)</f>
        <v>4</v>
      </c>
      <c r="F21">
        <f>E21*Inputs!$B$4</f>
        <v>60</v>
      </c>
      <c r="G21">
        <f t="shared" si="0"/>
        <v>30</v>
      </c>
      <c r="H21">
        <f t="shared" si="1"/>
        <v>30</v>
      </c>
      <c r="I21">
        <f t="shared" si="2"/>
        <v>30</v>
      </c>
      <c r="J21">
        <f t="shared" si="3"/>
        <v>0</v>
      </c>
      <c r="K21">
        <v>7</v>
      </c>
      <c r="L21" t="s">
        <v>200</v>
      </c>
      <c r="M21" t="str">
        <f>IF(L21="C",E21*COMBIN(Inputs!$B$4,K21),IF(L21="T",(Inputs!$B$4-K21+1)*E21^K21,IF(L21="PT",E21*(Inputs!$B$4-K21+1),IF(AND(L21="E",K21&lt;=E21),Inputs!$B$4*COMBIN(E21,K21),""))))</f>
        <v/>
      </c>
      <c r="N21" t="str">
        <f t="shared" si="4"/>
        <v/>
      </c>
      <c r="O21" t="str">
        <f t="shared" si="5"/>
        <v/>
      </c>
      <c r="P21" t="str">
        <f t="shared" si="6"/>
        <v/>
      </c>
      <c r="Q21" t="str">
        <f t="shared" si="7"/>
        <v/>
      </c>
      <c r="R21" t="str">
        <f t="shared" si="8"/>
        <v/>
      </c>
      <c r="S21" t="str">
        <f>IF(M21="","",IF(L21="C",SUMIFS(Marginal_Model!$J:$J,Marginal_Model!$A:$A,B21,Marginal_Model!$C:$C,K21),IF(L21="T",SUMIFS(Marginal_Model!$K:$K,Marginal_Model!$A:$A,B21,Marginal_Model!$C:$C,K21),IF(L21="PT",SUMIFS(Marginal_Model!$L:$L,Marginal_Model!$A:$A,B21,Marginal_Model!$C:$C,K21),SUMIFS(Marginal_Model!$M:$M,Marginal_Model!$A:$A,B21,Marginal_Model!$C:$C,K21)))))</f>
        <v/>
      </c>
      <c r="T21" t="str">
        <f t="shared" si="9"/>
        <v/>
      </c>
      <c r="U21" t="str">
        <f>IF(M21="","",Inputs!$B$7*R21+Inputs!$B$8*T21)</f>
        <v/>
      </c>
      <c r="V21" t="str">
        <f t="shared" si="10"/>
        <v/>
      </c>
      <c r="W21">
        <f>Inputs!$B$9</f>
        <v>15</v>
      </c>
      <c r="X21" t="str">
        <f t="shared" si="11"/>
        <v/>
      </c>
      <c r="Y21" t="str">
        <f t="shared" si="12"/>
        <v/>
      </c>
      <c r="Z21" t="str">
        <f t="shared" si="13"/>
        <v/>
      </c>
      <c r="AA21" t="str">
        <f>IF(M21="","",Inputs!$B$7*Z21+Inputs!$B$8*T21)</f>
        <v/>
      </c>
      <c r="AB21" t="str">
        <f t="shared" si="14"/>
        <v/>
      </c>
    </row>
    <row r="22" spans="1:28">
      <c r="A22" t="s">
        <v>196</v>
      </c>
      <c r="B22">
        <v>1</v>
      </c>
      <c r="C22">
        <v>2</v>
      </c>
      <c r="D22">
        <v>0.2</v>
      </c>
      <c r="E22">
        <f>IF(B22=1,Inputs!$B$5,Inputs!$B$6)</f>
        <v>4</v>
      </c>
      <c r="F22">
        <f>E22*Inputs!$B$4</f>
        <v>60</v>
      </c>
      <c r="G22">
        <f t="shared" si="0"/>
        <v>30</v>
      </c>
      <c r="H22">
        <f t="shared" si="1"/>
        <v>30</v>
      </c>
      <c r="I22">
        <f t="shared" si="2"/>
        <v>30</v>
      </c>
      <c r="J22">
        <f t="shared" si="3"/>
        <v>0</v>
      </c>
      <c r="K22">
        <v>8</v>
      </c>
      <c r="L22" t="s">
        <v>197</v>
      </c>
      <c r="M22">
        <f>IF(L22="C",E22*COMBIN(Inputs!$B$4,K22),IF(L22="T",(Inputs!$B$4-K22+1)*E22^K22,IF(L22="PT",E22*(Inputs!$B$4-K22+1),IF(AND(L22="E",K22&lt;=E22),Inputs!$B$4*COMBIN(E22,K22),""))))</f>
        <v>25739.999999999996</v>
      </c>
      <c r="N22">
        <f t="shared" si="4"/>
        <v>58.881052968205609</v>
      </c>
      <c r="O22">
        <f t="shared" si="5"/>
        <v>58.881052968205609</v>
      </c>
      <c r="P22">
        <f t="shared" si="6"/>
        <v>58.881052968205609</v>
      </c>
      <c r="Q22">
        <f t="shared" si="7"/>
        <v>1</v>
      </c>
      <c r="R22">
        <f t="shared" si="8"/>
        <v>0</v>
      </c>
      <c r="S22">
        <f>IF(M22="","",IF(L22="C",SUMIFS(Marginal_Model!$J:$J,Marginal_Model!$A:$A,B22,Marginal_Model!$C:$C,K22),IF(L22="T",SUMIFS(Marginal_Model!$K:$K,Marginal_Model!$A:$A,B22,Marginal_Model!$C:$C,K22),IF(L22="PT",SUMIFS(Marginal_Model!$L:$L,Marginal_Model!$A:$A,B22,Marginal_Model!$C:$C,K22),SUMIFS(Marginal_Model!$M:$M,Marginal_Model!$A:$A,B22,Marginal_Model!$C:$C,K22)))))</f>
        <v>1.0060107205919367E-5</v>
      </c>
      <c r="T22">
        <f t="shared" si="9"/>
        <v>11.506932736697438</v>
      </c>
      <c r="U22">
        <f>IF(M22="","",Inputs!$B$7*R22+Inputs!$B$8*T22)</f>
        <v>2.301386547339487</v>
      </c>
      <c r="V22">
        <f t="shared" si="10"/>
        <v>0.10011992641974418</v>
      </c>
      <c r="W22">
        <f>Inputs!$B$9</f>
        <v>15</v>
      </c>
      <c r="X22">
        <f t="shared" si="11"/>
        <v>6.4736789870091085E-2</v>
      </c>
      <c r="Y22">
        <f t="shared" si="12"/>
        <v>6.2685858511162817E-2</v>
      </c>
      <c r="Z22">
        <f t="shared" si="13"/>
        <v>2.769619398868421</v>
      </c>
      <c r="AA22">
        <f>IF(M22="","",Inputs!$B$7*Z22+Inputs!$B$8*T22)</f>
        <v>4.5170820664342237</v>
      </c>
      <c r="AB22">
        <f t="shared" si="14"/>
        <v>1.0920843517741382E-2</v>
      </c>
    </row>
    <row r="23" spans="1:28">
      <c r="A23" t="s">
        <v>196</v>
      </c>
      <c r="B23">
        <v>1</v>
      </c>
      <c r="C23">
        <v>2</v>
      </c>
      <c r="D23">
        <v>0.2</v>
      </c>
      <c r="E23">
        <f>IF(B23=1,Inputs!$B$5,Inputs!$B$6)</f>
        <v>4</v>
      </c>
      <c r="F23">
        <f>E23*Inputs!$B$4</f>
        <v>60</v>
      </c>
      <c r="G23">
        <f t="shared" si="0"/>
        <v>30</v>
      </c>
      <c r="H23">
        <f t="shared" si="1"/>
        <v>30</v>
      </c>
      <c r="I23">
        <f t="shared" si="2"/>
        <v>30</v>
      </c>
      <c r="J23">
        <f t="shared" si="3"/>
        <v>0</v>
      </c>
      <c r="K23">
        <v>8</v>
      </c>
      <c r="L23" t="s">
        <v>198</v>
      </c>
      <c r="M23">
        <f>IF(L23="C",E23*COMBIN(Inputs!$B$4,K23),IF(L23="T",(Inputs!$B$4-K23+1)*E23^K23,IF(L23="PT",E23*(Inputs!$B$4-K23+1),IF(AND(L23="E",K23&lt;=E23),Inputs!$B$4*COMBIN(E23,K23),""))))</f>
        <v>524288</v>
      </c>
      <c r="N23">
        <f t="shared" si="4"/>
        <v>1199.325155345555</v>
      </c>
      <c r="O23">
        <f t="shared" si="5"/>
        <v>1199.325155345555</v>
      </c>
      <c r="P23">
        <f t="shared" si="6"/>
        <v>1199.325155345555</v>
      </c>
      <c r="Q23">
        <f t="shared" si="7"/>
        <v>1</v>
      </c>
      <c r="R23">
        <f t="shared" si="8"/>
        <v>0</v>
      </c>
      <c r="S23">
        <f>IF(M23="","",IF(L23="C",SUMIFS(Marginal_Model!$J:$J,Marginal_Model!$A:$A,B23,Marginal_Model!$C:$C,K23),IF(L23="T",SUMIFS(Marginal_Model!$K:$K,Marginal_Model!$A:$A,B23,Marginal_Model!$C:$C,K23),IF(L23="PT",SUMIFS(Marginal_Model!$L:$L,Marginal_Model!$A:$A,B23,Marginal_Model!$C:$C,K23),SUMIFS(Marginal_Model!$M:$M,Marginal_Model!$A:$A,B23,Marginal_Model!$C:$C,K23)))))</f>
        <v>9.7576377081752583E-7</v>
      </c>
      <c r="T23">
        <f t="shared" si="9"/>
        <v>13.840045317926064</v>
      </c>
      <c r="U23">
        <f>IF(M23="","",Inputs!$B$7*R23+Inputs!$B$8*T23)</f>
        <v>2.7680090635852124</v>
      </c>
      <c r="V23">
        <f t="shared" si="10"/>
        <v>6.2786885082375982E-2</v>
      </c>
      <c r="W23">
        <f>Inputs!$B$9</f>
        <v>15</v>
      </c>
      <c r="X23">
        <f t="shared" si="11"/>
        <v>1.3185983716942626</v>
      </c>
      <c r="Y23">
        <f t="shared" si="12"/>
        <v>0.73249001110889378</v>
      </c>
      <c r="Z23">
        <f t="shared" si="13"/>
        <v>0.31130557489530331</v>
      </c>
      <c r="AA23">
        <f>IF(M23="","",Inputs!$B$7*Z23+Inputs!$B$8*T23)</f>
        <v>3.0170535235014548</v>
      </c>
      <c r="AB23">
        <f t="shared" si="14"/>
        <v>4.8945222052578639E-2</v>
      </c>
    </row>
    <row r="24" spans="1:28">
      <c r="A24" t="s">
        <v>196</v>
      </c>
      <c r="B24">
        <v>1</v>
      </c>
      <c r="C24">
        <v>2</v>
      </c>
      <c r="D24">
        <v>0.2</v>
      </c>
      <c r="E24">
        <f>IF(B24=1,Inputs!$B$5,Inputs!$B$6)</f>
        <v>4</v>
      </c>
      <c r="F24">
        <f>E24*Inputs!$B$4</f>
        <v>60</v>
      </c>
      <c r="G24">
        <f t="shared" si="0"/>
        <v>30</v>
      </c>
      <c r="H24">
        <f t="shared" si="1"/>
        <v>30</v>
      </c>
      <c r="I24">
        <f t="shared" si="2"/>
        <v>30</v>
      </c>
      <c r="J24">
        <f t="shared" si="3"/>
        <v>0</v>
      </c>
      <c r="K24">
        <v>8</v>
      </c>
      <c r="L24" t="s">
        <v>199</v>
      </c>
      <c r="M24">
        <f>IF(L24="C",E24*COMBIN(Inputs!$B$4,K24),IF(L24="T",(Inputs!$B$4-K24+1)*E24^K24,IF(L24="PT",E24*(Inputs!$B$4-K24+1),IF(AND(L24="E",K24&lt;=E24),Inputs!$B$4*COMBIN(E24,K24),""))))</f>
        <v>32</v>
      </c>
      <c r="N24">
        <f t="shared" si="4"/>
        <v>7.3200998251071472E-2</v>
      </c>
      <c r="O24">
        <f t="shared" si="5"/>
        <v>7.3200998251071472E-2</v>
      </c>
      <c r="P24">
        <f t="shared" si="6"/>
        <v>7.3200998251071472E-2</v>
      </c>
      <c r="Q24">
        <f t="shared" si="7"/>
        <v>7.0585999338420358E-2</v>
      </c>
      <c r="R24">
        <f t="shared" si="8"/>
        <v>2.6509234638030028</v>
      </c>
      <c r="S24">
        <f>IF(M24="","",IF(L24="C",SUMIFS(Marginal_Model!$J:$J,Marginal_Model!$A:$A,B24,Marginal_Model!$C:$C,K24),IF(L24="T",SUMIFS(Marginal_Model!$K:$K,Marginal_Model!$A:$A,B24,Marginal_Model!$C:$C,K24),IF(L24="PT",SUMIFS(Marginal_Model!$L:$L,Marginal_Model!$A:$A,B24,Marginal_Model!$C:$C,K24),SUMIFS(Marginal_Model!$M:$M,Marginal_Model!$A:$A,B24,Marginal_Model!$C:$C,K24)))))</f>
        <v>5.9555894214936879E-11</v>
      </c>
      <c r="T24">
        <f t="shared" si="9"/>
        <v>23.544105845765298</v>
      </c>
      <c r="U24">
        <f>IF(M24="","",Inputs!$B$7*R24+Inputs!$B$8*T24)</f>
        <v>6.8295599401954608</v>
      </c>
      <c r="V24">
        <f t="shared" si="10"/>
        <v>1.0813338644861483E-3</v>
      </c>
      <c r="W24">
        <f>Inputs!$B$9</f>
        <v>15</v>
      </c>
      <c r="X24">
        <f t="shared" si="11"/>
        <v>8.0480857647354897E-5</v>
      </c>
      <c r="Y24">
        <f t="shared" si="12"/>
        <v>8.0477619149976753E-5</v>
      </c>
      <c r="Z24">
        <f t="shared" si="13"/>
        <v>9.4275314351769666</v>
      </c>
      <c r="AA24">
        <f>IF(M24="","",Inputs!$B$7*Z24+Inputs!$B$8*T24)</f>
        <v>12.250846317294631</v>
      </c>
      <c r="AB24">
        <f t="shared" si="14"/>
        <v>4.781069377717132E-6</v>
      </c>
    </row>
    <row r="25" spans="1:28">
      <c r="A25" t="s">
        <v>196</v>
      </c>
      <c r="B25">
        <v>1</v>
      </c>
      <c r="C25">
        <v>2</v>
      </c>
      <c r="D25">
        <v>0.2</v>
      </c>
      <c r="E25">
        <f>IF(B25=1,Inputs!$B$5,Inputs!$B$6)</f>
        <v>4</v>
      </c>
      <c r="F25">
        <f>E25*Inputs!$B$4</f>
        <v>60</v>
      </c>
      <c r="G25">
        <f t="shared" si="0"/>
        <v>30</v>
      </c>
      <c r="H25">
        <f t="shared" si="1"/>
        <v>30</v>
      </c>
      <c r="I25">
        <f t="shared" si="2"/>
        <v>30</v>
      </c>
      <c r="J25">
        <f t="shared" si="3"/>
        <v>0</v>
      </c>
      <c r="K25">
        <v>8</v>
      </c>
      <c r="L25" t="s">
        <v>200</v>
      </c>
      <c r="M25" t="str">
        <f>IF(L25="C",E25*COMBIN(Inputs!$B$4,K25),IF(L25="T",(Inputs!$B$4-K25+1)*E25^K25,IF(L25="PT",E25*(Inputs!$B$4-K25+1),IF(AND(L25="E",K25&lt;=E25),Inputs!$B$4*COMBIN(E25,K25),""))))</f>
        <v/>
      </c>
      <c r="N25" t="str">
        <f t="shared" si="4"/>
        <v/>
      </c>
      <c r="O25" t="str">
        <f t="shared" si="5"/>
        <v/>
      </c>
      <c r="P25" t="str">
        <f t="shared" si="6"/>
        <v/>
      </c>
      <c r="Q25" t="str">
        <f t="shared" si="7"/>
        <v/>
      </c>
      <c r="R25" t="str">
        <f t="shared" si="8"/>
        <v/>
      </c>
      <c r="S25" t="str">
        <f>IF(M25="","",IF(L25="C",SUMIFS(Marginal_Model!$J:$J,Marginal_Model!$A:$A,B25,Marginal_Model!$C:$C,K25),IF(L25="T",SUMIFS(Marginal_Model!$K:$K,Marginal_Model!$A:$A,B25,Marginal_Model!$C:$C,K25),IF(L25="PT",SUMIFS(Marginal_Model!$L:$L,Marginal_Model!$A:$A,B25,Marginal_Model!$C:$C,K25),SUMIFS(Marginal_Model!$M:$M,Marginal_Model!$A:$A,B25,Marginal_Model!$C:$C,K25)))))</f>
        <v/>
      </c>
      <c r="T25" t="str">
        <f t="shared" si="9"/>
        <v/>
      </c>
      <c r="U25" t="str">
        <f>IF(M25="","",Inputs!$B$7*R25+Inputs!$B$8*T25)</f>
        <v/>
      </c>
      <c r="V25" t="str">
        <f t="shared" si="10"/>
        <v/>
      </c>
      <c r="W25">
        <f>Inputs!$B$9</f>
        <v>15</v>
      </c>
      <c r="X25" t="str">
        <f t="shared" si="11"/>
        <v/>
      </c>
      <c r="Y25" t="str">
        <f t="shared" si="12"/>
        <v/>
      </c>
      <c r="Z25" t="str">
        <f t="shared" si="13"/>
        <v/>
      </c>
      <c r="AA25" t="str">
        <f>IF(M25="","",Inputs!$B$7*Z25+Inputs!$B$8*T25)</f>
        <v/>
      </c>
      <c r="AB25" t="str">
        <f t="shared" si="14"/>
        <v/>
      </c>
    </row>
    <row r="26" spans="1:28">
      <c r="A26" t="s">
        <v>196</v>
      </c>
      <c r="B26">
        <v>1</v>
      </c>
      <c r="C26">
        <v>2</v>
      </c>
      <c r="D26">
        <v>0.2</v>
      </c>
      <c r="E26">
        <f>IF(B26=1,Inputs!$B$5,Inputs!$B$6)</f>
        <v>4</v>
      </c>
      <c r="F26">
        <f>E26*Inputs!$B$4</f>
        <v>60</v>
      </c>
      <c r="G26">
        <f t="shared" si="0"/>
        <v>30</v>
      </c>
      <c r="H26">
        <f t="shared" si="1"/>
        <v>30</v>
      </c>
      <c r="I26">
        <f t="shared" si="2"/>
        <v>30</v>
      </c>
      <c r="J26">
        <f t="shared" si="3"/>
        <v>0</v>
      </c>
      <c r="K26">
        <v>9</v>
      </c>
      <c r="L26" t="s">
        <v>197</v>
      </c>
      <c r="M26">
        <f>IF(L26="C",E26*COMBIN(Inputs!$B$4,K26),IF(L26="T",(Inputs!$B$4-K26+1)*E26^K26,IF(L26="PT",E26*(Inputs!$B$4-K26+1),IF(AND(L26="E",K26&lt;=E26),Inputs!$B$4*COMBIN(E26,K26),""))))</f>
        <v>20020</v>
      </c>
      <c r="N26">
        <f t="shared" si="4"/>
        <v>19.375389224580481</v>
      </c>
      <c r="O26">
        <f t="shared" si="5"/>
        <v>19.375389224580481</v>
      </c>
      <c r="P26">
        <f t="shared" si="6"/>
        <v>19.375389224580481</v>
      </c>
      <c r="Q26">
        <f t="shared" si="7"/>
        <v>0.99999999615075663</v>
      </c>
      <c r="R26">
        <f t="shared" si="8"/>
        <v>3.849243375900576E-9</v>
      </c>
      <c r="S26">
        <f>IF(M26="","",IF(L26="C",SUMIFS(Marginal_Model!$J:$J,Marginal_Model!$A:$A,B26,Marginal_Model!$C:$C,K26),IF(L26="T",SUMIFS(Marginal_Model!$K:$K,Marginal_Model!$A:$A,B26,Marginal_Model!$C:$C,K26),IF(L26="PT",SUMIFS(Marginal_Model!$L:$L,Marginal_Model!$A:$A,B26,Marginal_Model!$C:$C,K26),SUMIFS(Marginal_Model!$M:$M,Marginal_Model!$A:$A,B26,Marginal_Model!$C:$C,K26)))))</f>
        <v>1.3542452007968379E-6</v>
      </c>
      <c r="T26">
        <f t="shared" si="9"/>
        <v>13.512266306223552</v>
      </c>
      <c r="U26">
        <f>IF(M26="","",Inputs!$B$7*R26+Inputs!$B$8*T26)</f>
        <v>2.7024532643241042</v>
      </c>
      <c r="V26">
        <f t="shared" si="10"/>
        <v>6.7040841926067768E-2</v>
      </c>
      <c r="W26">
        <f>Inputs!$B$9</f>
        <v>15</v>
      </c>
      <c r="X26">
        <f t="shared" si="11"/>
        <v>6.77799722998817E-3</v>
      </c>
      <c r="Y26">
        <f t="shared" si="12"/>
        <v>6.7550784172143441E-3</v>
      </c>
      <c r="Z26">
        <f t="shared" si="13"/>
        <v>4.9974606988713539</v>
      </c>
      <c r="AA26">
        <f>IF(M26="","",Inputs!$B$7*Z26+Inputs!$B$8*T26)</f>
        <v>6.7004218203417931</v>
      </c>
      <c r="AB26">
        <f t="shared" si="14"/>
        <v>1.2303927884881371E-3</v>
      </c>
    </row>
    <row r="27" spans="1:28">
      <c r="A27" t="s">
        <v>196</v>
      </c>
      <c r="B27">
        <v>1</v>
      </c>
      <c r="C27">
        <v>2</v>
      </c>
      <c r="D27">
        <v>0.2</v>
      </c>
      <c r="E27">
        <f>IF(B27=1,Inputs!$B$5,Inputs!$B$6)</f>
        <v>4</v>
      </c>
      <c r="F27">
        <f>E27*Inputs!$B$4</f>
        <v>60</v>
      </c>
      <c r="G27">
        <f t="shared" si="0"/>
        <v>30</v>
      </c>
      <c r="H27">
        <f t="shared" si="1"/>
        <v>30</v>
      </c>
      <c r="I27">
        <f t="shared" si="2"/>
        <v>30</v>
      </c>
      <c r="J27">
        <f t="shared" si="3"/>
        <v>0</v>
      </c>
      <c r="K27">
        <v>9</v>
      </c>
      <c r="L27" t="s">
        <v>198</v>
      </c>
      <c r="M27">
        <f>IF(L27="C",E27*COMBIN(Inputs!$B$4,K27),IF(L27="T",(Inputs!$B$4-K27+1)*E27^K27,IF(L27="PT",E27*(Inputs!$B$4-K27+1),IF(AND(L27="E",K27&lt;=E27),Inputs!$B$4*COMBIN(E27,K27),""))))</f>
        <v>1835008</v>
      </c>
      <c r="N27">
        <f t="shared" si="4"/>
        <v>1775.9237877232256</v>
      </c>
      <c r="O27">
        <f t="shared" si="5"/>
        <v>1775.9237877232256</v>
      </c>
      <c r="P27">
        <f t="shared" si="6"/>
        <v>1775.9237877232256</v>
      </c>
      <c r="Q27">
        <f t="shared" si="7"/>
        <v>1</v>
      </c>
      <c r="R27">
        <f t="shared" si="8"/>
        <v>0</v>
      </c>
      <c r="S27">
        <f>IF(M27="","",IF(L27="C",SUMIFS(Marginal_Model!$J:$J,Marginal_Model!$A:$A,B27,Marginal_Model!$C:$C,K27),IF(L27="T",SUMIFS(Marginal_Model!$K:$K,Marginal_Model!$A:$A,B27,Marginal_Model!$C:$C,K27),IF(L27="PT",SUMIFS(Marginal_Model!$L:$L,Marginal_Model!$A:$A,B27,Marginal_Model!$C:$C,K27),SUMIFS(Marginal_Model!$M:$M,Marginal_Model!$A:$A,B27,Marginal_Model!$C:$C,K27)))))</f>
        <v>1.3135281530235925E-7</v>
      </c>
      <c r="T27">
        <f t="shared" si="9"/>
        <v>15.845378887452178</v>
      </c>
      <c r="U27">
        <f>IF(M27="","",Inputs!$B$7*R27+Inputs!$B$8*T27)</f>
        <v>3.169075777490435</v>
      </c>
      <c r="V27">
        <f t="shared" si="10"/>
        <v>4.2042436519107426E-2</v>
      </c>
      <c r="W27">
        <f>Inputs!$B$9</f>
        <v>15</v>
      </c>
      <c r="X27">
        <f t="shared" si="11"/>
        <v>0.62126269435595061</v>
      </c>
      <c r="Y27">
        <f t="shared" si="12"/>
        <v>0.46273439314242737</v>
      </c>
      <c r="Z27">
        <f t="shared" si="13"/>
        <v>0.77060205442374252</v>
      </c>
      <c r="AA27">
        <f>IF(M27="","",Inputs!$B$7*Z27+Inputs!$B$8*T27)</f>
        <v>3.7855574210294289</v>
      </c>
      <c r="AB27">
        <f t="shared" si="14"/>
        <v>2.2696207906438257E-2</v>
      </c>
    </row>
    <row r="28" spans="1:28">
      <c r="A28" t="s">
        <v>196</v>
      </c>
      <c r="B28">
        <v>1</v>
      </c>
      <c r="C28">
        <v>2</v>
      </c>
      <c r="D28">
        <v>0.2</v>
      </c>
      <c r="E28">
        <f>IF(B28=1,Inputs!$B$5,Inputs!$B$6)</f>
        <v>4</v>
      </c>
      <c r="F28">
        <f>E28*Inputs!$B$4</f>
        <v>60</v>
      </c>
      <c r="G28">
        <f t="shared" si="0"/>
        <v>30</v>
      </c>
      <c r="H28">
        <f t="shared" si="1"/>
        <v>30</v>
      </c>
      <c r="I28">
        <f t="shared" si="2"/>
        <v>30</v>
      </c>
      <c r="J28">
        <f t="shared" si="3"/>
        <v>0</v>
      </c>
      <c r="K28">
        <v>9</v>
      </c>
      <c r="L28" t="s">
        <v>199</v>
      </c>
      <c r="M28">
        <f>IF(L28="C",E28*COMBIN(Inputs!$B$4,K28),IF(L28="T",(Inputs!$B$4-K28+1)*E28^K28,IF(L28="PT",E28*(Inputs!$B$4-K28+1),IF(AND(L28="E",K28&lt;=E28),Inputs!$B$4*COMBIN(E28,K28),""))))</f>
        <v>28</v>
      </c>
      <c r="N28">
        <f t="shared" si="4"/>
        <v>2.7098446467944726E-2</v>
      </c>
      <c r="O28">
        <f t="shared" si="5"/>
        <v>2.7098446467944726E-2</v>
      </c>
      <c r="P28">
        <f t="shared" si="6"/>
        <v>2.7098446467944726E-2</v>
      </c>
      <c r="Q28">
        <f t="shared" si="7"/>
        <v>2.6734577735314402E-2</v>
      </c>
      <c r="R28">
        <f t="shared" si="8"/>
        <v>3.6217975051586015</v>
      </c>
      <c r="S28">
        <f>IF(M28="","",IF(L28="C",SUMIFS(Marginal_Model!$J:$J,Marginal_Model!$A:$A,B28,Marginal_Model!$C:$C,K28),IF(L28="T",SUMIFS(Marginal_Model!$K:$K,Marginal_Model!$A:$A,B28,Marginal_Model!$C:$C,K28),IF(L28="PT",SUMIFS(Marginal_Model!$L:$L,Marginal_Model!$A:$A,B28,Marginal_Model!$C:$C,K28),SUMIFS(Marginal_Model!$M:$M,Marginal_Model!$A:$A,B28,Marginal_Model!$C:$C,K28)))))</f>
        <v>2.004284901464222E-12</v>
      </c>
      <c r="T28">
        <f t="shared" si="9"/>
        <v>26.935733776411304</v>
      </c>
      <c r="U28">
        <f>IF(M28="","",Inputs!$B$7*R28+Inputs!$B$8*T28)</f>
        <v>8.2845847594091406</v>
      </c>
      <c r="V28">
        <f t="shared" si="10"/>
        <v>2.5237745358202478E-4</v>
      </c>
      <c r="W28">
        <f>Inputs!$B$9</f>
        <v>15</v>
      </c>
      <c r="X28">
        <f t="shared" si="11"/>
        <v>9.4797164055778596E-6</v>
      </c>
      <c r="Y28">
        <f t="shared" si="12"/>
        <v>9.4796714732447995E-6</v>
      </c>
      <c r="Z28">
        <f t="shared" si="13"/>
        <v>11.566360897018845</v>
      </c>
      <c r="AA28">
        <f>IF(M28="","",Inputs!$B$7*Z28+Inputs!$B$8*T28)</f>
        <v>14.640235472897336</v>
      </c>
      <c r="AB28">
        <f t="shared" si="14"/>
        <v>4.3835556094972061E-7</v>
      </c>
    </row>
    <row r="29" spans="1:28">
      <c r="A29" t="s">
        <v>196</v>
      </c>
      <c r="B29">
        <v>1</v>
      </c>
      <c r="C29">
        <v>2</v>
      </c>
      <c r="D29">
        <v>0.2</v>
      </c>
      <c r="E29">
        <f>IF(B29=1,Inputs!$B$5,Inputs!$B$6)</f>
        <v>4</v>
      </c>
      <c r="F29">
        <f>E29*Inputs!$B$4</f>
        <v>60</v>
      </c>
      <c r="G29">
        <f t="shared" si="0"/>
        <v>30</v>
      </c>
      <c r="H29">
        <f t="shared" si="1"/>
        <v>30</v>
      </c>
      <c r="I29">
        <f t="shared" si="2"/>
        <v>30</v>
      </c>
      <c r="J29">
        <f t="shared" si="3"/>
        <v>0</v>
      </c>
      <c r="K29">
        <v>9</v>
      </c>
      <c r="L29" t="s">
        <v>200</v>
      </c>
      <c r="M29" t="str">
        <f>IF(L29="C",E29*COMBIN(Inputs!$B$4,K29),IF(L29="T",(Inputs!$B$4-K29+1)*E29^K29,IF(L29="PT",E29*(Inputs!$B$4-K29+1),IF(AND(L29="E",K29&lt;=E29),Inputs!$B$4*COMBIN(E29,K29),""))))</f>
        <v/>
      </c>
      <c r="N29" t="str">
        <f t="shared" si="4"/>
        <v/>
      </c>
      <c r="O29" t="str">
        <f t="shared" si="5"/>
        <v/>
      </c>
      <c r="P29" t="str">
        <f t="shared" si="6"/>
        <v/>
      </c>
      <c r="Q29" t="str">
        <f t="shared" si="7"/>
        <v/>
      </c>
      <c r="R29" t="str">
        <f t="shared" si="8"/>
        <v/>
      </c>
      <c r="S29" t="str">
        <f>IF(M29="","",IF(L29="C",SUMIFS(Marginal_Model!$J:$J,Marginal_Model!$A:$A,B29,Marginal_Model!$C:$C,K29),IF(L29="T",SUMIFS(Marginal_Model!$K:$K,Marginal_Model!$A:$A,B29,Marginal_Model!$C:$C,K29),IF(L29="PT",SUMIFS(Marginal_Model!$L:$L,Marginal_Model!$A:$A,B29,Marginal_Model!$C:$C,K29),SUMIFS(Marginal_Model!$M:$M,Marginal_Model!$A:$A,B29,Marginal_Model!$C:$C,K29)))))</f>
        <v/>
      </c>
      <c r="T29" t="str">
        <f t="shared" si="9"/>
        <v/>
      </c>
      <c r="U29" t="str">
        <f>IF(M29="","",Inputs!$B$7*R29+Inputs!$B$8*T29)</f>
        <v/>
      </c>
      <c r="V29" t="str">
        <f t="shared" si="10"/>
        <v/>
      </c>
      <c r="W29">
        <f>Inputs!$B$9</f>
        <v>15</v>
      </c>
      <c r="X29" t="str">
        <f t="shared" si="11"/>
        <v/>
      </c>
      <c r="Y29" t="str">
        <f t="shared" si="12"/>
        <v/>
      </c>
      <c r="Z29" t="str">
        <f t="shared" si="13"/>
        <v/>
      </c>
      <c r="AA29" t="str">
        <f>IF(M29="","",Inputs!$B$7*Z29+Inputs!$B$8*T29)</f>
        <v/>
      </c>
      <c r="AB29" t="str">
        <f t="shared" si="14"/>
        <v/>
      </c>
    </row>
    <row r="30" spans="1:28">
      <c r="A30" t="s">
        <v>196</v>
      </c>
      <c r="B30">
        <v>1</v>
      </c>
      <c r="C30">
        <v>2</v>
      </c>
      <c r="D30">
        <v>0.2</v>
      </c>
      <c r="E30">
        <f>IF(B30=1,Inputs!$B$5,Inputs!$B$6)</f>
        <v>4</v>
      </c>
      <c r="F30">
        <f>E30*Inputs!$B$4</f>
        <v>60</v>
      </c>
      <c r="G30">
        <f t="shared" si="0"/>
        <v>30</v>
      </c>
      <c r="H30">
        <f t="shared" si="1"/>
        <v>30</v>
      </c>
      <c r="I30">
        <f t="shared" si="2"/>
        <v>30</v>
      </c>
      <c r="J30">
        <f t="shared" si="3"/>
        <v>0</v>
      </c>
      <c r="K30">
        <v>10</v>
      </c>
      <c r="L30" t="s">
        <v>197</v>
      </c>
      <c r="M30">
        <f>IF(L30="C",E30*COMBIN(Inputs!$B$4,K30),IF(L30="T",(Inputs!$B$4-K30+1)*E30^K30,IF(L30="PT",E30*(Inputs!$B$4-K30+1),IF(AND(L30="E",K30&lt;=E30),Inputs!$B$4*COMBIN(E30,K30),""))))</f>
        <v>12012</v>
      </c>
      <c r="N30">
        <f t="shared" si="4"/>
        <v>4.7868608672492936</v>
      </c>
      <c r="O30">
        <f t="shared" si="5"/>
        <v>4.7868608672492936</v>
      </c>
      <c r="P30">
        <f t="shared" si="6"/>
        <v>4.7868608672492936</v>
      </c>
      <c r="Q30">
        <f t="shared" si="7"/>
        <v>0.99166140771186184</v>
      </c>
      <c r="R30">
        <f t="shared" si="8"/>
        <v>8.3735528322806899E-3</v>
      </c>
      <c r="S30">
        <f>IF(M30="","",IF(L30="C",SUMIFS(Marginal_Model!$J:$J,Marginal_Model!$A:$A,B30,Marginal_Model!$C:$C,K30),IF(L30="T",SUMIFS(Marginal_Model!$K:$K,Marginal_Model!$A:$A,B30,Marginal_Model!$C:$C,K30),IF(L30="PT",SUMIFS(Marginal_Model!$L:$L,Marginal_Model!$A:$A,B30,Marginal_Model!$C:$C,K30),SUMIFS(Marginal_Model!$M:$M,Marginal_Model!$A:$A,B30,Marginal_Model!$C:$C,K30)))))</f>
        <v>1.5932296479962799E-7</v>
      </c>
      <c r="T30">
        <f t="shared" si="9"/>
        <v>15.652332469719823</v>
      </c>
      <c r="U30">
        <f>IF(M30="","",Inputs!$B$7*R30+Inputs!$B$8*T30)</f>
        <v>3.1371653362097889</v>
      </c>
      <c r="V30">
        <f t="shared" si="10"/>
        <v>4.3405664141885861E-2</v>
      </c>
      <c r="W30">
        <f>Inputs!$B$9</f>
        <v>15</v>
      </c>
      <c r="X30">
        <f t="shared" si="11"/>
        <v>4.784468632932825E-4</v>
      </c>
      <c r="Y30">
        <f t="shared" si="12"/>
        <v>4.7833242584427449E-4</v>
      </c>
      <c r="Z30">
        <f t="shared" si="13"/>
        <v>7.6452046156301323</v>
      </c>
      <c r="AA30">
        <f>IF(M30="","",Inputs!$B$7*Z30+Inputs!$B$8*T30)</f>
        <v>9.2466301864480691</v>
      </c>
      <c r="AB30">
        <f t="shared" si="14"/>
        <v>9.6436076727323384E-5</v>
      </c>
    </row>
    <row r="31" spans="1:28">
      <c r="A31" t="s">
        <v>196</v>
      </c>
      <c r="B31">
        <v>1</v>
      </c>
      <c r="C31">
        <v>2</v>
      </c>
      <c r="D31">
        <v>0.2</v>
      </c>
      <c r="E31">
        <f>IF(B31=1,Inputs!$B$5,Inputs!$B$6)</f>
        <v>4</v>
      </c>
      <c r="F31">
        <f>E31*Inputs!$B$4</f>
        <v>60</v>
      </c>
      <c r="G31">
        <f t="shared" si="0"/>
        <v>30</v>
      </c>
      <c r="H31">
        <f t="shared" si="1"/>
        <v>30</v>
      </c>
      <c r="I31">
        <f t="shared" si="2"/>
        <v>30</v>
      </c>
      <c r="J31">
        <f t="shared" si="3"/>
        <v>0</v>
      </c>
      <c r="K31">
        <v>10</v>
      </c>
      <c r="L31" t="s">
        <v>198</v>
      </c>
      <c r="M31">
        <f>IF(L31="C",E31*COMBIN(Inputs!$B$4,K31),IF(L31="T",(Inputs!$B$4-K31+1)*E31^K31,IF(L31="PT",E31*(Inputs!$B$4-K31+1),IF(AND(L31="E",K31&lt;=E31),Inputs!$B$4*COMBIN(E31,K31),""))))</f>
        <v>6291456</v>
      </c>
      <c r="N31">
        <f t="shared" si="4"/>
        <v>2507.1865238445534</v>
      </c>
      <c r="O31">
        <f t="shared" si="5"/>
        <v>2507.1865238445534</v>
      </c>
      <c r="P31">
        <f t="shared" si="6"/>
        <v>2507.1865238445534</v>
      </c>
      <c r="Q31">
        <f t="shared" si="7"/>
        <v>1</v>
      </c>
      <c r="R31">
        <f t="shared" si="8"/>
        <v>0</v>
      </c>
      <c r="S31">
        <f>IF(M31="","",IF(L31="C",SUMIFS(Marginal_Model!$J:$J,Marginal_Model!$A:$A,B31,Marginal_Model!$C:$C,K31),IF(L31="T",SUMIFS(Marginal_Model!$K:$K,Marginal_Model!$A:$A,B31,Marginal_Model!$C:$C,K31),IF(L31="PT",SUMIFS(Marginal_Model!$L:$L,Marginal_Model!$A:$A,B31,Marginal_Model!$C:$C,K31),SUMIFS(Marginal_Model!$M:$M,Marginal_Model!$A:$A,B31,Marginal_Model!$C:$C,K31)))))</f>
        <v>1.7660882729728973E-8</v>
      </c>
      <c r="T31">
        <f t="shared" si="9"/>
        <v>17.851913658323927</v>
      </c>
      <c r="U31">
        <f>IF(M31="","",Inputs!$B$7*R31+Inputs!$B$8*T31)</f>
        <v>3.5703827316647847</v>
      </c>
      <c r="V31">
        <f t="shared" si="10"/>
        <v>2.8145079605468925E-2</v>
      </c>
      <c r="W31">
        <f>Inputs!$B$9</f>
        <v>15</v>
      </c>
      <c r="X31">
        <f t="shared" si="11"/>
        <v>0.25059335570660191</v>
      </c>
      <c r="Y31">
        <f t="shared" si="12"/>
        <v>0.22166118574806515</v>
      </c>
      <c r="Z31">
        <f t="shared" si="13"/>
        <v>1.5066052532486622</v>
      </c>
      <c r="AA31">
        <f>IF(M31="","",Inputs!$B$7*Z31+Inputs!$B$8*T31)</f>
        <v>4.7756669342637146</v>
      </c>
      <c r="AB31">
        <f t="shared" si="14"/>
        <v>8.4324583162718163E-3</v>
      </c>
    </row>
    <row r="32" spans="1:28">
      <c r="A32" t="s">
        <v>196</v>
      </c>
      <c r="B32">
        <v>1</v>
      </c>
      <c r="C32">
        <v>2</v>
      </c>
      <c r="D32">
        <v>0.2</v>
      </c>
      <c r="E32">
        <f>IF(B32=1,Inputs!$B$5,Inputs!$B$6)</f>
        <v>4</v>
      </c>
      <c r="F32">
        <f>E32*Inputs!$B$4</f>
        <v>60</v>
      </c>
      <c r="G32">
        <f t="shared" si="0"/>
        <v>30</v>
      </c>
      <c r="H32">
        <f t="shared" si="1"/>
        <v>30</v>
      </c>
      <c r="I32">
        <f t="shared" si="2"/>
        <v>30</v>
      </c>
      <c r="J32">
        <f t="shared" si="3"/>
        <v>0</v>
      </c>
      <c r="K32">
        <v>10</v>
      </c>
      <c r="L32" t="s">
        <v>199</v>
      </c>
      <c r="M32">
        <f>IF(L32="C",E32*COMBIN(Inputs!$B$4,K32),IF(L32="T",(Inputs!$B$4-K32+1)*E32^K32,IF(L32="PT",E32*(Inputs!$B$4-K32+1),IF(AND(L32="E",K32&lt;=E32),Inputs!$B$4*COMBIN(E32,K32),""))))</f>
        <v>24</v>
      </c>
      <c r="N32">
        <f t="shared" si="4"/>
        <v>9.5641575769216669E-3</v>
      </c>
      <c r="O32">
        <f t="shared" si="5"/>
        <v>9.5641575769216669E-3</v>
      </c>
      <c r="P32">
        <f t="shared" si="6"/>
        <v>9.5641575769216669E-3</v>
      </c>
      <c r="Q32">
        <f t="shared" si="7"/>
        <v>9.5185664844106288E-3</v>
      </c>
      <c r="R32">
        <f t="shared" si="8"/>
        <v>4.6545110208857059</v>
      </c>
      <c r="S32">
        <f>IF(M32="","",IF(L32="C",SUMIFS(Marginal_Model!$J:$J,Marginal_Model!$A:$A,B32,Marginal_Model!$C:$C,K32),IF(L32="T",SUMIFS(Marginal_Model!$K:$K,Marginal_Model!$A:$A,B32,Marginal_Model!$C:$C,K32),IF(L32="PT",SUMIFS(Marginal_Model!$L:$L,Marginal_Model!$A:$A,B32,Marginal_Model!$C:$C,K32),SUMIFS(Marginal_Model!$M:$M,Marginal_Model!$A:$A,B32,Marginal_Model!$C:$C,K32)))))</f>
        <v>6.7370921057620899E-14</v>
      </c>
      <c r="T32">
        <f t="shared" si="9"/>
        <v>30.32856290840294</v>
      </c>
      <c r="U32">
        <f>IF(M32="","",Inputs!$B$7*R32+Inputs!$B$8*T32)</f>
        <v>9.7893213983891521</v>
      </c>
      <c r="V32">
        <f t="shared" si="10"/>
        <v>5.6046917898435298E-5</v>
      </c>
      <c r="W32">
        <f>Inputs!$B$9</f>
        <v>15</v>
      </c>
      <c r="X32">
        <f t="shared" si="11"/>
        <v>9.5593778879776728E-7</v>
      </c>
      <c r="Y32">
        <f t="shared" si="12"/>
        <v>9.5593733184795582E-7</v>
      </c>
      <c r="Z32">
        <f t="shared" si="13"/>
        <v>13.860573478503964</v>
      </c>
      <c r="AA32">
        <f>IF(M32="","",Inputs!$B$7*Z32+Inputs!$B$8*T32)</f>
        <v>17.154171364483759</v>
      </c>
      <c r="AB32">
        <f t="shared" si="14"/>
        <v>3.5484446455552813E-8</v>
      </c>
    </row>
    <row r="33" spans="1:28">
      <c r="A33" t="s">
        <v>196</v>
      </c>
      <c r="B33">
        <v>1</v>
      </c>
      <c r="C33">
        <v>2</v>
      </c>
      <c r="D33">
        <v>0.2</v>
      </c>
      <c r="E33">
        <f>IF(B33=1,Inputs!$B$5,Inputs!$B$6)</f>
        <v>4</v>
      </c>
      <c r="F33">
        <f>E33*Inputs!$B$4</f>
        <v>60</v>
      </c>
      <c r="G33">
        <f t="shared" si="0"/>
        <v>30</v>
      </c>
      <c r="H33">
        <f t="shared" si="1"/>
        <v>30</v>
      </c>
      <c r="I33">
        <f t="shared" si="2"/>
        <v>30</v>
      </c>
      <c r="J33">
        <f t="shared" si="3"/>
        <v>0</v>
      </c>
      <c r="K33">
        <v>10</v>
      </c>
      <c r="L33" t="s">
        <v>200</v>
      </c>
      <c r="M33" t="str">
        <f>IF(L33="C",E33*COMBIN(Inputs!$B$4,K33),IF(L33="T",(Inputs!$B$4-K33+1)*E33^K33,IF(L33="PT",E33*(Inputs!$B$4-K33+1),IF(AND(L33="E",K33&lt;=E33),Inputs!$B$4*COMBIN(E33,K33),""))))</f>
        <v/>
      </c>
      <c r="N33" t="str">
        <f t="shared" si="4"/>
        <v/>
      </c>
      <c r="O33" t="str">
        <f t="shared" si="5"/>
        <v/>
      </c>
      <c r="P33" t="str">
        <f t="shared" si="6"/>
        <v/>
      </c>
      <c r="Q33" t="str">
        <f t="shared" si="7"/>
        <v/>
      </c>
      <c r="R33" t="str">
        <f t="shared" si="8"/>
        <v/>
      </c>
      <c r="S33" t="str">
        <f>IF(M33="","",IF(L33="C",SUMIFS(Marginal_Model!$J:$J,Marginal_Model!$A:$A,B33,Marginal_Model!$C:$C,K33),IF(L33="T",SUMIFS(Marginal_Model!$K:$K,Marginal_Model!$A:$A,B33,Marginal_Model!$C:$C,K33),IF(L33="PT",SUMIFS(Marginal_Model!$L:$L,Marginal_Model!$A:$A,B33,Marginal_Model!$C:$C,K33),SUMIFS(Marginal_Model!$M:$M,Marginal_Model!$A:$A,B33,Marginal_Model!$C:$C,K33)))))</f>
        <v/>
      </c>
      <c r="T33" t="str">
        <f t="shared" si="9"/>
        <v/>
      </c>
      <c r="U33" t="str">
        <f>IF(M33="","",Inputs!$B$7*R33+Inputs!$B$8*T33)</f>
        <v/>
      </c>
      <c r="V33" t="str">
        <f t="shared" si="10"/>
        <v/>
      </c>
      <c r="W33">
        <f>Inputs!$B$9</f>
        <v>15</v>
      </c>
      <c r="X33" t="str">
        <f t="shared" si="11"/>
        <v/>
      </c>
      <c r="Y33" t="str">
        <f t="shared" si="12"/>
        <v/>
      </c>
      <c r="Z33" t="str">
        <f t="shared" si="13"/>
        <v/>
      </c>
      <c r="AA33" t="str">
        <f>IF(M33="","",Inputs!$B$7*Z33+Inputs!$B$8*T33)</f>
        <v/>
      </c>
      <c r="AB33" t="str">
        <f t="shared" si="14"/>
        <v/>
      </c>
    </row>
    <row r="34" spans="1:28">
      <c r="A34" t="s">
        <v>196</v>
      </c>
      <c r="B34">
        <v>1</v>
      </c>
      <c r="C34">
        <v>2</v>
      </c>
      <c r="D34">
        <v>0.2</v>
      </c>
      <c r="E34">
        <f>IF(B34=1,Inputs!$B$5,Inputs!$B$6)</f>
        <v>4</v>
      </c>
      <c r="F34">
        <f>E34*Inputs!$B$4</f>
        <v>60</v>
      </c>
      <c r="G34">
        <f t="shared" si="0"/>
        <v>30</v>
      </c>
      <c r="H34">
        <f t="shared" si="1"/>
        <v>30</v>
      </c>
      <c r="I34">
        <f t="shared" si="2"/>
        <v>30</v>
      </c>
      <c r="J34">
        <f t="shared" si="3"/>
        <v>0</v>
      </c>
      <c r="K34">
        <v>11</v>
      </c>
      <c r="L34" t="s">
        <v>197</v>
      </c>
      <c r="M34">
        <f>IF(L34="C",E34*COMBIN(Inputs!$B$4,K34),IF(L34="T",(Inputs!$B$4-K34+1)*E34^K34,IF(L34="PT",E34*(Inputs!$B$4-K34+1),IF(AND(L34="E",K34&lt;=E34),Inputs!$B$4*COMBIN(E34,K34),""))))</f>
        <v>5460</v>
      </c>
      <c r="N34">
        <f t="shared" si="4"/>
        <v>0.87033833949987172</v>
      </c>
      <c r="O34">
        <f t="shared" si="5"/>
        <v>0.87033833949987172</v>
      </c>
      <c r="P34">
        <f t="shared" si="6"/>
        <v>0.87033833949987172</v>
      </c>
      <c r="Q34">
        <f t="shared" si="7"/>
        <v>0.58119017463325851</v>
      </c>
      <c r="R34">
        <f t="shared" si="8"/>
        <v>0.54267725273988543</v>
      </c>
      <c r="S34">
        <f>IF(M34="","",IF(L34="C",SUMIFS(Marginal_Model!$J:$J,Marginal_Model!$A:$A,B34,Marginal_Model!$C:$C,K34),IF(L34="T",SUMIFS(Marginal_Model!$K:$K,Marginal_Model!$A:$A,B34,Marginal_Model!$C:$C,K34),IF(L34="PT",SUMIFS(Marginal_Model!$L:$L,Marginal_Model!$A:$A,B34,Marginal_Model!$C:$C,K34),SUMIFS(Marginal_Model!$M:$M,Marginal_Model!$A:$A,B34,Marginal_Model!$C:$C,K34)))))</f>
        <v>1.5932296479962801E-8</v>
      </c>
      <c r="T34">
        <f t="shared" si="9"/>
        <v>17.95491756271387</v>
      </c>
      <c r="U34">
        <f>IF(M34="","",Inputs!$B$7*R34+Inputs!$B$8*T34)</f>
        <v>4.0251253147346819</v>
      </c>
      <c r="V34">
        <f t="shared" si="10"/>
        <v>1.7861185743311567E-2</v>
      </c>
      <c r="W34">
        <f>Inputs!$B$9</f>
        <v>15</v>
      </c>
      <c r="X34">
        <f t="shared" si="11"/>
        <v>2.1747584695149204E-5</v>
      </c>
      <c r="Y34">
        <f t="shared" si="12"/>
        <v>2.1747348218137397E-5</v>
      </c>
      <c r="Z34">
        <f t="shared" si="13"/>
        <v>10.736018728867728</v>
      </c>
      <c r="AA34">
        <f>IF(M34="","",Inputs!$B$7*Z34+Inputs!$B$8*T34)</f>
        <v>12.179798495636955</v>
      </c>
      <c r="AB34">
        <f t="shared" si="14"/>
        <v>5.1331117915367361E-6</v>
      </c>
    </row>
    <row r="35" spans="1:28">
      <c r="A35" t="s">
        <v>196</v>
      </c>
      <c r="B35">
        <v>1</v>
      </c>
      <c r="C35">
        <v>2</v>
      </c>
      <c r="D35">
        <v>0.2</v>
      </c>
      <c r="E35">
        <f>IF(B35=1,Inputs!$B$5,Inputs!$B$6)</f>
        <v>4</v>
      </c>
      <c r="F35">
        <f>E35*Inputs!$B$4</f>
        <v>60</v>
      </c>
      <c r="G35">
        <f t="shared" si="0"/>
        <v>30</v>
      </c>
      <c r="H35">
        <f t="shared" si="1"/>
        <v>30</v>
      </c>
      <c r="I35">
        <f t="shared" si="2"/>
        <v>30</v>
      </c>
      <c r="J35">
        <f t="shared" si="3"/>
        <v>0</v>
      </c>
      <c r="K35">
        <v>11</v>
      </c>
      <c r="L35" t="s">
        <v>198</v>
      </c>
      <c r="M35">
        <f>IF(L35="C",E35*COMBIN(Inputs!$B$4,K35),IF(L35="T",(Inputs!$B$4-K35+1)*E35^K35,IF(L35="PT",E35*(Inputs!$B$4-K35+1),IF(AND(L35="E",K35&lt;=E35),Inputs!$B$4*COMBIN(E35,K35),""))))</f>
        <v>20971520</v>
      </c>
      <c r="N35">
        <f t="shared" si="4"/>
        <v>3342.9153651260713</v>
      </c>
      <c r="O35">
        <f t="shared" si="5"/>
        <v>3342.9153651260713</v>
      </c>
      <c r="P35">
        <f t="shared" si="6"/>
        <v>3342.9153651260713</v>
      </c>
      <c r="Q35">
        <f t="shared" si="7"/>
        <v>1</v>
      </c>
      <c r="R35">
        <f t="shared" si="8"/>
        <v>0</v>
      </c>
      <c r="S35">
        <f>IF(M35="","",IF(L35="C",SUMIFS(Marginal_Model!$J:$J,Marginal_Model!$A:$A,B35,Marginal_Model!$C:$C,K35),IF(L35="T",SUMIFS(Marginal_Model!$K:$K,Marginal_Model!$A:$A,B35,Marginal_Model!$C:$C,K35),IF(L35="PT",SUMIFS(Marginal_Model!$L:$L,Marginal_Model!$A:$A,B35,Marginal_Model!$C:$C,K35),SUMIFS(Marginal_Model!$M:$M,Marginal_Model!$A:$A,B35,Marginal_Model!$C:$C,K35)))))</f>
        <v>2.3547843639638631E-9</v>
      </c>
      <c r="T35">
        <f t="shared" si="9"/>
        <v>19.86681667886619</v>
      </c>
      <c r="U35">
        <f>IF(M35="","",Inputs!$B$7*R35+Inputs!$B$8*T35)</f>
        <v>3.9733633357732372</v>
      </c>
      <c r="V35">
        <f t="shared" si="10"/>
        <v>1.8810062071145439E-2</v>
      </c>
      <c r="W35">
        <f>Inputs!$B$9</f>
        <v>15</v>
      </c>
      <c r="X35">
        <f t="shared" si="11"/>
        <v>8.3531118568867302E-2</v>
      </c>
      <c r="Y35">
        <f t="shared" si="12"/>
        <v>8.0137538577503831E-2</v>
      </c>
      <c r="Z35">
        <f t="shared" si="13"/>
        <v>2.5240108882774708</v>
      </c>
      <c r="AA35">
        <f>IF(M35="","",Inputs!$B$7*Z35+Inputs!$B$8*T35)</f>
        <v>5.9925720463952139</v>
      </c>
      <c r="AB35">
        <f t="shared" si="14"/>
        <v>2.4972327844094123E-3</v>
      </c>
    </row>
    <row r="36" spans="1:28">
      <c r="A36" t="s">
        <v>196</v>
      </c>
      <c r="B36">
        <v>1</v>
      </c>
      <c r="C36">
        <v>2</v>
      </c>
      <c r="D36">
        <v>0.2</v>
      </c>
      <c r="E36">
        <f>IF(B36=1,Inputs!$B$5,Inputs!$B$6)</f>
        <v>4</v>
      </c>
      <c r="F36">
        <f>E36*Inputs!$B$4</f>
        <v>60</v>
      </c>
      <c r="G36">
        <f t="shared" si="0"/>
        <v>30</v>
      </c>
      <c r="H36">
        <f t="shared" si="1"/>
        <v>30</v>
      </c>
      <c r="I36">
        <f t="shared" si="2"/>
        <v>30</v>
      </c>
      <c r="J36">
        <f t="shared" si="3"/>
        <v>0</v>
      </c>
      <c r="K36">
        <v>11</v>
      </c>
      <c r="L36" t="s">
        <v>199</v>
      </c>
      <c r="M36">
        <f>IF(L36="C",E36*COMBIN(Inputs!$B$4,K36),IF(L36="T",(Inputs!$B$4-K36+1)*E36^K36,IF(L36="PT",E36*(Inputs!$B$4-K36+1),IF(AND(L36="E",K36&lt;=E36),Inputs!$B$4*COMBIN(E36,K36),""))))</f>
        <v>20</v>
      </c>
      <c r="N36">
        <f t="shared" si="4"/>
        <v>3.1880525256405556E-3</v>
      </c>
      <c r="O36">
        <f t="shared" si="5"/>
        <v>3.1880525256405556E-3</v>
      </c>
      <c r="P36">
        <f t="shared" si="6"/>
        <v>3.1880525256405556E-3</v>
      </c>
      <c r="Q36">
        <f t="shared" si="7"/>
        <v>3.1829760822763564E-3</v>
      </c>
      <c r="R36">
        <f t="shared" si="8"/>
        <v>5.7499386449182808</v>
      </c>
      <c r="S36">
        <f>IF(M36="","",IF(L36="C",SUMIFS(Marginal_Model!$J:$J,Marginal_Model!$A:$A,B36,Marginal_Model!$C:$C,K36),IF(L36="T",SUMIFS(Marginal_Model!$K:$K,Marginal_Model!$A:$A,B36,Marginal_Model!$C:$C,K36),IF(L36="PT",SUMIFS(Marginal_Model!$L:$L,Marginal_Model!$A:$A,B36,Marginal_Model!$C:$C,K36),SUMIFS(Marginal_Model!$M:$M,Marginal_Model!$A:$A,B36,Marginal_Model!$C:$C,K36)))))</f>
        <v>2.2456973685873634E-15</v>
      </c>
      <c r="T36">
        <f t="shared" si="9"/>
        <v>33.729760290065094</v>
      </c>
      <c r="U36">
        <f>IF(M36="","",Inputs!$B$7*R36+Inputs!$B$8*T36)</f>
        <v>11.345902973947641</v>
      </c>
      <c r="V36">
        <f t="shared" si="10"/>
        <v>1.18178084446913E-5</v>
      </c>
      <c r="W36">
        <f>Inputs!$B$9</f>
        <v>15</v>
      </c>
      <c r="X36">
        <f t="shared" si="11"/>
        <v>7.966148239981394E-8</v>
      </c>
      <c r="Y36">
        <f t="shared" si="12"/>
        <v>7.9661479190917817E-8</v>
      </c>
      <c r="Z36">
        <f t="shared" si="13"/>
        <v>16.345479690561422</v>
      </c>
      <c r="AA36">
        <f>IF(M36="","",Inputs!$B$7*Z36+Inputs!$B$8*T36)</f>
        <v>19.822335810462157</v>
      </c>
      <c r="AB36">
        <f t="shared" si="14"/>
        <v>2.4618916712368652E-9</v>
      </c>
    </row>
    <row r="37" spans="1:28">
      <c r="A37" t="s">
        <v>196</v>
      </c>
      <c r="B37">
        <v>1</v>
      </c>
      <c r="C37">
        <v>2</v>
      </c>
      <c r="D37">
        <v>0.2</v>
      </c>
      <c r="E37">
        <f>IF(B37=1,Inputs!$B$5,Inputs!$B$6)</f>
        <v>4</v>
      </c>
      <c r="F37">
        <f>E37*Inputs!$B$4</f>
        <v>60</v>
      </c>
      <c r="G37">
        <f t="shared" si="0"/>
        <v>30</v>
      </c>
      <c r="H37">
        <f t="shared" si="1"/>
        <v>30</v>
      </c>
      <c r="I37">
        <f t="shared" si="2"/>
        <v>30</v>
      </c>
      <c r="J37">
        <f t="shared" si="3"/>
        <v>0</v>
      </c>
      <c r="K37">
        <v>11</v>
      </c>
      <c r="L37" t="s">
        <v>200</v>
      </c>
      <c r="M37" t="str">
        <f>IF(L37="C",E37*COMBIN(Inputs!$B$4,K37),IF(L37="T",(Inputs!$B$4-K37+1)*E37^K37,IF(L37="PT",E37*(Inputs!$B$4-K37+1),IF(AND(L37="E",K37&lt;=E37),Inputs!$B$4*COMBIN(E37,K37),""))))</f>
        <v/>
      </c>
      <c r="N37" t="str">
        <f t="shared" si="4"/>
        <v/>
      </c>
      <c r="O37" t="str">
        <f t="shared" si="5"/>
        <v/>
      </c>
      <c r="P37" t="str">
        <f t="shared" si="6"/>
        <v/>
      </c>
      <c r="Q37" t="str">
        <f t="shared" si="7"/>
        <v/>
      </c>
      <c r="R37" t="str">
        <f t="shared" si="8"/>
        <v/>
      </c>
      <c r="S37" t="str">
        <f>IF(M37="","",IF(L37="C",SUMIFS(Marginal_Model!$J:$J,Marginal_Model!$A:$A,B37,Marginal_Model!$C:$C,K37),IF(L37="T",SUMIFS(Marginal_Model!$K:$K,Marginal_Model!$A:$A,B37,Marginal_Model!$C:$C,K37),IF(L37="PT",SUMIFS(Marginal_Model!$L:$L,Marginal_Model!$A:$A,B37,Marginal_Model!$C:$C,K37),SUMIFS(Marginal_Model!$M:$M,Marginal_Model!$A:$A,B37,Marginal_Model!$C:$C,K37)))))</f>
        <v/>
      </c>
      <c r="T37" t="str">
        <f t="shared" si="9"/>
        <v/>
      </c>
      <c r="U37" t="str">
        <f>IF(M37="","",Inputs!$B$7*R37+Inputs!$B$8*T37)</f>
        <v/>
      </c>
      <c r="V37" t="str">
        <f t="shared" si="10"/>
        <v/>
      </c>
      <c r="W37">
        <f>Inputs!$B$9</f>
        <v>15</v>
      </c>
      <c r="X37" t="str">
        <f t="shared" si="11"/>
        <v/>
      </c>
      <c r="Y37" t="str">
        <f t="shared" si="12"/>
        <v/>
      </c>
      <c r="Z37" t="str">
        <f t="shared" si="13"/>
        <v/>
      </c>
      <c r="AA37" t="str">
        <f>IF(M37="","",Inputs!$B$7*Z37+Inputs!$B$8*T37)</f>
        <v/>
      </c>
      <c r="AB37" t="str">
        <f t="shared" si="14"/>
        <v/>
      </c>
    </row>
    <row r="38" spans="1:28">
      <c r="A38" t="s">
        <v>196</v>
      </c>
      <c r="B38">
        <v>1</v>
      </c>
      <c r="C38">
        <v>2</v>
      </c>
      <c r="D38">
        <v>0.2</v>
      </c>
      <c r="E38">
        <f>IF(B38=1,Inputs!$B$5,Inputs!$B$6)</f>
        <v>4</v>
      </c>
      <c r="F38">
        <f>E38*Inputs!$B$4</f>
        <v>60</v>
      </c>
      <c r="G38">
        <f t="shared" si="0"/>
        <v>30</v>
      </c>
      <c r="H38">
        <f t="shared" si="1"/>
        <v>30</v>
      </c>
      <c r="I38">
        <f t="shared" si="2"/>
        <v>30</v>
      </c>
      <c r="J38">
        <f t="shared" si="3"/>
        <v>0</v>
      </c>
      <c r="K38">
        <v>12</v>
      </c>
      <c r="L38" t="s">
        <v>197</v>
      </c>
      <c r="M38">
        <f>IF(L38="C",E38*COMBIN(Inputs!$B$4,K38),IF(L38="T",(Inputs!$B$4-K38+1)*E38^K38,IF(L38="PT",E38*(Inputs!$B$4-K38+1),IF(AND(L38="E",K38&lt;=E38),Inputs!$B$4*COMBIN(E38,K38),""))))</f>
        <v>1820.0000000000002</v>
      </c>
      <c r="N38">
        <f t="shared" si="4"/>
        <v>0.11249271054760247</v>
      </c>
      <c r="O38">
        <f t="shared" si="5"/>
        <v>0.11249271054760247</v>
      </c>
      <c r="P38">
        <f t="shared" si="6"/>
        <v>0.11249271054760247</v>
      </c>
      <c r="Q38">
        <f t="shared" si="7"/>
        <v>0.10639613903241885</v>
      </c>
      <c r="R38">
        <f t="shared" si="8"/>
        <v>2.2405859900222893</v>
      </c>
      <c r="S38">
        <f>IF(M38="","",IF(L38="C",SUMIFS(Marginal_Model!$J:$J,Marginal_Model!$A:$A,B38,Marginal_Model!$C:$C,K38),IF(L38="T",SUMIFS(Marginal_Model!$K:$K,Marginal_Model!$A:$A,B38,Marginal_Model!$C:$C,K38),IF(L38="PT",SUMIFS(Marginal_Model!$L:$L,Marginal_Model!$A:$A,B38,Marginal_Model!$C:$C,K38),SUMIFS(Marginal_Model!$M:$M,Marginal_Model!$A:$A,B38,Marginal_Model!$C:$C,K38)))))</f>
        <v>1.3005956310173714E-9</v>
      </c>
      <c r="T38">
        <f t="shared" si="9"/>
        <v>20.460443499704606</v>
      </c>
      <c r="U38">
        <f>IF(M38="","",Inputs!$B$7*R38+Inputs!$B$8*T38)</f>
        <v>5.884557491958752</v>
      </c>
      <c r="V38">
        <f t="shared" si="10"/>
        <v>2.7820770444453875E-3</v>
      </c>
      <c r="W38">
        <f>Inputs!$B$9</f>
        <v>15</v>
      </c>
      <c r="X38">
        <f t="shared" si="11"/>
        <v>5.9177101211290354E-7</v>
      </c>
      <c r="Y38">
        <f t="shared" si="12"/>
        <v>5.9177083699957223E-7</v>
      </c>
      <c r="Z38">
        <f t="shared" si="13"/>
        <v>14.340146376667706</v>
      </c>
      <c r="AA38">
        <f>IF(M38="","",Inputs!$B$7*Z38+Inputs!$B$8*T38)</f>
        <v>15.564205801275087</v>
      </c>
      <c r="AB38">
        <f t="shared" si="14"/>
        <v>1.740008241454342E-7</v>
      </c>
    </row>
    <row r="39" spans="1:28">
      <c r="A39" t="s">
        <v>196</v>
      </c>
      <c r="B39">
        <v>1</v>
      </c>
      <c r="C39">
        <v>2</v>
      </c>
      <c r="D39">
        <v>0.2</v>
      </c>
      <c r="E39">
        <f>IF(B39=1,Inputs!$B$5,Inputs!$B$6)</f>
        <v>4</v>
      </c>
      <c r="F39">
        <f>E39*Inputs!$B$4</f>
        <v>60</v>
      </c>
      <c r="G39">
        <f t="shared" si="0"/>
        <v>30</v>
      </c>
      <c r="H39">
        <f t="shared" si="1"/>
        <v>30</v>
      </c>
      <c r="I39">
        <f t="shared" si="2"/>
        <v>30</v>
      </c>
      <c r="J39">
        <f t="shared" si="3"/>
        <v>0</v>
      </c>
      <c r="K39">
        <v>12</v>
      </c>
      <c r="L39" t="s">
        <v>198</v>
      </c>
      <c r="M39">
        <f>IF(L39="C",E39*COMBIN(Inputs!$B$4,K39),IF(L39="T",(Inputs!$B$4-K39+1)*E39^K39,IF(L39="PT",E39*(Inputs!$B$4-K39+1),IF(AND(L39="E",K39&lt;=E39),Inputs!$B$4*COMBIN(E39,K39),""))))</f>
        <v>67108864</v>
      </c>
      <c r="N39">
        <f t="shared" si="4"/>
        <v>4147.9439632584717</v>
      </c>
      <c r="O39">
        <f t="shared" si="5"/>
        <v>4147.9439632584717</v>
      </c>
      <c r="P39">
        <f t="shared" si="6"/>
        <v>4147.9439632584717</v>
      </c>
      <c r="Q39">
        <f t="shared" si="7"/>
        <v>1</v>
      </c>
      <c r="R39">
        <f t="shared" si="8"/>
        <v>0</v>
      </c>
      <c r="S39">
        <f>IF(M39="","",IF(L39="C",SUMIFS(Marginal_Model!$J:$J,Marginal_Model!$A:$A,B39,Marginal_Model!$C:$C,K39),IF(L39="T",SUMIFS(Marginal_Model!$K:$K,Marginal_Model!$A:$A,B39,Marginal_Model!$C:$C,K39),IF(L39="PT",SUMIFS(Marginal_Model!$L:$L,Marginal_Model!$A:$A,B39,Marginal_Model!$C:$C,K39),SUMIFS(Marginal_Model!$M:$M,Marginal_Model!$A:$A,B39,Marginal_Model!$C:$C,K39)))))</f>
        <v>3.0756367202793319E-10</v>
      </c>
      <c r="T39">
        <f t="shared" si="9"/>
        <v>21.902338986611191</v>
      </c>
      <c r="U39">
        <f>IF(M39="","",Inputs!$B$7*R39+Inputs!$B$8*T39)</f>
        <v>4.380467797322237</v>
      </c>
      <c r="V39">
        <f t="shared" si="10"/>
        <v>1.2519500662126969E-2</v>
      </c>
      <c r="W39">
        <f>Inputs!$B$9</f>
        <v>15</v>
      </c>
      <c r="X39">
        <f t="shared" si="11"/>
        <v>2.1820373830234722E-2</v>
      </c>
      <c r="Y39">
        <f t="shared" si="12"/>
        <v>2.1584031619577559E-2</v>
      </c>
      <c r="Z39">
        <f t="shared" si="13"/>
        <v>3.8358015145633271</v>
      </c>
      <c r="AA39">
        <f>IF(M39="","",Inputs!$B$7*Z39+Inputs!$B$8*T39)</f>
        <v>7.4491090089728988</v>
      </c>
      <c r="AB39">
        <f t="shared" si="14"/>
        <v>5.819599023146394E-4</v>
      </c>
    </row>
    <row r="40" spans="1:28">
      <c r="A40" t="s">
        <v>196</v>
      </c>
      <c r="B40">
        <v>1</v>
      </c>
      <c r="C40">
        <v>2</v>
      </c>
      <c r="D40">
        <v>0.2</v>
      </c>
      <c r="E40">
        <f>IF(B40=1,Inputs!$B$5,Inputs!$B$6)</f>
        <v>4</v>
      </c>
      <c r="F40">
        <f>E40*Inputs!$B$4</f>
        <v>60</v>
      </c>
      <c r="G40">
        <f t="shared" si="0"/>
        <v>30</v>
      </c>
      <c r="H40">
        <f t="shared" si="1"/>
        <v>30</v>
      </c>
      <c r="I40">
        <f t="shared" si="2"/>
        <v>30</v>
      </c>
      <c r="J40">
        <f t="shared" si="3"/>
        <v>0</v>
      </c>
      <c r="K40">
        <v>12</v>
      </c>
      <c r="L40" t="s">
        <v>199</v>
      </c>
      <c r="M40">
        <f>IF(L40="C",E40*COMBIN(Inputs!$B$4,K40),IF(L40="T",(Inputs!$B$4-K40+1)*E40^K40,IF(L40="PT",E40*(Inputs!$B$4-K40+1),IF(AND(L40="E",K40&lt;=E40),Inputs!$B$4*COMBIN(E40,K40),""))))</f>
        <v>16</v>
      </c>
      <c r="N40">
        <f t="shared" si="4"/>
        <v>9.889469059129886E-4</v>
      </c>
      <c r="O40">
        <f t="shared" si="5"/>
        <v>9.889469059129886E-4</v>
      </c>
      <c r="P40">
        <f t="shared" si="6"/>
        <v>9.889469059129886E-4</v>
      </c>
      <c r="Q40">
        <f t="shared" si="7"/>
        <v>9.8845805908276407E-4</v>
      </c>
      <c r="R40">
        <f t="shared" si="8"/>
        <v>6.9193643451027311</v>
      </c>
      <c r="S40">
        <f>IF(M40="","",IF(L40="C",SUMIFS(Marginal_Model!$J:$J,Marginal_Model!$A:$A,B40,Marginal_Model!$C:$C,K40),IF(L40="T",SUMIFS(Marginal_Model!$K:$K,Marginal_Model!$A:$A,B40,Marginal_Model!$C:$C,K40),IF(L40="PT",SUMIFS(Marginal_Model!$L:$L,Marginal_Model!$A:$A,B40,Marginal_Model!$C:$C,K40),SUMIFS(Marginal_Model!$M:$M,Marginal_Model!$A:$A,B40,Marginal_Model!$C:$C,K40)))))</f>
        <v>7.3328893668158814E-17</v>
      </c>
      <c r="T40">
        <f t="shared" si="9"/>
        <v>37.151576958929986</v>
      </c>
      <c r="U40">
        <f>IF(M40="","",Inputs!$B$7*R40+Inputs!$B$8*T40)</f>
        <v>12.965806867868181</v>
      </c>
      <c r="V40">
        <f t="shared" si="10"/>
        <v>2.3389536940919568E-6</v>
      </c>
      <c r="W40">
        <f>Inputs!$B$9</f>
        <v>15</v>
      </c>
      <c r="X40">
        <f t="shared" si="11"/>
        <v>5.2023825240694813E-9</v>
      </c>
      <c r="Y40">
        <f t="shared" si="12"/>
        <v>5.2023825247715649E-9</v>
      </c>
      <c r="Z40">
        <f t="shared" si="13"/>
        <v>19.074149138449762</v>
      </c>
      <c r="AA40">
        <f>IF(M40="","",Inputs!$B$7*Z40+Inputs!$B$8*T40)</f>
        <v>22.689634702545806</v>
      </c>
      <c r="AB40">
        <f t="shared" si="14"/>
        <v>1.3996416329574047E-10</v>
      </c>
    </row>
    <row r="41" spans="1:28">
      <c r="A41" t="s">
        <v>196</v>
      </c>
      <c r="B41">
        <v>1</v>
      </c>
      <c r="C41">
        <v>2</v>
      </c>
      <c r="D41">
        <v>0.2</v>
      </c>
      <c r="E41">
        <f>IF(B41=1,Inputs!$B$5,Inputs!$B$6)</f>
        <v>4</v>
      </c>
      <c r="F41">
        <f>E41*Inputs!$B$4</f>
        <v>60</v>
      </c>
      <c r="G41">
        <f t="shared" si="0"/>
        <v>30</v>
      </c>
      <c r="H41">
        <f t="shared" si="1"/>
        <v>30</v>
      </c>
      <c r="I41">
        <f t="shared" si="2"/>
        <v>30</v>
      </c>
      <c r="J41">
        <f t="shared" si="3"/>
        <v>0</v>
      </c>
      <c r="K41">
        <v>12</v>
      </c>
      <c r="L41" t="s">
        <v>200</v>
      </c>
      <c r="M41" t="str">
        <f>IF(L41="C",E41*COMBIN(Inputs!$B$4,K41),IF(L41="T",(Inputs!$B$4-K41+1)*E41^K41,IF(L41="PT",E41*(Inputs!$B$4-K41+1),IF(AND(L41="E",K41&lt;=E41),Inputs!$B$4*COMBIN(E41,K41),""))))</f>
        <v/>
      </c>
      <c r="N41" t="str">
        <f t="shared" si="4"/>
        <v/>
      </c>
      <c r="O41" t="str">
        <f t="shared" si="5"/>
        <v/>
      </c>
      <c r="P41" t="str">
        <f t="shared" si="6"/>
        <v/>
      </c>
      <c r="Q41" t="str">
        <f t="shared" si="7"/>
        <v/>
      </c>
      <c r="R41" t="str">
        <f t="shared" si="8"/>
        <v/>
      </c>
      <c r="S41" t="str">
        <f>IF(M41="","",IF(L41="C",SUMIFS(Marginal_Model!$J:$J,Marginal_Model!$A:$A,B41,Marginal_Model!$C:$C,K41),IF(L41="T",SUMIFS(Marginal_Model!$K:$K,Marginal_Model!$A:$A,B41,Marginal_Model!$C:$C,K41),IF(L41="PT",SUMIFS(Marginal_Model!$L:$L,Marginal_Model!$A:$A,B41,Marginal_Model!$C:$C,K41),SUMIFS(Marginal_Model!$M:$M,Marginal_Model!$A:$A,B41,Marginal_Model!$C:$C,K41)))))</f>
        <v/>
      </c>
      <c r="T41" t="str">
        <f t="shared" si="9"/>
        <v/>
      </c>
      <c r="U41" t="str">
        <f>IF(M41="","",Inputs!$B$7*R41+Inputs!$B$8*T41)</f>
        <v/>
      </c>
      <c r="V41" t="str">
        <f t="shared" si="10"/>
        <v/>
      </c>
      <c r="W41">
        <f>Inputs!$B$9</f>
        <v>15</v>
      </c>
      <c r="X41" t="str">
        <f t="shared" si="11"/>
        <v/>
      </c>
      <c r="Y41" t="str">
        <f t="shared" si="12"/>
        <v/>
      </c>
      <c r="Z41" t="str">
        <f t="shared" si="13"/>
        <v/>
      </c>
      <c r="AA41" t="str">
        <f>IF(M41="","",Inputs!$B$7*Z41+Inputs!$B$8*T41)</f>
        <v/>
      </c>
      <c r="AB41" t="str">
        <f t="shared" si="14"/>
        <v/>
      </c>
    </row>
    <row r="42" spans="1:28">
      <c r="A42" t="s">
        <v>196</v>
      </c>
      <c r="B42">
        <v>1</v>
      </c>
      <c r="C42">
        <v>2</v>
      </c>
      <c r="D42">
        <v>0.2</v>
      </c>
      <c r="E42">
        <f>IF(B42=1,Inputs!$B$5,Inputs!$B$6)</f>
        <v>4</v>
      </c>
      <c r="F42">
        <f>E42*Inputs!$B$4</f>
        <v>60</v>
      </c>
      <c r="G42">
        <f t="shared" si="0"/>
        <v>30</v>
      </c>
      <c r="H42">
        <f t="shared" si="1"/>
        <v>30</v>
      </c>
      <c r="I42">
        <f t="shared" si="2"/>
        <v>30</v>
      </c>
      <c r="J42">
        <f t="shared" si="3"/>
        <v>0</v>
      </c>
      <c r="K42">
        <v>13</v>
      </c>
      <c r="L42" t="s">
        <v>197</v>
      </c>
      <c r="M42">
        <f>IF(L42="C",E42*COMBIN(Inputs!$B$4,K42),IF(L42="T",(Inputs!$B$4-K42+1)*E42^K42,IF(L42="PT",E42*(Inputs!$B$4-K42+1),IF(AND(L42="E",K42&lt;=E42),Inputs!$B$4*COMBIN(E42,K42),""))))</f>
        <v>420</v>
      </c>
      <c r="N42">
        <f t="shared" si="4"/>
        <v>9.7349461050809816E-3</v>
      </c>
      <c r="O42">
        <f t="shared" si="5"/>
        <v>9.7349461050809816E-3</v>
      </c>
      <c r="P42">
        <f t="shared" si="6"/>
        <v>9.7349461050809816E-3</v>
      </c>
      <c r="Q42">
        <f t="shared" si="7"/>
        <v>9.6877149058937073E-3</v>
      </c>
      <c r="R42">
        <f t="shared" si="8"/>
        <v>4.6368967007145399</v>
      </c>
      <c r="S42">
        <f>IF(M42="","",IF(L42="C",SUMIFS(Marginal_Model!$J:$J,Marginal_Model!$A:$A,B42,Marginal_Model!$C:$C,K42),IF(L42="T",SUMIFS(Marginal_Model!$K:$K,Marginal_Model!$A:$A,B42,Marginal_Model!$C:$C,K42),IF(L42="PT",SUMIFS(Marginal_Model!$L:$L,Marginal_Model!$A:$A,B42,Marginal_Model!$C:$C,K42),SUMIFS(Marginal_Model!$M:$M,Marginal_Model!$A:$A,B42,Marginal_Model!$C:$C,K42)))))</f>
        <v>8.128722693858571E-11</v>
      </c>
      <c r="T42">
        <f t="shared" si="9"/>
        <v>23.233032221944384</v>
      </c>
      <c r="U42">
        <f>IF(M42="","",Inputs!$B$7*R42+Inputs!$B$8*T42)</f>
        <v>8.3561238049605073</v>
      </c>
      <c r="V42">
        <f t="shared" si="10"/>
        <v>2.3495329577365425E-4</v>
      </c>
      <c r="W42">
        <f>Inputs!$B$9</f>
        <v>15</v>
      </c>
      <c r="X42">
        <f t="shared" si="11"/>
        <v>8.5351588285514931E-9</v>
      </c>
      <c r="Y42">
        <f t="shared" si="12"/>
        <v>8.5351588019477731E-9</v>
      </c>
      <c r="Z42">
        <f t="shared" si="13"/>
        <v>18.579071874903821</v>
      </c>
      <c r="AA42">
        <f>IF(M42="","",Inputs!$B$7*Z42+Inputs!$B$8*T42)</f>
        <v>19.509863944311935</v>
      </c>
      <c r="AB42">
        <f t="shared" si="14"/>
        <v>3.3649122740381813E-9</v>
      </c>
    </row>
    <row r="43" spans="1:28">
      <c r="A43" t="s">
        <v>196</v>
      </c>
      <c r="B43">
        <v>1</v>
      </c>
      <c r="C43">
        <v>2</v>
      </c>
      <c r="D43">
        <v>0.2</v>
      </c>
      <c r="E43">
        <f>IF(B43=1,Inputs!$B$5,Inputs!$B$6)</f>
        <v>4</v>
      </c>
      <c r="F43">
        <f>E43*Inputs!$B$4</f>
        <v>60</v>
      </c>
      <c r="G43">
        <f t="shared" si="0"/>
        <v>30</v>
      </c>
      <c r="H43">
        <f t="shared" si="1"/>
        <v>30</v>
      </c>
      <c r="I43">
        <f t="shared" si="2"/>
        <v>30</v>
      </c>
      <c r="J43">
        <f t="shared" si="3"/>
        <v>0</v>
      </c>
      <c r="K43">
        <v>13</v>
      </c>
      <c r="L43" t="s">
        <v>198</v>
      </c>
      <c r="M43">
        <f>IF(L43="C",E43*COMBIN(Inputs!$B$4,K43),IF(L43="T",(Inputs!$B$4-K43+1)*E43^K43,IF(L43="PT",E43*(Inputs!$B$4-K43+1),IF(AND(L43="E",K43&lt;=E43),Inputs!$B$4*COMBIN(E43,K43),""))))</f>
        <v>201326592</v>
      </c>
      <c r="N43">
        <f t="shared" si="4"/>
        <v>4666.4369586657813</v>
      </c>
      <c r="O43">
        <f t="shared" si="5"/>
        <v>4666.4369586657813</v>
      </c>
      <c r="P43">
        <f t="shared" si="6"/>
        <v>4666.4369586657813</v>
      </c>
      <c r="Q43">
        <f t="shared" si="7"/>
        <v>1</v>
      </c>
      <c r="R43">
        <f t="shared" si="8"/>
        <v>0</v>
      </c>
      <c r="S43">
        <f>IF(M43="","",IF(L43="C",SUMIFS(Marginal_Model!$J:$J,Marginal_Model!$A:$A,B43,Marginal_Model!$C:$C,K43),IF(L43="T",SUMIFS(Marginal_Model!$K:$K,Marginal_Model!$A:$A,B43,Marginal_Model!$C:$C,K43),IF(L43="PT",SUMIFS(Marginal_Model!$L:$L,Marginal_Model!$A:$A,B43,Marginal_Model!$C:$C,K43),SUMIFS(Marginal_Model!$M:$M,Marginal_Model!$A:$A,B43,Marginal_Model!$C:$C,K43)))))</f>
        <v>3.8445459003491648E-11</v>
      </c>
      <c r="T43">
        <f t="shared" si="9"/>
        <v>23.981780528291026</v>
      </c>
      <c r="U43">
        <f>IF(M43="","",Inputs!$B$7*R43+Inputs!$B$8*T43)</f>
        <v>4.7963561056582042</v>
      </c>
      <c r="V43">
        <f t="shared" si="10"/>
        <v>8.2597900813015102E-3</v>
      </c>
      <c r="W43">
        <f>Inputs!$B$9</f>
        <v>15</v>
      </c>
      <c r="X43">
        <f t="shared" si="11"/>
        <v>4.0913200931690106E-3</v>
      </c>
      <c r="Y43">
        <f t="shared" si="12"/>
        <v>4.0829620454846394E-3</v>
      </c>
      <c r="Z43">
        <f t="shared" si="13"/>
        <v>5.5009325624300933</v>
      </c>
      <c r="AA43">
        <f>IF(M43="","",Inputs!$B$7*Z43+Inputs!$B$8*T43)</f>
        <v>9.1971021556022787</v>
      </c>
      <c r="AB43">
        <f t="shared" si="14"/>
        <v>1.0133262295104354E-4</v>
      </c>
    </row>
    <row r="44" spans="1:28">
      <c r="A44" t="s">
        <v>196</v>
      </c>
      <c r="B44">
        <v>1</v>
      </c>
      <c r="C44">
        <v>2</v>
      </c>
      <c r="D44">
        <v>0.2</v>
      </c>
      <c r="E44">
        <f>IF(B44=1,Inputs!$B$5,Inputs!$B$6)</f>
        <v>4</v>
      </c>
      <c r="F44">
        <f>E44*Inputs!$B$4</f>
        <v>60</v>
      </c>
      <c r="G44">
        <f t="shared" si="0"/>
        <v>30</v>
      </c>
      <c r="H44">
        <f t="shared" si="1"/>
        <v>30</v>
      </c>
      <c r="I44">
        <f t="shared" si="2"/>
        <v>30</v>
      </c>
      <c r="J44">
        <f t="shared" si="3"/>
        <v>0</v>
      </c>
      <c r="K44">
        <v>13</v>
      </c>
      <c r="L44" t="s">
        <v>199</v>
      </c>
      <c r="M44">
        <f>IF(L44="C",E44*COMBIN(Inputs!$B$4,K44),IF(L44="T",(Inputs!$B$4-K44+1)*E44^K44,IF(L44="PT",E44*(Inputs!$B$4-K44+1),IF(AND(L44="E",K44&lt;=E44),Inputs!$B$4*COMBIN(E44,K44),""))))</f>
        <v>12</v>
      </c>
      <c r="N44">
        <f t="shared" si="4"/>
        <v>2.7814131728802808E-4</v>
      </c>
      <c r="O44">
        <f t="shared" si="5"/>
        <v>2.7814131728802808E-4</v>
      </c>
      <c r="P44">
        <f t="shared" si="6"/>
        <v>2.7814131728802808E-4</v>
      </c>
      <c r="Q44">
        <f t="shared" si="7"/>
        <v>2.7810263957783743E-4</v>
      </c>
      <c r="R44">
        <f t="shared" si="8"/>
        <v>8.1875203052992891</v>
      </c>
      <c r="S44">
        <f>IF(M44="","",IF(L44="C",SUMIFS(Marginal_Model!$J:$J,Marginal_Model!$A:$A,B44,Marginal_Model!$C:$C,K44),IF(L44="T",SUMIFS(Marginal_Model!$K:$K,Marginal_Model!$A:$A,B44,Marginal_Model!$C:$C,K44),IF(L44="PT",SUMIFS(Marginal_Model!$L:$L,Marginal_Model!$A:$A,B44,Marginal_Model!$C:$C,K44),SUMIFS(Marginal_Model!$M:$M,Marginal_Model!$A:$A,B44,Marginal_Model!$C:$C,K44)))))</f>
        <v>2.2915279271299629E-18</v>
      </c>
      <c r="T44">
        <f t="shared" si="9"/>
        <v>40.617312861729715</v>
      </c>
      <c r="U44">
        <f>IF(M44="","",Inputs!$B$7*R44+Inputs!$B$8*T44)</f>
        <v>14.673478816585373</v>
      </c>
      <c r="V44">
        <f t="shared" si="10"/>
        <v>4.2402271222301626E-7</v>
      </c>
      <c r="W44">
        <f>Inputs!$B$9</f>
        <v>15</v>
      </c>
      <c r="X44">
        <f t="shared" si="11"/>
        <v>2.4386168081575695E-10</v>
      </c>
      <c r="Y44">
        <f t="shared" si="12"/>
        <v>2.4386170860424272E-10</v>
      </c>
      <c r="Z44">
        <f t="shared" si="13"/>
        <v>22.134419819324449</v>
      </c>
      <c r="AA44">
        <f>IF(M44="","",Inputs!$B$7*Z44+Inputs!$B$8*T44)</f>
        <v>25.830998427805504</v>
      </c>
      <c r="AB44">
        <f t="shared" si="14"/>
        <v>6.0497847211160352E-12</v>
      </c>
    </row>
    <row r="45" spans="1:28">
      <c r="A45" t="s">
        <v>196</v>
      </c>
      <c r="B45">
        <v>1</v>
      </c>
      <c r="C45">
        <v>2</v>
      </c>
      <c r="D45">
        <v>0.2</v>
      </c>
      <c r="E45">
        <f>IF(B45=1,Inputs!$B$5,Inputs!$B$6)</f>
        <v>4</v>
      </c>
      <c r="F45">
        <f>E45*Inputs!$B$4</f>
        <v>60</v>
      </c>
      <c r="G45">
        <f t="shared" si="0"/>
        <v>30</v>
      </c>
      <c r="H45">
        <f t="shared" si="1"/>
        <v>30</v>
      </c>
      <c r="I45">
        <f t="shared" si="2"/>
        <v>30</v>
      </c>
      <c r="J45">
        <f t="shared" si="3"/>
        <v>0</v>
      </c>
      <c r="K45">
        <v>13</v>
      </c>
      <c r="L45" t="s">
        <v>200</v>
      </c>
      <c r="M45" t="str">
        <f>IF(L45="C",E45*COMBIN(Inputs!$B$4,K45),IF(L45="T",(Inputs!$B$4-K45+1)*E45^K45,IF(L45="PT",E45*(Inputs!$B$4-K45+1),IF(AND(L45="E",K45&lt;=E45),Inputs!$B$4*COMBIN(E45,K45),""))))</f>
        <v/>
      </c>
      <c r="N45" t="str">
        <f t="shared" si="4"/>
        <v/>
      </c>
      <c r="O45" t="str">
        <f t="shared" si="5"/>
        <v/>
      </c>
      <c r="P45" t="str">
        <f t="shared" si="6"/>
        <v/>
      </c>
      <c r="Q45" t="str">
        <f t="shared" si="7"/>
        <v/>
      </c>
      <c r="R45" t="str">
        <f t="shared" si="8"/>
        <v/>
      </c>
      <c r="S45" t="str">
        <f>IF(M45="","",IF(L45="C",SUMIFS(Marginal_Model!$J:$J,Marginal_Model!$A:$A,B45,Marginal_Model!$C:$C,K45),IF(L45="T",SUMIFS(Marginal_Model!$K:$K,Marginal_Model!$A:$A,B45,Marginal_Model!$C:$C,K45),IF(L45="PT",SUMIFS(Marginal_Model!$L:$L,Marginal_Model!$A:$A,B45,Marginal_Model!$C:$C,K45),SUMIFS(Marginal_Model!$M:$M,Marginal_Model!$A:$A,B45,Marginal_Model!$C:$C,K45)))))</f>
        <v/>
      </c>
      <c r="T45" t="str">
        <f t="shared" si="9"/>
        <v/>
      </c>
      <c r="U45" t="str">
        <f>IF(M45="","",Inputs!$B$7*R45+Inputs!$B$8*T45)</f>
        <v/>
      </c>
      <c r="V45" t="str">
        <f t="shared" si="10"/>
        <v/>
      </c>
      <c r="W45">
        <f>Inputs!$B$9</f>
        <v>15</v>
      </c>
      <c r="X45" t="str">
        <f t="shared" si="11"/>
        <v/>
      </c>
      <c r="Y45" t="str">
        <f t="shared" si="12"/>
        <v/>
      </c>
      <c r="Z45" t="str">
        <f t="shared" si="13"/>
        <v/>
      </c>
      <c r="AA45" t="str">
        <f>IF(M45="","",Inputs!$B$7*Z45+Inputs!$B$8*T45)</f>
        <v/>
      </c>
      <c r="AB45" t="str">
        <f t="shared" si="14"/>
        <v/>
      </c>
    </row>
    <row r="46" spans="1:28">
      <c r="A46" t="s">
        <v>196</v>
      </c>
      <c r="B46">
        <v>1</v>
      </c>
      <c r="C46">
        <v>2</v>
      </c>
      <c r="D46">
        <v>0.2</v>
      </c>
      <c r="E46">
        <f>IF(B46=1,Inputs!$B$5,Inputs!$B$6)</f>
        <v>4</v>
      </c>
      <c r="F46">
        <f>E46*Inputs!$B$4</f>
        <v>60</v>
      </c>
      <c r="G46">
        <f t="shared" si="0"/>
        <v>30</v>
      </c>
      <c r="H46">
        <f t="shared" si="1"/>
        <v>30</v>
      </c>
      <c r="I46">
        <f t="shared" si="2"/>
        <v>30</v>
      </c>
      <c r="J46">
        <f t="shared" si="3"/>
        <v>0</v>
      </c>
      <c r="K46">
        <v>14</v>
      </c>
      <c r="L46" t="s">
        <v>197</v>
      </c>
      <c r="M46">
        <f>IF(L46="C",E46*COMBIN(Inputs!$B$4,K46),IF(L46="T",(Inputs!$B$4-K46+1)*E46^K46,IF(L46="PT",E46*(Inputs!$B$4-K46+1),IF(AND(L46="E",K46&lt;=E46),Inputs!$B$4*COMBIN(E46,K46),""))))</f>
        <v>60</v>
      </c>
      <c r="N46">
        <f t="shared" si="4"/>
        <v>5.0302153126558261E-4</v>
      </c>
      <c r="O46">
        <f t="shared" si="5"/>
        <v>5.0302153126558261E-4</v>
      </c>
      <c r="P46">
        <f t="shared" si="6"/>
        <v>5.0302153126558261E-4</v>
      </c>
      <c r="Q46">
        <f t="shared" si="7"/>
        <v>5.0289503714573414E-4</v>
      </c>
      <c r="R46">
        <f t="shared" si="8"/>
        <v>7.5951290833064462</v>
      </c>
      <c r="S46">
        <f>IF(M46="","",IF(L46="C",SUMIFS(Marginal_Model!$J:$J,Marginal_Model!$A:$A,B46,Marginal_Model!$C:$C,K46),IF(L46="T",SUMIFS(Marginal_Model!$K:$K,Marginal_Model!$A:$A,B46,Marginal_Model!$C:$C,K46),IF(L46="PT",SUMIFS(Marginal_Model!$L:$L,Marginal_Model!$A:$A,B46,Marginal_Model!$C:$C,K46),SUMIFS(Marginal_Model!$M:$M,Marginal_Model!$A:$A,B46,Marginal_Model!$C:$C,K46)))))</f>
        <v>3.4590309335568387E-12</v>
      </c>
      <c r="T46">
        <f t="shared" si="9"/>
        <v>26.3900326430945</v>
      </c>
      <c r="U46">
        <f>IF(M46="","",Inputs!$B$7*R46+Inputs!$B$8*T46)</f>
        <v>11.354109795264055</v>
      </c>
      <c r="V46">
        <f t="shared" si="10"/>
        <v>1.172121869197967E-5</v>
      </c>
      <c r="W46">
        <f>Inputs!$B$9</f>
        <v>15</v>
      </c>
      <c r="X46">
        <f t="shared" si="11"/>
        <v>5.1885464003352544E-11</v>
      </c>
      <c r="Y46">
        <f t="shared" si="12"/>
        <v>5.1885495899739453E-11</v>
      </c>
      <c r="Z46">
        <f t="shared" si="13"/>
        <v>23.681981827246375</v>
      </c>
      <c r="AA46">
        <f>IF(M46="","",Inputs!$B$7*Z46+Inputs!$B$8*T46)</f>
        <v>24.223591990416001</v>
      </c>
      <c r="AB46">
        <f t="shared" si="14"/>
        <v>3.0187536046907907E-11</v>
      </c>
    </row>
    <row r="47" spans="1:28">
      <c r="A47" t="s">
        <v>196</v>
      </c>
      <c r="B47">
        <v>1</v>
      </c>
      <c r="C47">
        <v>2</v>
      </c>
      <c r="D47">
        <v>0.2</v>
      </c>
      <c r="E47">
        <f>IF(B47=1,Inputs!$B$5,Inputs!$B$6)</f>
        <v>4</v>
      </c>
      <c r="F47">
        <f>E47*Inputs!$B$4</f>
        <v>60</v>
      </c>
      <c r="G47">
        <f t="shared" si="0"/>
        <v>30</v>
      </c>
      <c r="H47">
        <f t="shared" si="1"/>
        <v>30</v>
      </c>
      <c r="I47">
        <f t="shared" si="2"/>
        <v>30</v>
      </c>
      <c r="J47">
        <f t="shared" si="3"/>
        <v>0</v>
      </c>
      <c r="K47">
        <v>14</v>
      </c>
      <c r="L47" t="s">
        <v>198</v>
      </c>
      <c r="M47">
        <f>IF(L47="C",E47*COMBIN(Inputs!$B$4,K47),IF(L47="T",(Inputs!$B$4-K47+1)*E47^K47,IF(L47="PT",E47*(Inputs!$B$4-K47+1),IF(AND(L47="E",K47&lt;=E47),Inputs!$B$4*COMBIN(E47,K47),""))))</f>
        <v>536870912</v>
      </c>
      <c r="N47">
        <f t="shared" si="4"/>
        <v>4500.9604707698318</v>
      </c>
      <c r="O47">
        <f t="shared" si="5"/>
        <v>4500.9604707698318</v>
      </c>
      <c r="P47">
        <f t="shared" si="6"/>
        <v>4500.9604707698318</v>
      </c>
      <c r="Q47">
        <f t="shared" si="7"/>
        <v>1</v>
      </c>
      <c r="R47">
        <f t="shared" si="8"/>
        <v>0</v>
      </c>
      <c r="S47">
        <f>IF(M47="","",IF(L47="C",SUMIFS(Marginal_Model!$J:$J,Marginal_Model!$A:$A,B47,Marginal_Model!$C:$C,K47),IF(L47="T",SUMIFS(Marginal_Model!$K:$K,Marginal_Model!$A:$A,B47,Marginal_Model!$C:$C,K47),IF(L47="PT",SUMIFS(Marginal_Model!$L:$L,Marginal_Model!$A:$A,B47,Marginal_Model!$C:$C,K47),SUMIFS(Marginal_Model!$M:$M,Marginal_Model!$A:$A,B47,Marginal_Model!$C:$C,K47)))))</f>
        <v>4.3626052769919598E-12</v>
      </c>
      <c r="T47">
        <f t="shared" si="9"/>
        <v>26.157951696429414</v>
      </c>
      <c r="U47">
        <f>IF(M47="","",Inputs!$B$7*R47+Inputs!$B$8*T47)</f>
        <v>5.2315903392858818</v>
      </c>
      <c r="V47">
        <f t="shared" si="10"/>
        <v>5.3450181474776811E-3</v>
      </c>
      <c r="W47">
        <f>Inputs!$B$9</f>
        <v>15</v>
      </c>
      <c r="X47">
        <f t="shared" si="11"/>
        <v>4.6426327298371747E-4</v>
      </c>
      <c r="Y47">
        <f t="shared" si="12"/>
        <v>4.6415551946632494E-4</v>
      </c>
      <c r="Z47">
        <f t="shared" si="13"/>
        <v>7.6752908906317279</v>
      </c>
      <c r="AA47">
        <f>IF(M47="","",Inputs!$B$7*Z47+Inputs!$B$8*T47)</f>
        <v>11.371823051791264</v>
      </c>
      <c r="AB47">
        <f t="shared" si="14"/>
        <v>1.1515425750818239E-5</v>
      </c>
    </row>
    <row r="48" spans="1:28">
      <c r="A48" t="s">
        <v>196</v>
      </c>
      <c r="B48">
        <v>1</v>
      </c>
      <c r="C48">
        <v>2</v>
      </c>
      <c r="D48">
        <v>0.2</v>
      </c>
      <c r="E48">
        <f>IF(B48=1,Inputs!$B$5,Inputs!$B$6)</f>
        <v>4</v>
      </c>
      <c r="F48">
        <f>E48*Inputs!$B$4</f>
        <v>60</v>
      </c>
      <c r="G48">
        <f t="shared" si="0"/>
        <v>30</v>
      </c>
      <c r="H48">
        <f t="shared" si="1"/>
        <v>30</v>
      </c>
      <c r="I48">
        <f t="shared" si="2"/>
        <v>30</v>
      </c>
      <c r="J48">
        <f t="shared" si="3"/>
        <v>0</v>
      </c>
      <c r="K48">
        <v>14</v>
      </c>
      <c r="L48" t="s">
        <v>199</v>
      </c>
      <c r="M48">
        <f>IF(L48="C",E48*COMBIN(Inputs!$B$4,K48),IF(L48="T",(Inputs!$B$4-K48+1)*E48^K48,IF(L48="PT",E48*(Inputs!$B$4-K48+1),IF(AND(L48="E",K48&lt;=E48),Inputs!$B$4*COMBIN(E48,K48),""))))</f>
        <v>8</v>
      </c>
      <c r="N48">
        <f t="shared" si="4"/>
        <v>6.7069537502077695E-5</v>
      </c>
      <c r="O48">
        <f t="shared" si="5"/>
        <v>6.7069537502077695E-5</v>
      </c>
      <c r="P48">
        <f t="shared" si="6"/>
        <v>6.7069537502077695E-5</v>
      </c>
      <c r="Q48">
        <f t="shared" si="7"/>
        <v>6.7067288390898483E-5</v>
      </c>
      <c r="R48">
        <f t="shared" si="8"/>
        <v>9.6098141382077422</v>
      </c>
      <c r="S48">
        <f>IF(M48="","",IF(L48="C",SUMIFS(Marginal_Model!$J:$J,Marginal_Model!$A:$A,B48,Marginal_Model!$C:$C,K48),IF(L48="T",SUMIFS(Marginal_Model!$K:$K,Marginal_Model!$A:$A,B48,Marginal_Model!$C:$C,K48),IF(L48="PT",SUMIFS(Marginal_Model!$L:$L,Marginal_Model!$A:$A,B48,Marginal_Model!$C:$C,K48),SUMIFS(Marginal_Model!$M:$M,Marginal_Model!$A:$A,B48,Marginal_Model!$C:$C,K48)))))</f>
        <v>6.5007884457587597E-20</v>
      </c>
      <c r="T48">
        <f t="shared" si="9"/>
        <v>44.179778390987991</v>
      </c>
      <c r="U48">
        <f>IF(M48="","",Inputs!$B$7*R48+Inputs!$B$8*T48)</f>
        <v>16.523806988763791</v>
      </c>
      <c r="V48">
        <f t="shared" si="10"/>
        <v>6.6650253374315793E-8</v>
      </c>
      <c r="W48">
        <f>Inputs!$B$9</f>
        <v>15</v>
      </c>
      <c r="X48">
        <f t="shared" si="11"/>
        <v>6.9180618671136717E-12</v>
      </c>
      <c r="Y48">
        <f t="shared" si="12"/>
        <v>6.9180217110442754E-12</v>
      </c>
      <c r="Z48">
        <f t="shared" si="13"/>
        <v>25.696891267077316</v>
      </c>
      <c r="AA48">
        <f>IF(M48="","",Inputs!$B$7*Z48+Inputs!$B$8*T48)</f>
        <v>29.39346869185945</v>
      </c>
      <c r="AB48">
        <f t="shared" si="14"/>
        <v>1.7162428586352782E-13</v>
      </c>
    </row>
    <row r="49" spans="1:28">
      <c r="A49" t="s">
        <v>196</v>
      </c>
      <c r="B49">
        <v>1</v>
      </c>
      <c r="C49">
        <v>2</v>
      </c>
      <c r="D49">
        <v>0.2</v>
      </c>
      <c r="E49">
        <f>IF(B49=1,Inputs!$B$5,Inputs!$B$6)</f>
        <v>4</v>
      </c>
      <c r="F49">
        <f>E49*Inputs!$B$4</f>
        <v>60</v>
      </c>
      <c r="G49">
        <f t="shared" si="0"/>
        <v>30</v>
      </c>
      <c r="H49">
        <f t="shared" si="1"/>
        <v>30</v>
      </c>
      <c r="I49">
        <f t="shared" si="2"/>
        <v>30</v>
      </c>
      <c r="J49">
        <f t="shared" si="3"/>
        <v>0</v>
      </c>
      <c r="K49">
        <v>14</v>
      </c>
      <c r="L49" t="s">
        <v>200</v>
      </c>
      <c r="M49" t="str">
        <f>IF(L49="C",E49*COMBIN(Inputs!$B$4,K49),IF(L49="T",(Inputs!$B$4-K49+1)*E49^K49,IF(L49="PT",E49*(Inputs!$B$4-K49+1),IF(AND(L49="E",K49&lt;=E49),Inputs!$B$4*COMBIN(E49,K49),""))))</f>
        <v/>
      </c>
      <c r="N49" t="str">
        <f t="shared" si="4"/>
        <v/>
      </c>
      <c r="O49" t="str">
        <f t="shared" si="5"/>
        <v/>
      </c>
      <c r="P49" t="str">
        <f t="shared" si="6"/>
        <v/>
      </c>
      <c r="Q49" t="str">
        <f t="shared" si="7"/>
        <v/>
      </c>
      <c r="R49" t="str">
        <f t="shared" si="8"/>
        <v/>
      </c>
      <c r="S49" t="str">
        <f>IF(M49="","",IF(L49="C",SUMIFS(Marginal_Model!$J:$J,Marginal_Model!$A:$A,B49,Marginal_Model!$C:$C,K49),IF(L49="T",SUMIFS(Marginal_Model!$K:$K,Marginal_Model!$A:$A,B49,Marginal_Model!$C:$C,K49),IF(L49="PT",SUMIFS(Marginal_Model!$L:$L,Marginal_Model!$A:$A,B49,Marginal_Model!$C:$C,K49),SUMIFS(Marginal_Model!$M:$M,Marginal_Model!$A:$A,B49,Marginal_Model!$C:$C,K49)))))</f>
        <v/>
      </c>
      <c r="T49" t="str">
        <f t="shared" si="9"/>
        <v/>
      </c>
      <c r="U49" t="str">
        <f>IF(M49="","",Inputs!$B$7*R49+Inputs!$B$8*T49)</f>
        <v/>
      </c>
      <c r="V49" t="str">
        <f t="shared" si="10"/>
        <v/>
      </c>
      <c r="W49">
        <f>Inputs!$B$9</f>
        <v>15</v>
      </c>
      <c r="X49" t="str">
        <f t="shared" si="11"/>
        <v/>
      </c>
      <c r="Y49" t="str">
        <f t="shared" si="12"/>
        <v/>
      </c>
      <c r="Z49" t="str">
        <f t="shared" si="13"/>
        <v/>
      </c>
      <c r="AA49" t="str">
        <f>IF(M49="","",Inputs!$B$7*Z49+Inputs!$B$8*T49)</f>
        <v/>
      </c>
      <c r="AB49" t="str">
        <f t="shared" si="14"/>
        <v/>
      </c>
    </row>
    <row r="50" spans="1:28">
      <c r="A50" t="s">
        <v>196</v>
      </c>
      <c r="B50">
        <v>1</v>
      </c>
      <c r="C50">
        <v>2</v>
      </c>
      <c r="D50">
        <v>0.2</v>
      </c>
      <c r="E50">
        <f>IF(B50=1,Inputs!$B$5,Inputs!$B$6)</f>
        <v>4</v>
      </c>
      <c r="F50">
        <f>E50*Inputs!$B$4</f>
        <v>60</v>
      </c>
      <c r="G50">
        <f t="shared" si="0"/>
        <v>30</v>
      </c>
      <c r="H50">
        <f t="shared" si="1"/>
        <v>30</v>
      </c>
      <c r="I50">
        <f t="shared" si="2"/>
        <v>30</v>
      </c>
      <c r="J50">
        <f t="shared" si="3"/>
        <v>0</v>
      </c>
      <c r="K50">
        <v>15</v>
      </c>
      <c r="L50" t="s">
        <v>197</v>
      </c>
      <c r="M50">
        <f>IF(L50="C",E50*COMBIN(Inputs!$B$4,K50),IF(L50="T",(Inputs!$B$4-K50+1)*E50^K50,IF(L50="PT",E50*(Inputs!$B$4-K50+1),IF(AND(L50="E",K50&lt;=E50),Inputs!$B$4*COMBIN(E50,K50),""))))</f>
        <v>4</v>
      </c>
      <c r="N50">
        <f t="shared" si="4"/>
        <v>1.1664267391665684E-5</v>
      </c>
      <c r="O50">
        <f t="shared" si="5"/>
        <v>1.1664267391665684E-5</v>
      </c>
      <c r="P50">
        <f t="shared" si="6"/>
        <v>1.1664267391665684E-5</v>
      </c>
      <c r="Q50">
        <f t="shared" si="7"/>
        <v>1.1664199364380679E-5</v>
      </c>
      <c r="R50">
        <f t="shared" si="8"/>
        <v>11.358986290561749</v>
      </c>
      <c r="S50">
        <f>IF(M50="","",IF(L50="C",SUMIFS(Marginal_Model!$J:$J,Marginal_Model!$A:$A,B50,Marginal_Model!$C:$C,K50),IF(L50="T",SUMIFS(Marginal_Model!$K:$K,Marginal_Model!$A:$A,B50,Marginal_Model!$C:$C,K50),IF(L50="PT",SUMIFS(Marginal_Model!$L:$L,Marginal_Model!$A:$A,B50,Marginal_Model!$C:$C,K50),SUMIFS(Marginal_Model!$M:$M,Marginal_Model!$A:$A,B50,Marginal_Model!$C:$C,K50)))))</f>
        <v>7.5196324642539971E-14</v>
      </c>
      <c r="T50">
        <f t="shared" si="9"/>
        <v>30.218674039583593</v>
      </c>
      <c r="U50">
        <f>IF(M50="","",Inputs!$B$7*R50+Inputs!$B$8*T50)</f>
        <v>15.130923840366117</v>
      </c>
      <c r="V50">
        <f t="shared" si="10"/>
        <v>2.6836339045095861E-7</v>
      </c>
      <c r="W50">
        <f>Inputs!$B$9</f>
        <v>15</v>
      </c>
      <c r="X50">
        <f t="shared" si="11"/>
        <v>7.5196324642539908E-14</v>
      </c>
      <c r="Y50">
        <f t="shared" si="12"/>
        <v>7.5162098767123098E-14</v>
      </c>
      <c r="Z50">
        <f t="shared" si="13"/>
        <v>30.219129296764827</v>
      </c>
      <c r="AA50">
        <f>IF(M50="","",Inputs!$B$7*Z50+Inputs!$B$8*T50)</f>
        <v>30.21903824532858</v>
      </c>
      <c r="AB50">
        <f t="shared" si="14"/>
        <v>7.5168942695737173E-14</v>
      </c>
    </row>
    <row r="51" spans="1:28">
      <c r="A51" t="s">
        <v>196</v>
      </c>
      <c r="B51">
        <v>1</v>
      </c>
      <c r="C51">
        <v>2</v>
      </c>
      <c r="D51">
        <v>0.2</v>
      </c>
      <c r="E51">
        <f>IF(B51=1,Inputs!$B$5,Inputs!$B$6)</f>
        <v>4</v>
      </c>
      <c r="F51">
        <f>E51*Inputs!$B$4</f>
        <v>60</v>
      </c>
      <c r="G51">
        <f t="shared" si="0"/>
        <v>30</v>
      </c>
      <c r="H51">
        <f t="shared" si="1"/>
        <v>30</v>
      </c>
      <c r="I51">
        <f t="shared" si="2"/>
        <v>30</v>
      </c>
      <c r="J51">
        <f t="shared" si="3"/>
        <v>0</v>
      </c>
      <c r="K51">
        <v>15</v>
      </c>
      <c r="L51" t="s">
        <v>198</v>
      </c>
      <c r="M51">
        <f>IF(L51="C",E51*COMBIN(Inputs!$B$4,K51),IF(L51="T",(Inputs!$B$4-K51+1)*E51^K51,IF(L51="PT",E51*(Inputs!$B$4-K51+1),IF(AND(L51="E",K51&lt;=E51),Inputs!$B$4*COMBIN(E51,K51),""))))</f>
        <v>1073741824</v>
      </c>
      <c r="N51">
        <f t="shared" si="4"/>
        <v>3131.1029361877086</v>
      </c>
      <c r="O51">
        <f t="shared" si="5"/>
        <v>3131.1029361877086</v>
      </c>
      <c r="P51">
        <f t="shared" si="6"/>
        <v>3131.1029361877086</v>
      </c>
      <c r="Q51">
        <f t="shared" si="7"/>
        <v>1</v>
      </c>
      <c r="R51">
        <f t="shared" si="8"/>
        <v>0</v>
      </c>
      <c r="S51">
        <f>IF(M51="","",IF(L51="C",SUMIFS(Marginal_Model!$J:$J,Marginal_Model!$A:$A,B51,Marginal_Model!$C:$C,K51),IF(L51="T",SUMIFS(Marginal_Model!$K:$K,Marginal_Model!$A:$A,B51,Marginal_Model!$C:$C,K51),IF(L51="PT",SUMIFS(Marginal_Model!$L:$L,Marginal_Model!$A:$A,B51,Marginal_Model!$C:$C,K51),SUMIFS(Marginal_Model!$M:$M,Marginal_Model!$A:$A,B51,Marginal_Model!$C:$C,K51)))))</f>
        <v>3.7935698060799651E-13</v>
      </c>
      <c r="T51">
        <f t="shared" si="9"/>
        <v>28.600298731798617</v>
      </c>
      <c r="U51">
        <f>IF(M51="","",Inputs!$B$7*R51+Inputs!$B$8*T51)</f>
        <v>5.7200597463597225</v>
      </c>
      <c r="V51">
        <f t="shared" si="10"/>
        <v>3.2795149574097716E-3</v>
      </c>
      <c r="W51">
        <f>Inputs!$B$9</f>
        <v>15</v>
      </c>
      <c r="X51">
        <f t="shared" si="11"/>
        <v>2.0185359694944237E-5</v>
      </c>
      <c r="Y51">
        <f t="shared" si="12"/>
        <v>2.0185155971907953E-5</v>
      </c>
      <c r="Z51">
        <f t="shared" si="13"/>
        <v>10.810563076569682</v>
      </c>
      <c r="AA51">
        <f>IF(M51="","",Inputs!$B$7*Z51+Inputs!$B$8*T51)</f>
        <v>14.368510207615468</v>
      </c>
      <c r="AB51">
        <f t="shared" si="14"/>
        <v>5.7522175615738375E-7</v>
      </c>
    </row>
    <row r="52" spans="1:28">
      <c r="A52" t="s">
        <v>196</v>
      </c>
      <c r="B52">
        <v>1</v>
      </c>
      <c r="C52">
        <v>2</v>
      </c>
      <c r="D52">
        <v>0.2</v>
      </c>
      <c r="E52">
        <f>IF(B52=1,Inputs!$B$5,Inputs!$B$6)</f>
        <v>4</v>
      </c>
      <c r="F52">
        <f>E52*Inputs!$B$4</f>
        <v>60</v>
      </c>
      <c r="G52">
        <f t="shared" si="0"/>
        <v>30</v>
      </c>
      <c r="H52">
        <f t="shared" si="1"/>
        <v>30</v>
      </c>
      <c r="I52">
        <f t="shared" si="2"/>
        <v>30</v>
      </c>
      <c r="J52">
        <f t="shared" si="3"/>
        <v>0</v>
      </c>
      <c r="K52">
        <v>15</v>
      </c>
      <c r="L52" t="s">
        <v>199</v>
      </c>
      <c r="M52">
        <f>IF(L52="C",E52*COMBIN(Inputs!$B$4,K52),IF(L52="T",(Inputs!$B$4-K52+1)*E52^K52,IF(L52="PT",E52*(Inputs!$B$4-K52+1),IF(AND(L52="E",K52&lt;=E52),Inputs!$B$4*COMBIN(E52,K52),""))))</f>
        <v>4</v>
      </c>
      <c r="N52">
        <f t="shared" si="4"/>
        <v>1.1664267391665684E-5</v>
      </c>
      <c r="O52">
        <f t="shared" si="5"/>
        <v>1.1664267391665684E-5</v>
      </c>
      <c r="P52">
        <f t="shared" si="6"/>
        <v>1.1664267391665684E-5</v>
      </c>
      <c r="Q52">
        <f t="shared" si="7"/>
        <v>1.1664199364380679E-5</v>
      </c>
      <c r="R52">
        <f t="shared" si="8"/>
        <v>11.358986290561749</v>
      </c>
      <c r="S52">
        <f>IF(M52="","",IF(L52="C",SUMIFS(Marginal_Model!$J:$J,Marginal_Model!$A:$A,B52,Marginal_Model!$C:$C,K52),IF(L52="T",SUMIFS(Marginal_Model!$K:$K,Marginal_Model!$A:$A,B52,Marginal_Model!$C:$C,K52),IF(L52="PT",SUMIFS(Marginal_Model!$L:$L,Marginal_Model!$A:$A,B52,Marginal_Model!$C:$C,K52),SUMIFS(Marginal_Model!$M:$M,Marginal_Model!$A:$A,B52,Marginal_Model!$C:$C,K52)))))</f>
        <v>1.4132148795127738E-21</v>
      </c>
      <c r="T52">
        <f t="shared" si="9"/>
        <v>48.008419787477088</v>
      </c>
      <c r="U52">
        <f>IF(M52="","",Inputs!$B$7*R52+Inputs!$B$8*T52)</f>
        <v>18.688872989944816</v>
      </c>
      <c r="V52">
        <f t="shared" si="10"/>
        <v>7.6476074478137747E-9</v>
      </c>
      <c r="W52">
        <f>Inputs!$B$9</f>
        <v>15</v>
      </c>
      <c r="X52">
        <f t="shared" si="11"/>
        <v>7.5196324642539908E-14</v>
      </c>
      <c r="Y52">
        <f t="shared" si="12"/>
        <v>7.5162098767123098E-14</v>
      </c>
      <c r="Z52">
        <f t="shared" si="13"/>
        <v>30.219129296764827</v>
      </c>
      <c r="AA52">
        <f>IF(M52="","",Inputs!$B$7*Z52+Inputs!$B$8*T52)</f>
        <v>33.77698739490728</v>
      </c>
      <c r="AB52">
        <f t="shared" si="14"/>
        <v>2.1421050205030007E-15</v>
      </c>
    </row>
    <row r="53" spans="1:28">
      <c r="A53" t="s">
        <v>196</v>
      </c>
      <c r="B53">
        <v>1</v>
      </c>
      <c r="C53">
        <v>2</v>
      </c>
      <c r="D53">
        <v>0.2</v>
      </c>
      <c r="E53">
        <f>IF(B53=1,Inputs!$B$5,Inputs!$B$6)</f>
        <v>4</v>
      </c>
      <c r="F53">
        <f>E53*Inputs!$B$4</f>
        <v>60</v>
      </c>
      <c r="G53">
        <f t="shared" si="0"/>
        <v>30</v>
      </c>
      <c r="H53">
        <f t="shared" si="1"/>
        <v>30</v>
      </c>
      <c r="I53">
        <f t="shared" si="2"/>
        <v>30</v>
      </c>
      <c r="J53">
        <f t="shared" si="3"/>
        <v>0</v>
      </c>
      <c r="K53">
        <v>15</v>
      </c>
      <c r="L53" t="s">
        <v>200</v>
      </c>
      <c r="M53" t="str">
        <f>IF(L53="C",E53*COMBIN(Inputs!$B$4,K53),IF(L53="T",(Inputs!$B$4-K53+1)*E53^K53,IF(L53="PT",E53*(Inputs!$B$4-K53+1),IF(AND(L53="E",K53&lt;=E53),Inputs!$B$4*COMBIN(E53,K53),""))))</f>
        <v/>
      </c>
      <c r="N53" t="str">
        <f t="shared" si="4"/>
        <v/>
      </c>
      <c r="O53" t="str">
        <f t="shared" si="5"/>
        <v/>
      </c>
      <c r="P53" t="str">
        <f t="shared" si="6"/>
        <v/>
      </c>
      <c r="Q53" t="str">
        <f t="shared" si="7"/>
        <v/>
      </c>
      <c r="R53" t="str">
        <f t="shared" si="8"/>
        <v/>
      </c>
      <c r="S53" t="str">
        <f>IF(M53="","",IF(L53="C",SUMIFS(Marginal_Model!$J:$J,Marginal_Model!$A:$A,B53,Marginal_Model!$C:$C,K53),IF(L53="T",SUMIFS(Marginal_Model!$K:$K,Marginal_Model!$A:$A,B53,Marginal_Model!$C:$C,K53),IF(L53="PT",SUMIFS(Marginal_Model!$L:$L,Marginal_Model!$A:$A,B53,Marginal_Model!$C:$C,K53),SUMIFS(Marginal_Model!$M:$M,Marginal_Model!$A:$A,B53,Marginal_Model!$C:$C,K53)))))</f>
        <v/>
      </c>
      <c r="T53" t="str">
        <f t="shared" si="9"/>
        <v/>
      </c>
      <c r="U53" t="str">
        <f>IF(M53="","",Inputs!$B$7*R53+Inputs!$B$8*T53)</f>
        <v/>
      </c>
      <c r="V53" t="str">
        <f t="shared" si="10"/>
        <v/>
      </c>
      <c r="W53">
        <f>Inputs!$B$9</f>
        <v>15</v>
      </c>
      <c r="X53" t="str">
        <f t="shared" si="11"/>
        <v/>
      </c>
      <c r="Y53" t="str">
        <f t="shared" si="12"/>
        <v/>
      </c>
      <c r="Z53" t="str">
        <f t="shared" si="13"/>
        <v/>
      </c>
      <c r="AA53" t="str">
        <f>IF(M53="","",Inputs!$B$7*Z53+Inputs!$B$8*T53)</f>
        <v/>
      </c>
      <c r="AB53" t="str">
        <f t="shared" si="14"/>
        <v/>
      </c>
    </row>
    <row r="54" spans="1:28">
      <c r="A54" t="s">
        <v>201</v>
      </c>
      <c r="B54">
        <v>1</v>
      </c>
      <c r="C54">
        <v>3</v>
      </c>
      <c r="D54">
        <v>0.2</v>
      </c>
      <c r="E54">
        <f>IF(B54=1,Inputs!$B$5,Inputs!$B$6)</f>
        <v>4</v>
      </c>
      <c r="F54">
        <f>E54*Inputs!$B$4</f>
        <v>60</v>
      </c>
      <c r="G54">
        <f t="shared" si="0"/>
        <v>20</v>
      </c>
      <c r="H54">
        <f t="shared" si="1"/>
        <v>20</v>
      </c>
      <c r="I54">
        <f t="shared" si="2"/>
        <v>20</v>
      </c>
      <c r="J54">
        <f t="shared" si="3"/>
        <v>0</v>
      </c>
      <c r="K54">
        <v>3</v>
      </c>
      <c r="L54" t="s">
        <v>197</v>
      </c>
      <c r="M54">
        <f>IF(L54="C",E54*COMBIN(Inputs!$B$4,K54),IF(L54="T",(Inputs!$B$4-K54+1)*E54^K54,IF(L54="PT",E54*(Inputs!$B$4-K54+1),IF(AND(L54="E",K54&lt;=E54),Inputs!$B$4*COMBIN(E54,K54),""))))</f>
        <v>1820.0000000000002</v>
      </c>
      <c r="N54">
        <f t="shared" si="4"/>
        <v>60.631209818819414</v>
      </c>
      <c r="O54">
        <f t="shared" si="5"/>
        <v>60.631209818819414</v>
      </c>
      <c r="P54">
        <f t="shared" si="6"/>
        <v>60.631209818819414</v>
      </c>
      <c r="Q54">
        <f t="shared" si="7"/>
        <v>1</v>
      </c>
      <c r="R54">
        <f t="shared" si="8"/>
        <v>0</v>
      </c>
      <c r="S54">
        <f>IF(M54="","",IF(L54="C",SUMIFS(Marginal_Model!$J:$J,Marginal_Model!$A:$A,B54,Marginal_Model!$C:$C,K54),IF(L54="T",SUMIFS(Marginal_Model!$K:$K,Marginal_Model!$A:$A,B54,Marginal_Model!$C:$C,K54),IF(L54="PT",SUMIFS(Marginal_Model!$L:$L,Marginal_Model!$A:$A,B54,Marginal_Model!$C:$C,K54),SUMIFS(Marginal_Model!$M:$M,Marginal_Model!$A:$A,B54,Marginal_Model!$C:$C,K54)))))</f>
        <v>5.3185271770894223E-2</v>
      </c>
      <c r="T54">
        <f t="shared" si="9"/>
        <v>2.9339737673753432</v>
      </c>
      <c r="U54">
        <f>IF(M54="","",Inputs!$B$7*R54+Inputs!$B$8*T54)</f>
        <v>0.58679475347506849</v>
      </c>
      <c r="V54">
        <f t="shared" si="10"/>
        <v>0.55610689085215859</v>
      </c>
      <c r="W54">
        <f>Inputs!$B$9</f>
        <v>15</v>
      </c>
      <c r="X54">
        <f t="shared" si="11"/>
        <v>24.199298655756863</v>
      </c>
      <c r="Y54">
        <f t="shared" si="12"/>
        <v>0.99999999996907007</v>
      </c>
      <c r="Z54">
        <f t="shared" si="13"/>
        <v>3.0929925288115491E-11</v>
      </c>
      <c r="AA54">
        <f>IF(M54="","",Inputs!$B$7*Z54+Inputs!$B$8*T54)</f>
        <v>0.58679475349981247</v>
      </c>
      <c r="AB54">
        <f t="shared" si="14"/>
        <v>0.55610689083839826</v>
      </c>
    </row>
    <row r="55" spans="1:28">
      <c r="A55" t="s">
        <v>201</v>
      </c>
      <c r="B55">
        <v>1</v>
      </c>
      <c r="C55">
        <v>3</v>
      </c>
      <c r="D55">
        <v>0.2</v>
      </c>
      <c r="E55">
        <f>IF(B55=1,Inputs!$B$5,Inputs!$B$6)</f>
        <v>4</v>
      </c>
      <c r="F55">
        <f>E55*Inputs!$B$4</f>
        <v>60</v>
      </c>
      <c r="G55">
        <f t="shared" si="0"/>
        <v>20</v>
      </c>
      <c r="H55">
        <f t="shared" si="1"/>
        <v>20</v>
      </c>
      <c r="I55">
        <f t="shared" si="2"/>
        <v>20</v>
      </c>
      <c r="J55">
        <f t="shared" si="3"/>
        <v>0</v>
      </c>
      <c r="K55">
        <v>3</v>
      </c>
      <c r="L55" t="s">
        <v>198</v>
      </c>
      <c r="M55">
        <f>IF(L55="C",E55*COMBIN(Inputs!$B$4,K55),IF(L55="T",(Inputs!$B$4-K55+1)*E55^K55,IF(L55="PT",E55*(Inputs!$B$4-K55+1),IF(AND(L55="E",K55&lt;=E55),Inputs!$B$4*COMBIN(E55,K55),""))))</f>
        <v>832</v>
      </c>
      <c r="N55">
        <f t="shared" si="4"/>
        <v>27.717124488603158</v>
      </c>
      <c r="O55">
        <f t="shared" si="5"/>
        <v>27.717124488603158</v>
      </c>
      <c r="P55">
        <f t="shared" si="6"/>
        <v>27.717124488603158</v>
      </c>
      <c r="Q55">
        <f t="shared" si="7"/>
        <v>0.99999999999908251</v>
      </c>
      <c r="R55">
        <f t="shared" si="8"/>
        <v>9.1748830755065023E-13</v>
      </c>
      <c r="S55">
        <f>IF(M55="","",IF(L55="C",SUMIFS(Marginal_Model!$J:$J,Marginal_Model!$A:$A,B55,Marginal_Model!$C:$C,K55),IF(L55="T",SUMIFS(Marginal_Model!$K:$K,Marginal_Model!$A:$A,B55,Marginal_Model!$C:$C,K55),IF(L55="PT",SUMIFS(Marginal_Model!$L:$L,Marginal_Model!$A:$A,B55,Marginal_Model!$C:$C,K55),SUMIFS(Marginal_Model!$M:$M,Marginal_Model!$A:$A,B55,Marginal_Model!$C:$C,K55)))))</f>
        <v>2.4313267095265927E-2</v>
      </c>
      <c r="T55">
        <f t="shared" si="9"/>
        <v>3.716733106624976</v>
      </c>
      <c r="U55">
        <f>IF(M55="","",Inputs!$B$7*R55+Inputs!$B$8*T55)</f>
        <v>0.74334662132572904</v>
      </c>
      <c r="V55">
        <f t="shared" si="10"/>
        <v>0.47551986474647157</v>
      </c>
      <c r="W55">
        <f>Inputs!$B$9</f>
        <v>15</v>
      </c>
      <c r="X55">
        <f t="shared" si="11"/>
        <v>11.062536528345992</v>
      </c>
      <c r="Y55">
        <f t="shared" si="12"/>
        <v>0.99998431077721828</v>
      </c>
      <c r="Z55">
        <f t="shared" si="13"/>
        <v>1.5689345858865983E-5</v>
      </c>
      <c r="AA55">
        <f>IF(M55="","",Inputs!$B$7*Z55+Inputs!$B$8*T55)</f>
        <v>0.74335917280168218</v>
      </c>
      <c r="AB55">
        <f t="shared" si="14"/>
        <v>0.4755138963077804</v>
      </c>
    </row>
    <row r="56" spans="1:28">
      <c r="A56" t="s">
        <v>201</v>
      </c>
      <c r="B56">
        <v>1</v>
      </c>
      <c r="C56">
        <v>3</v>
      </c>
      <c r="D56">
        <v>0.2</v>
      </c>
      <c r="E56">
        <f>IF(B56=1,Inputs!$B$5,Inputs!$B$6)</f>
        <v>4</v>
      </c>
      <c r="F56">
        <f>E56*Inputs!$B$4</f>
        <v>60</v>
      </c>
      <c r="G56">
        <f t="shared" si="0"/>
        <v>20</v>
      </c>
      <c r="H56">
        <f t="shared" si="1"/>
        <v>20</v>
      </c>
      <c r="I56">
        <f t="shared" si="2"/>
        <v>20</v>
      </c>
      <c r="J56">
        <f t="shared" si="3"/>
        <v>0</v>
      </c>
      <c r="K56">
        <v>3</v>
      </c>
      <c r="L56" t="s">
        <v>199</v>
      </c>
      <c r="M56">
        <f>IF(L56="C",E56*COMBIN(Inputs!$B$4,K56),IF(L56="T",(Inputs!$B$4-K56+1)*E56^K56,IF(L56="PT",E56*(Inputs!$B$4-K56+1),IF(AND(L56="E",K56&lt;=E56),Inputs!$B$4*COMBIN(E56,K56),""))))</f>
        <v>52</v>
      </c>
      <c r="N56">
        <f t="shared" si="4"/>
        <v>1.7323202805376974</v>
      </c>
      <c r="O56">
        <f t="shared" si="5"/>
        <v>1.7323202805376974</v>
      </c>
      <c r="P56">
        <f t="shared" si="6"/>
        <v>1.7323202805376974</v>
      </c>
      <c r="Q56">
        <f t="shared" si="7"/>
        <v>0.82312646274189949</v>
      </c>
      <c r="R56">
        <f t="shared" si="8"/>
        <v>0.19464542942691526</v>
      </c>
      <c r="S56">
        <f>IF(M56="","",IF(L56="C",SUMIFS(Marginal_Model!$J:$J,Marginal_Model!$A:$A,B56,Marginal_Model!$C:$C,K56),IF(L56="T",SUMIFS(Marginal_Model!$K:$K,Marginal_Model!$A:$A,B56,Marginal_Model!$C:$C,K56),IF(L56="PT",SUMIFS(Marginal_Model!$L:$L,Marginal_Model!$A:$A,B56,Marginal_Model!$C:$C,K56),SUMIFS(Marginal_Model!$M:$M,Marginal_Model!$A:$A,B56,Marginal_Model!$C:$C,K56)))))</f>
        <v>1.5195791934541204E-3</v>
      </c>
      <c r="T56">
        <f t="shared" si="9"/>
        <v>6.4893218288647567</v>
      </c>
      <c r="U56">
        <f>IF(M56="","",Inputs!$B$7*R56+Inputs!$B$8*T56)</f>
        <v>1.4535807093144835</v>
      </c>
      <c r="V56">
        <f t="shared" si="10"/>
        <v>0.23373186205410568</v>
      </c>
      <c r="W56">
        <f>Inputs!$B$9</f>
        <v>15</v>
      </c>
      <c r="X56">
        <f t="shared" si="11"/>
        <v>0.69140853302162453</v>
      </c>
      <c r="Y56">
        <f t="shared" si="12"/>
        <v>0.49912992006885437</v>
      </c>
      <c r="Z56">
        <f t="shared" si="13"/>
        <v>0.69488885625919738</v>
      </c>
      <c r="AA56">
        <f>IF(M56="","",Inputs!$B$7*Z56+Inputs!$B$8*T56)</f>
        <v>1.8537754507803093</v>
      </c>
      <c r="AB56">
        <f t="shared" si="14"/>
        <v>0.15664464435394132</v>
      </c>
    </row>
    <row r="57" spans="1:28">
      <c r="A57" t="s">
        <v>201</v>
      </c>
      <c r="B57">
        <v>1</v>
      </c>
      <c r="C57">
        <v>3</v>
      </c>
      <c r="D57">
        <v>0.2</v>
      </c>
      <c r="E57">
        <f>IF(B57=1,Inputs!$B$5,Inputs!$B$6)</f>
        <v>4</v>
      </c>
      <c r="F57">
        <f>E57*Inputs!$B$4</f>
        <v>60</v>
      </c>
      <c r="G57">
        <f t="shared" si="0"/>
        <v>20</v>
      </c>
      <c r="H57">
        <f t="shared" si="1"/>
        <v>20</v>
      </c>
      <c r="I57">
        <f t="shared" si="2"/>
        <v>20</v>
      </c>
      <c r="J57">
        <f t="shared" si="3"/>
        <v>0</v>
      </c>
      <c r="K57">
        <v>3</v>
      </c>
      <c r="L57" t="s">
        <v>200</v>
      </c>
      <c r="M57">
        <f>IF(L57="C",E57*COMBIN(Inputs!$B$4,K57),IF(L57="T",(Inputs!$B$4-K57+1)*E57^K57,IF(L57="PT",E57*(Inputs!$B$4-K57+1),IF(AND(L57="E",K57&lt;=E57),Inputs!$B$4*COMBIN(E57,K57),""))))</f>
        <v>60</v>
      </c>
      <c r="N57">
        <f t="shared" si="4"/>
        <v>1.9988310929281121</v>
      </c>
      <c r="O57">
        <f t="shared" si="5"/>
        <v>1.9988310929281121</v>
      </c>
      <c r="P57">
        <f t="shared" si="6"/>
        <v>1.9988310929281121</v>
      </c>
      <c r="Q57">
        <f t="shared" si="7"/>
        <v>0.86450642990044213</v>
      </c>
      <c r="R57">
        <f t="shared" si="8"/>
        <v>0.14559653617628129</v>
      </c>
      <c r="S57">
        <f>IF(M57="","",IF(L57="C",SUMIFS(Marginal_Model!$J:$J,Marginal_Model!$A:$A,B57,Marginal_Model!$C:$C,K57),IF(L57="T",SUMIFS(Marginal_Model!$K:$K,Marginal_Model!$A:$A,B57,Marginal_Model!$C:$C,K57),IF(L57="PT",SUMIFS(Marginal_Model!$L:$L,Marginal_Model!$A:$A,B57,Marginal_Model!$C:$C,K57),SUMIFS(Marginal_Model!$M:$M,Marginal_Model!$A:$A,B57,Marginal_Model!$C:$C,K57)))))</f>
        <v>1.7533606078316774E-3</v>
      </c>
      <c r="T57">
        <f t="shared" si="9"/>
        <v>6.3462209852240834</v>
      </c>
      <c r="U57">
        <f>IF(M57="","",Inputs!$B$7*R57+Inputs!$B$8*T57)</f>
        <v>1.3857214259858415</v>
      </c>
      <c r="V57">
        <f t="shared" si="10"/>
        <v>0.2501432748231831</v>
      </c>
      <c r="W57">
        <f>Inputs!$B$9</f>
        <v>15</v>
      </c>
      <c r="X57">
        <f t="shared" si="11"/>
        <v>0.79777907656341307</v>
      </c>
      <c r="Y57">
        <f t="shared" si="12"/>
        <v>0.54967200167703711</v>
      </c>
      <c r="Z57">
        <f t="shared" si="13"/>
        <v>0.59843353923653009</v>
      </c>
      <c r="AA57">
        <f>IF(M57="","",Inputs!$B$7*Z57+Inputs!$B$8*T57)</f>
        <v>1.7479910284340405</v>
      </c>
      <c r="AB57">
        <f t="shared" si="14"/>
        <v>0.1741234012696195</v>
      </c>
    </row>
    <row r="58" spans="1:28">
      <c r="A58" t="s">
        <v>201</v>
      </c>
      <c r="B58">
        <v>1</v>
      </c>
      <c r="C58">
        <v>3</v>
      </c>
      <c r="D58">
        <v>0.2</v>
      </c>
      <c r="E58">
        <f>IF(B58=1,Inputs!$B$5,Inputs!$B$6)</f>
        <v>4</v>
      </c>
      <c r="F58">
        <f>E58*Inputs!$B$4</f>
        <v>60</v>
      </c>
      <c r="G58">
        <f t="shared" si="0"/>
        <v>20</v>
      </c>
      <c r="H58">
        <f t="shared" si="1"/>
        <v>20</v>
      </c>
      <c r="I58">
        <f t="shared" si="2"/>
        <v>20</v>
      </c>
      <c r="J58">
        <f t="shared" si="3"/>
        <v>0</v>
      </c>
      <c r="K58">
        <v>4</v>
      </c>
      <c r="L58" t="s">
        <v>197</v>
      </c>
      <c r="M58">
        <f>IF(L58="C",E58*COMBIN(Inputs!$B$4,K58),IF(L58="T",(Inputs!$B$4-K58+1)*E58^K58,IF(L58="PT",E58*(Inputs!$B$4-K58+1),IF(AND(L58="E",K58&lt;=E58),Inputs!$B$4*COMBIN(E58,K58),""))))</f>
        <v>5460</v>
      </c>
      <c r="N58">
        <f t="shared" si="4"/>
        <v>54.248977206312098</v>
      </c>
      <c r="O58">
        <f t="shared" si="5"/>
        <v>54.248977206312098</v>
      </c>
      <c r="P58">
        <f t="shared" si="6"/>
        <v>54.248977206312098</v>
      </c>
      <c r="Q58">
        <f t="shared" si="7"/>
        <v>1</v>
      </c>
      <c r="R58">
        <f t="shared" si="8"/>
        <v>0</v>
      </c>
      <c r="S58">
        <f>IF(M58="","",IF(L58="C",SUMIFS(Marginal_Model!$J:$J,Marginal_Model!$A:$A,B58,Marginal_Model!$C:$C,K58),IF(L58="T",SUMIFS(Marginal_Model!$K:$K,Marginal_Model!$A:$A,B58,Marginal_Model!$C:$C,K58),IF(L58="PT",SUMIFS(Marginal_Model!$L:$L,Marginal_Model!$A:$A,B58,Marginal_Model!$C:$C,K58),SUMIFS(Marginal_Model!$M:$M,Marginal_Model!$A:$A,B58,Marginal_Model!$C:$C,K58)))))</f>
        <v>1.1196899320188258E-2</v>
      </c>
      <c r="T58">
        <f t="shared" si="9"/>
        <v>4.4921183854218931</v>
      </c>
      <c r="U58">
        <f>IF(M58="","",Inputs!$B$7*R58+Inputs!$B$8*T58)</f>
        <v>0.89842367708437842</v>
      </c>
      <c r="V58">
        <f t="shared" si="10"/>
        <v>0.40721105019847276</v>
      </c>
      <c r="W58">
        <f>Inputs!$B$9</f>
        <v>15</v>
      </c>
      <c r="X58">
        <f t="shared" si="11"/>
        <v>15.283767572056965</v>
      </c>
      <c r="Y58">
        <f t="shared" si="12"/>
        <v>0.99999976967340842</v>
      </c>
      <c r="Z58">
        <f t="shared" si="13"/>
        <v>2.3032661810224149E-7</v>
      </c>
      <c r="AA58">
        <f>IF(M58="","",Inputs!$B$7*Z58+Inputs!$B$8*T58)</f>
        <v>0.89842386134567287</v>
      </c>
      <c r="AB58">
        <f t="shared" si="14"/>
        <v>0.4072109751652444</v>
      </c>
    </row>
    <row r="59" spans="1:28">
      <c r="A59" t="s">
        <v>201</v>
      </c>
      <c r="B59">
        <v>1</v>
      </c>
      <c r="C59">
        <v>3</v>
      </c>
      <c r="D59">
        <v>0.2</v>
      </c>
      <c r="E59">
        <f>IF(B59=1,Inputs!$B$5,Inputs!$B$6)</f>
        <v>4</v>
      </c>
      <c r="F59">
        <f>E59*Inputs!$B$4</f>
        <v>60</v>
      </c>
      <c r="G59">
        <f t="shared" si="0"/>
        <v>20</v>
      </c>
      <c r="H59">
        <f t="shared" si="1"/>
        <v>20</v>
      </c>
      <c r="I59">
        <f t="shared" si="2"/>
        <v>20</v>
      </c>
      <c r="J59">
        <f t="shared" si="3"/>
        <v>0</v>
      </c>
      <c r="K59">
        <v>4</v>
      </c>
      <c r="L59" t="s">
        <v>198</v>
      </c>
      <c r="M59">
        <f>IF(L59="C",E59*COMBIN(Inputs!$B$4,K59),IF(L59="T",(Inputs!$B$4-K59+1)*E59^K59,IF(L59="PT",E59*(Inputs!$B$4-K59+1),IF(AND(L59="E",K59&lt;=E59),Inputs!$B$4*COMBIN(E59,K59),""))))</f>
        <v>3072</v>
      </c>
      <c r="N59">
        <f t="shared" si="4"/>
        <v>30.522501461133839</v>
      </c>
      <c r="O59">
        <f t="shared" si="5"/>
        <v>30.522501461133839</v>
      </c>
      <c r="P59">
        <f t="shared" si="6"/>
        <v>30.522501461133839</v>
      </c>
      <c r="Q59">
        <f t="shared" si="7"/>
        <v>0.99999999999994449</v>
      </c>
      <c r="R59">
        <f t="shared" si="8"/>
        <v>5.5511151231259367E-14</v>
      </c>
      <c r="S59">
        <f>IF(M59="","",IF(L59="C",SUMIFS(Marginal_Model!$J:$J,Marginal_Model!$A:$A,B59,Marginal_Model!$C:$C,K59),IF(L59="T",SUMIFS(Marginal_Model!$K:$K,Marginal_Model!$A:$A,B59,Marginal_Model!$C:$C,K59),IF(L59="PT",SUMIFS(Marginal_Model!$L:$L,Marginal_Model!$A:$A,B59,Marginal_Model!$C:$C,K59),SUMIFS(Marginal_Model!$M:$M,Marginal_Model!$A:$A,B59,Marginal_Model!$C:$C,K59)))))</f>
        <v>3.1498969516133993E-3</v>
      </c>
      <c r="T59">
        <f t="shared" si="9"/>
        <v>5.7603855404532265</v>
      </c>
      <c r="U59">
        <f>IF(M59="","",Inputs!$B$7*R59+Inputs!$B$8*T59)</f>
        <v>1.1520771080906895</v>
      </c>
      <c r="V59">
        <f t="shared" si="10"/>
        <v>0.31597976315625109</v>
      </c>
      <c r="W59">
        <f>Inputs!$B$9</f>
        <v>15</v>
      </c>
      <c r="X59">
        <f t="shared" si="11"/>
        <v>8.5992186779045774</v>
      </c>
      <c r="Y59">
        <f t="shared" si="12"/>
        <v>0.99981575030419834</v>
      </c>
      <c r="Z59">
        <f t="shared" si="13"/>
        <v>1.8426667186211991E-4</v>
      </c>
      <c r="AA59">
        <f>IF(M59="","",Inputs!$B$7*Z59+Inputs!$B$8*T59)</f>
        <v>1.1522245214281348</v>
      </c>
      <c r="AB59">
        <f t="shared" si="14"/>
        <v>0.31593318695785988</v>
      </c>
    </row>
    <row r="60" spans="1:28">
      <c r="A60" t="s">
        <v>201</v>
      </c>
      <c r="B60">
        <v>1</v>
      </c>
      <c r="C60">
        <v>3</v>
      </c>
      <c r="D60">
        <v>0.2</v>
      </c>
      <c r="E60">
        <f>IF(B60=1,Inputs!$B$5,Inputs!$B$6)</f>
        <v>4</v>
      </c>
      <c r="F60">
        <f>E60*Inputs!$B$4</f>
        <v>60</v>
      </c>
      <c r="G60">
        <f t="shared" si="0"/>
        <v>20</v>
      </c>
      <c r="H60">
        <f t="shared" si="1"/>
        <v>20</v>
      </c>
      <c r="I60">
        <f t="shared" si="2"/>
        <v>20</v>
      </c>
      <c r="J60">
        <f t="shared" si="3"/>
        <v>0</v>
      </c>
      <c r="K60">
        <v>4</v>
      </c>
      <c r="L60" t="s">
        <v>199</v>
      </c>
      <c r="M60">
        <f>IF(L60="C",E60*COMBIN(Inputs!$B$4,K60),IF(L60="T",(Inputs!$B$4-K60+1)*E60^K60,IF(L60="PT",E60*(Inputs!$B$4-K60+1),IF(AND(L60="E",K60&lt;=E60),Inputs!$B$4*COMBIN(E60,K60),""))))</f>
        <v>48</v>
      </c>
      <c r="N60">
        <f t="shared" si="4"/>
        <v>0.47691408533021623</v>
      </c>
      <c r="O60">
        <f t="shared" si="5"/>
        <v>0.47691408533021623</v>
      </c>
      <c r="P60">
        <f t="shared" si="6"/>
        <v>0.47691408533021623</v>
      </c>
      <c r="Q60">
        <f t="shared" si="7"/>
        <v>0.37930414611795527</v>
      </c>
      <c r="R60">
        <f t="shared" si="8"/>
        <v>0.96941689937429965</v>
      </c>
      <c r="S60">
        <f>IF(M60="","",IF(L60="C",SUMIFS(Marginal_Model!$J:$J,Marginal_Model!$A:$A,B60,Marginal_Model!$C:$C,K60),IF(L60="T",SUMIFS(Marginal_Model!$K:$K,Marginal_Model!$A:$A,B60,Marginal_Model!$C:$C,K60),IF(L60="PT",SUMIFS(Marginal_Model!$L:$L,Marginal_Model!$A:$A,B60,Marginal_Model!$C:$C,K60),SUMIFS(Marginal_Model!$M:$M,Marginal_Model!$A:$A,B60,Marginal_Model!$C:$C,K60)))))</f>
        <v>4.9217139868959364E-5</v>
      </c>
      <c r="T60">
        <f t="shared" si="9"/>
        <v>9.9192686238128989</v>
      </c>
      <c r="U60">
        <f>IF(M60="","",Inputs!$B$7*R60+Inputs!$B$8*T60)</f>
        <v>2.7593872442620189</v>
      </c>
      <c r="V60">
        <f t="shared" si="10"/>
        <v>6.3330562638364674E-2</v>
      </c>
      <c r="W60">
        <f>Inputs!$B$9</f>
        <v>15</v>
      </c>
      <c r="X60">
        <f t="shared" si="11"/>
        <v>0.13436279184225902</v>
      </c>
      <c r="Y60">
        <f t="shared" si="12"/>
        <v>0.12572717198852157</v>
      </c>
      <c r="Z60">
        <f t="shared" si="13"/>
        <v>2.073641021364272</v>
      </c>
      <c r="AA60">
        <f>IF(M60="","",Inputs!$B$7*Z60+Inputs!$B$8*T60)</f>
        <v>3.6427665418539972</v>
      </c>
      <c r="AB60">
        <f t="shared" si="14"/>
        <v>2.6179816129248083E-2</v>
      </c>
    </row>
    <row r="61" spans="1:28">
      <c r="A61" t="s">
        <v>201</v>
      </c>
      <c r="B61">
        <v>1</v>
      </c>
      <c r="C61">
        <v>3</v>
      </c>
      <c r="D61">
        <v>0.2</v>
      </c>
      <c r="E61">
        <f>IF(B61=1,Inputs!$B$5,Inputs!$B$6)</f>
        <v>4</v>
      </c>
      <c r="F61">
        <f>E61*Inputs!$B$4</f>
        <v>60</v>
      </c>
      <c r="G61">
        <f t="shared" si="0"/>
        <v>20</v>
      </c>
      <c r="H61">
        <f t="shared" si="1"/>
        <v>20</v>
      </c>
      <c r="I61">
        <f t="shared" si="2"/>
        <v>20</v>
      </c>
      <c r="J61">
        <f t="shared" si="3"/>
        <v>0</v>
      </c>
      <c r="K61">
        <v>4</v>
      </c>
      <c r="L61" t="s">
        <v>200</v>
      </c>
      <c r="M61">
        <f>IF(L61="C",E61*COMBIN(Inputs!$B$4,K61),IF(L61="T",(Inputs!$B$4-K61+1)*E61^K61,IF(L61="PT",E61*(Inputs!$B$4-K61+1),IF(AND(L61="E",K61&lt;=E61),Inputs!$B$4*COMBIN(E61,K61),""))))</f>
        <v>15</v>
      </c>
      <c r="N61">
        <f t="shared" si="4"/>
        <v>0.14903565166569258</v>
      </c>
      <c r="O61">
        <f t="shared" si="5"/>
        <v>0.14903565166569258</v>
      </c>
      <c r="P61">
        <f t="shared" si="6"/>
        <v>0.14903565166569258</v>
      </c>
      <c r="Q61">
        <f t="shared" si="7"/>
        <v>0.13846160092755866</v>
      </c>
      <c r="R61">
        <f t="shared" si="8"/>
        <v>1.9771622414160404</v>
      </c>
      <c r="S61">
        <f>IF(M61="","",IF(L61="C",SUMIFS(Marginal_Model!$J:$J,Marginal_Model!$A:$A,B61,Marginal_Model!$C:$C,K61),IF(L61="T",SUMIFS(Marginal_Model!$K:$K,Marginal_Model!$A:$A,B61,Marginal_Model!$C:$C,K61),IF(L61="PT",SUMIFS(Marginal_Model!$L:$L,Marginal_Model!$A:$A,B61,Marginal_Model!$C:$C,K61),SUMIFS(Marginal_Model!$M:$M,Marginal_Model!$A:$A,B61,Marginal_Model!$C:$C,K61)))))</f>
        <v>3.0760712418099601E-5</v>
      </c>
      <c r="T61">
        <f t="shared" si="9"/>
        <v>10.389272253058634</v>
      </c>
      <c r="U61">
        <f>IF(M61="","",Inputs!$B$7*R61+Inputs!$B$8*T61)</f>
        <v>3.6595842437445589</v>
      </c>
      <c r="V61">
        <f t="shared" si="10"/>
        <v>2.5743213403776794E-2</v>
      </c>
      <c r="W61">
        <f>Inputs!$B$9</f>
        <v>15</v>
      </c>
      <c r="X61">
        <f t="shared" si="11"/>
        <v>4.1988372450705948E-2</v>
      </c>
      <c r="Y61">
        <f t="shared" si="12"/>
        <v>4.1119070057055507E-2</v>
      </c>
      <c r="Z61">
        <f t="shared" si="13"/>
        <v>3.191283273434939</v>
      </c>
      <c r="AA61">
        <f>IF(M61="","",Inputs!$B$7*Z61+Inputs!$B$8*T61)</f>
        <v>4.6308810693596776</v>
      </c>
      <c r="AB61">
        <f t="shared" si="14"/>
        <v>9.7461682681029473E-3</v>
      </c>
    </row>
    <row r="62" spans="1:28">
      <c r="A62" t="s">
        <v>201</v>
      </c>
      <c r="B62">
        <v>1</v>
      </c>
      <c r="C62">
        <v>3</v>
      </c>
      <c r="D62">
        <v>0.2</v>
      </c>
      <c r="E62">
        <f>IF(B62=1,Inputs!$B$5,Inputs!$B$6)</f>
        <v>4</v>
      </c>
      <c r="F62">
        <f>E62*Inputs!$B$4</f>
        <v>60</v>
      </c>
      <c r="G62">
        <f t="shared" si="0"/>
        <v>20</v>
      </c>
      <c r="H62">
        <f t="shared" si="1"/>
        <v>20</v>
      </c>
      <c r="I62">
        <f t="shared" si="2"/>
        <v>20</v>
      </c>
      <c r="J62">
        <f t="shared" si="3"/>
        <v>0</v>
      </c>
      <c r="K62">
        <v>5</v>
      </c>
      <c r="L62" t="s">
        <v>197</v>
      </c>
      <c r="M62">
        <f>IF(L62="C",E62*COMBIN(Inputs!$B$4,K62),IF(L62="T",(Inputs!$B$4-K62+1)*E62^K62,IF(L62="PT",E62*(Inputs!$B$4-K62+1),IF(AND(L62="E",K62&lt;=E62),Inputs!$B$4*COMBIN(E62,K62),""))))</f>
        <v>12012</v>
      </c>
      <c r="N62">
        <f t="shared" si="4"/>
        <v>34.099357101110456</v>
      </c>
      <c r="O62">
        <f t="shared" si="5"/>
        <v>34.099357101110456</v>
      </c>
      <c r="P62">
        <f t="shared" si="6"/>
        <v>34.099357101110456</v>
      </c>
      <c r="Q62">
        <f t="shared" si="7"/>
        <v>0.99999999999999845</v>
      </c>
      <c r="R62">
        <f t="shared" si="8"/>
        <v>1.5543122344752203E-15</v>
      </c>
      <c r="S62">
        <f>IF(M62="","",IF(L62="C",SUMIFS(Marginal_Model!$J:$J,Marginal_Model!$A:$A,B62,Marginal_Model!$C:$C,K62),IF(L62="T",SUMIFS(Marginal_Model!$K:$K,Marginal_Model!$A:$A,B62,Marginal_Model!$C:$C,K62),IF(L62="PT",SUMIFS(Marginal_Model!$L:$L,Marginal_Model!$A:$A,B62,Marginal_Model!$C:$C,K62),SUMIFS(Marginal_Model!$M:$M,Marginal_Model!$A:$A,B62,Marginal_Model!$C:$C,K62)))))</f>
        <v>2.199390937894122E-3</v>
      </c>
      <c r="T62">
        <f t="shared" si="9"/>
        <v>6.1195748033586721</v>
      </c>
      <c r="U62">
        <f>IF(M62="","",Inputs!$B$7*R62+Inputs!$B$8*T62)</f>
        <v>1.2239149606717354</v>
      </c>
      <c r="V62">
        <f t="shared" si="10"/>
        <v>0.29407661196591334</v>
      </c>
      <c r="W62">
        <f>Inputs!$B$9</f>
        <v>15</v>
      </c>
      <c r="X62">
        <f t="shared" si="11"/>
        <v>6.6047709864960451</v>
      </c>
      <c r="Y62">
        <f t="shared" si="12"/>
        <v>0.99864610680202093</v>
      </c>
      <c r="Z62">
        <f t="shared" si="13"/>
        <v>1.354810539456582E-3</v>
      </c>
      <c r="AA62">
        <f>IF(M62="","",Inputs!$B$7*Z62+Inputs!$B$8*T62)</f>
        <v>1.2249988091032993</v>
      </c>
      <c r="AB62">
        <f t="shared" si="14"/>
        <v>0.29375805015881723</v>
      </c>
    </row>
    <row r="63" spans="1:28">
      <c r="A63" t="s">
        <v>201</v>
      </c>
      <c r="B63">
        <v>1</v>
      </c>
      <c r="C63">
        <v>3</v>
      </c>
      <c r="D63">
        <v>0.2</v>
      </c>
      <c r="E63">
        <f>IF(B63=1,Inputs!$B$5,Inputs!$B$6)</f>
        <v>4</v>
      </c>
      <c r="F63">
        <f>E63*Inputs!$B$4</f>
        <v>60</v>
      </c>
      <c r="G63">
        <f t="shared" si="0"/>
        <v>20</v>
      </c>
      <c r="H63">
        <f t="shared" si="1"/>
        <v>20</v>
      </c>
      <c r="I63">
        <f t="shared" si="2"/>
        <v>20</v>
      </c>
      <c r="J63">
        <f t="shared" si="3"/>
        <v>0</v>
      </c>
      <c r="K63">
        <v>5</v>
      </c>
      <c r="L63" t="s">
        <v>198</v>
      </c>
      <c r="M63">
        <f>IF(L63="C",E63*COMBIN(Inputs!$B$4,K63),IF(L63="T",(Inputs!$B$4-K63+1)*E63^K63,IF(L63="PT",E63*(Inputs!$B$4-K63+1),IF(AND(L63="E",K63&lt;=E63),Inputs!$B$4*COMBIN(E63,K63),""))))</f>
        <v>11264</v>
      </c>
      <c r="N63">
        <f t="shared" si="4"/>
        <v>31.975953911664018</v>
      </c>
      <c r="O63">
        <f t="shared" si="5"/>
        <v>31.975953911664018</v>
      </c>
      <c r="P63">
        <f t="shared" si="6"/>
        <v>31.975953911664018</v>
      </c>
      <c r="Q63">
        <f t="shared" si="7"/>
        <v>0.99999999999998701</v>
      </c>
      <c r="R63">
        <f t="shared" si="8"/>
        <v>1.2989609388114415E-14</v>
      </c>
      <c r="S63">
        <f>IF(M63="","",IF(L63="C",SUMIFS(Marginal_Model!$J:$J,Marginal_Model!$A:$A,B63,Marginal_Model!$C:$C,K63),IF(L63="T",SUMIFS(Marginal_Model!$K:$K,Marginal_Model!$A:$A,B63,Marginal_Model!$C:$C,K63),IF(L63="PT",SUMIFS(Marginal_Model!$L:$L,Marginal_Model!$A:$A,B63,Marginal_Model!$C:$C,K63),SUMIFS(Marginal_Model!$M:$M,Marginal_Model!$A:$A,B63,Marginal_Model!$C:$C,K63)))))</f>
        <v>4.1248650556842138E-4</v>
      </c>
      <c r="T63">
        <f t="shared" si="9"/>
        <v>7.7933070664981692</v>
      </c>
      <c r="U63">
        <f>IF(M63="","",Inputs!$B$7*R63+Inputs!$B$8*T63)</f>
        <v>1.5586614132996439</v>
      </c>
      <c r="V63">
        <f t="shared" si="10"/>
        <v>0.21041754489738351</v>
      </c>
      <c r="W63">
        <f>Inputs!$B$9</f>
        <v>15</v>
      </c>
      <c r="X63">
        <f t="shared" si="11"/>
        <v>6.1934848811098444</v>
      </c>
      <c r="Y63">
        <f t="shared" si="12"/>
        <v>0.99795730421674655</v>
      </c>
      <c r="Z63">
        <f t="shared" si="13"/>
        <v>2.0447849317662948E-3</v>
      </c>
      <c r="AA63">
        <f>IF(M63="","",Inputs!$B$7*Z63+Inputs!$B$8*T63)</f>
        <v>1.5602972412450464</v>
      </c>
      <c r="AB63">
        <f t="shared" si="14"/>
        <v>0.21007361937542082</v>
      </c>
    </row>
    <row r="64" spans="1:28">
      <c r="A64" t="s">
        <v>201</v>
      </c>
      <c r="B64">
        <v>1</v>
      </c>
      <c r="C64">
        <v>3</v>
      </c>
      <c r="D64">
        <v>0.2</v>
      </c>
      <c r="E64">
        <f>IF(B64=1,Inputs!$B$5,Inputs!$B$6)</f>
        <v>4</v>
      </c>
      <c r="F64">
        <f>E64*Inputs!$B$4</f>
        <v>60</v>
      </c>
      <c r="G64">
        <f t="shared" si="0"/>
        <v>20</v>
      </c>
      <c r="H64">
        <f t="shared" si="1"/>
        <v>20</v>
      </c>
      <c r="I64">
        <f t="shared" si="2"/>
        <v>20</v>
      </c>
      <c r="J64">
        <f t="shared" si="3"/>
        <v>0</v>
      </c>
      <c r="K64">
        <v>5</v>
      </c>
      <c r="L64" t="s">
        <v>199</v>
      </c>
      <c r="M64">
        <f>IF(L64="C",E64*COMBIN(Inputs!$B$4,K64),IF(L64="T",(Inputs!$B$4-K64+1)*E64^K64,IF(L64="PT",E64*(Inputs!$B$4-K64+1),IF(AND(L64="E",K64&lt;=E64),Inputs!$B$4*COMBIN(E64,K64),""))))</f>
        <v>44</v>
      </c>
      <c r="N64">
        <f t="shared" si="4"/>
        <v>0.12490606996743757</v>
      </c>
      <c r="O64">
        <f t="shared" si="5"/>
        <v>0.12490606996743757</v>
      </c>
      <c r="P64">
        <f t="shared" si="6"/>
        <v>0.12490606996743757</v>
      </c>
      <c r="Q64">
        <f t="shared" si="7"/>
        <v>0.11742020055941738</v>
      </c>
      <c r="R64">
        <f t="shared" si="8"/>
        <v>2.1419963202959686</v>
      </c>
      <c r="S64">
        <f>IF(M64="","",IF(L64="C",SUMIFS(Marginal_Model!$J:$J,Marginal_Model!$A:$A,B64,Marginal_Model!$C:$C,K64),IF(L64="T",SUMIFS(Marginal_Model!$K:$K,Marginal_Model!$A:$A,B64,Marginal_Model!$C:$C,K64),IF(L64="PT",SUMIFS(Marginal_Model!$L:$L,Marginal_Model!$A:$A,B64,Marginal_Model!$C:$C,K64),SUMIFS(Marginal_Model!$M:$M,Marginal_Model!$A:$A,B64,Marginal_Model!$C:$C,K64)))))</f>
        <v>1.611275412376646E-6</v>
      </c>
      <c r="T64">
        <f t="shared" si="9"/>
        <v>13.338484510977732</v>
      </c>
      <c r="U64">
        <f>IF(M64="","",Inputs!$B$7*R64+Inputs!$B$8*T64)</f>
        <v>4.3812939584323205</v>
      </c>
      <c r="V64">
        <f t="shared" si="10"/>
        <v>1.2509161808929531E-2</v>
      </c>
      <c r="W64">
        <f>Inputs!$B$9</f>
        <v>15</v>
      </c>
      <c r="X64">
        <f t="shared" si="11"/>
        <v>2.419330031683533E-2</v>
      </c>
      <c r="Y64">
        <f t="shared" si="12"/>
        <v>2.3902988340820053E-2</v>
      </c>
      <c r="Z64">
        <f t="shared" si="13"/>
        <v>3.7337517926801636</v>
      </c>
      <c r="AA64">
        <f>IF(M64="","",Inputs!$B$7*Z64+Inputs!$B$8*T64)</f>
        <v>5.6546983363396768</v>
      </c>
      <c r="AB64">
        <f t="shared" si="14"/>
        <v>3.5010290607660425E-3</v>
      </c>
    </row>
    <row r="65" spans="1:28">
      <c r="A65" t="s">
        <v>201</v>
      </c>
      <c r="B65">
        <v>1</v>
      </c>
      <c r="C65">
        <v>3</v>
      </c>
      <c r="D65">
        <v>0.2</v>
      </c>
      <c r="E65">
        <f>IF(B65=1,Inputs!$B$5,Inputs!$B$6)</f>
        <v>4</v>
      </c>
      <c r="F65">
        <f>E65*Inputs!$B$4</f>
        <v>60</v>
      </c>
      <c r="G65">
        <f t="shared" si="0"/>
        <v>20</v>
      </c>
      <c r="H65">
        <f t="shared" si="1"/>
        <v>20</v>
      </c>
      <c r="I65">
        <f t="shared" si="2"/>
        <v>20</v>
      </c>
      <c r="J65">
        <f t="shared" si="3"/>
        <v>0</v>
      </c>
      <c r="K65">
        <v>5</v>
      </c>
      <c r="L65" t="s">
        <v>200</v>
      </c>
      <c r="M65" t="str">
        <f>IF(L65="C",E65*COMBIN(Inputs!$B$4,K65),IF(L65="T",(Inputs!$B$4-K65+1)*E65^K65,IF(L65="PT",E65*(Inputs!$B$4-K65+1),IF(AND(L65="E",K65&lt;=E65),Inputs!$B$4*COMBIN(E65,K65),""))))</f>
        <v/>
      </c>
      <c r="N65" t="str">
        <f t="shared" si="4"/>
        <v/>
      </c>
      <c r="O65" t="str">
        <f t="shared" si="5"/>
        <v/>
      </c>
      <c r="P65" t="str">
        <f t="shared" si="6"/>
        <v/>
      </c>
      <c r="Q65" t="str">
        <f t="shared" si="7"/>
        <v/>
      </c>
      <c r="R65" t="str">
        <f t="shared" si="8"/>
        <v/>
      </c>
      <c r="S65" t="str">
        <f>IF(M65="","",IF(L65="C",SUMIFS(Marginal_Model!$J:$J,Marginal_Model!$A:$A,B65,Marginal_Model!$C:$C,K65),IF(L65="T",SUMIFS(Marginal_Model!$K:$K,Marginal_Model!$A:$A,B65,Marginal_Model!$C:$C,K65),IF(L65="PT",SUMIFS(Marginal_Model!$L:$L,Marginal_Model!$A:$A,B65,Marginal_Model!$C:$C,K65),SUMIFS(Marginal_Model!$M:$M,Marginal_Model!$A:$A,B65,Marginal_Model!$C:$C,K65)))))</f>
        <v/>
      </c>
      <c r="T65" t="str">
        <f t="shared" si="9"/>
        <v/>
      </c>
      <c r="U65" t="str">
        <f>IF(M65="","",Inputs!$B$7*R65+Inputs!$B$8*T65)</f>
        <v/>
      </c>
      <c r="V65" t="str">
        <f t="shared" si="10"/>
        <v/>
      </c>
      <c r="W65">
        <f>Inputs!$B$9</f>
        <v>15</v>
      </c>
      <c r="X65" t="str">
        <f t="shared" si="11"/>
        <v/>
      </c>
      <c r="Y65" t="str">
        <f t="shared" si="12"/>
        <v/>
      </c>
      <c r="Z65" t="str">
        <f t="shared" si="13"/>
        <v/>
      </c>
      <c r="AA65" t="str">
        <f>IF(M65="","",Inputs!$B$7*Z65+Inputs!$B$8*T65)</f>
        <v/>
      </c>
      <c r="AB65" t="str">
        <f t="shared" si="14"/>
        <v/>
      </c>
    </row>
    <row r="66" spans="1:28">
      <c r="A66" t="s">
        <v>201</v>
      </c>
      <c r="B66">
        <v>1</v>
      </c>
      <c r="C66">
        <v>3</v>
      </c>
      <c r="D66">
        <v>0.2</v>
      </c>
      <c r="E66">
        <f>IF(B66=1,Inputs!$B$5,Inputs!$B$6)</f>
        <v>4</v>
      </c>
      <c r="F66">
        <f>E66*Inputs!$B$4</f>
        <v>60</v>
      </c>
      <c r="G66">
        <f t="shared" ref="G66:G129" si="15">F66/C66</f>
        <v>20</v>
      </c>
      <c r="H66">
        <f t="shared" ref="H66:H129" si="16">ROUNDDOWN(G66,0)</f>
        <v>20</v>
      </c>
      <c r="I66">
        <f t="shared" ref="I66:I129" si="17">ROUNDUP(G66,0)</f>
        <v>20</v>
      </c>
      <c r="J66">
        <f t="shared" ref="J66:J129" si="18">G66-H66</f>
        <v>0</v>
      </c>
      <c r="K66">
        <v>6</v>
      </c>
      <c r="L66" t="s">
        <v>197</v>
      </c>
      <c r="M66">
        <f>IF(L66="C",E66*COMBIN(Inputs!$B$4,K66),IF(L66="T",(Inputs!$B$4-K66+1)*E66^K66,IF(L66="PT",E66*(Inputs!$B$4-K66+1),IF(AND(L66="E",K66&lt;=E66),Inputs!$B$4*COMBIN(E66,K66),""))))</f>
        <v>20020</v>
      </c>
      <c r="N66">
        <f t="shared" ref="N66:N129" si="19">IF(OR(M66="",H66&lt;K66),"",M66*COMBIN(F66-K66,H66-K66)/COMBIN(F66,H66))</f>
        <v>15.499707773232027</v>
      </c>
      <c r="O66">
        <f t="shared" ref="O66:O129" si="20">IF(OR(M66="",I66&lt;K66),"",M66*COMBIN(F66-K66,I66-K66)/COMBIN(F66,I66))</f>
        <v>15.499707773232027</v>
      </c>
      <c r="P66">
        <f t="shared" ref="P66:P129" si="21">IF(M66="","",IF(H66=I66,N66,(1-J66)*N66+J66*O66))</f>
        <v>15.499707773232027</v>
      </c>
      <c r="Q66">
        <f t="shared" ref="Q66:Q129" si="22">IF(P66="","",1-EXP(-P66))</f>
        <v>0.99999981440663632</v>
      </c>
      <c r="R66">
        <f t="shared" ref="R66:R129" si="23">IF(Q66="","",-LN(Q66))</f>
        <v>1.8559338089985587E-7</v>
      </c>
      <c r="S66">
        <f>IF(M66="","",IF(L66="C",SUMIFS(Marginal_Model!$J:$J,Marginal_Model!$A:$A,B66,Marginal_Model!$C:$C,K66),IF(L66="T",SUMIFS(Marginal_Model!$K:$K,Marginal_Model!$A:$A,B66,Marginal_Model!$C:$C,K66),IF(L66="PT",SUMIFS(Marginal_Model!$L:$L,Marginal_Model!$A:$A,B66,Marginal_Model!$C:$C,K66),SUMIFS(Marginal_Model!$M:$M,Marginal_Model!$A:$A,B66,Marginal_Model!$C:$C,K66)))))</f>
        <v>3.9988926143529491E-4</v>
      </c>
      <c r="T66">
        <f t="shared" ref="T66:T129" si="24">IF(S66="","",-LN(S66))</f>
        <v>7.8243228955970974</v>
      </c>
      <c r="U66">
        <f>IF(M66="","",Inputs!$B$7*R66+Inputs!$B$8*T66)</f>
        <v>1.5648647275941239</v>
      </c>
      <c r="V66">
        <f t="shared" ref="V66:V129" si="25">IF(U66="","",EXP(-U66))</f>
        <v>0.20911629892496245</v>
      </c>
      <c r="W66">
        <f>Inputs!$B$9</f>
        <v>15</v>
      </c>
      <c r="X66">
        <f t="shared" ref="X66:X129" si="26">IF(OR(M66="",W66&lt;K66),"",M66*COMBIN(F66-K66,W66-K66)/COMBIN(F66,W66))</f>
        <v>2.0014457534836496</v>
      </c>
      <c r="Y66">
        <f t="shared" ref="Y66:Y129" si="27">IF(X66="","",1-EXP(-X66))</f>
        <v>0.86486023684960811</v>
      </c>
      <c r="Z66">
        <f t="shared" ref="Z66:Z129" si="28">IF(Y66="","",-LN(Y66))</f>
        <v>0.14518736100145593</v>
      </c>
      <c r="AA66">
        <f>IF(M66="","",Inputs!$B$7*Z66+Inputs!$B$8*T66)</f>
        <v>1.6810144679205838</v>
      </c>
      <c r="AB66">
        <f t="shared" ref="AB66:AB129" si="29">IF(AA66="","",EXP(-AA66))</f>
        <v>0.18618500149000228</v>
      </c>
    </row>
    <row r="67" spans="1:28">
      <c r="A67" t="s">
        <v>201</v>
      </c>
      <c r="B67">
        <v>1</v>
      </c>
      <c r="C67">
        <v>3</v>
      </c>
      <c r="D67">
        <v>0.2</v>
      </c>
      <c r="E67">
        <f>IF(B67=1,Inputs!$B$5,Inputs!$B$6)</f>
        <v>4</v>
      </c>
      <c r="F67">
        <f>E67*Inputs!$B$4</f>
        <v>60</v>
      </c>
      <c r="G67">
        <f t="shared" si="15"/>
        <v>20</v>
      </c>
      <c r="H67">
        <f t="shared" si="16"/>
        <v>20</v>
      </c>
      <c r="I67">
        <f t="shared" si="17"/>
        <v>20</v>
      </c>
      <c r="J67">
        <f t="shared" si="18"/>
        <v>0</v>
      </c>
      <c r="K67">
        <v>6</v>
      </c>
      <c r="L67" t="s">
        <v>198</v>
      </c>
      <c r="M67">
        <f>IF(L67="C",E67*COMBIN(Inputs!$B$4,K67),IF(L67="T",(Inputs!$B$4-K67+1)*E67^K67,IF(L67="PT",E67*(Inputs!$B$4-K67+1),IF(AND(L67="E",K67&lt;=E67),Inputs!$B$4*COMBIN(E67,K67),""))))</f>
        <v>40960</v>
      </c>
      <c r="N67">
        <f t="shared" si="19"/>
        <v>31.711689829749439</v>
      </c>
      <c r="O67">
        <f t="shared" si="20"/>
        <v>31.711689829749439</v>
      </c>
      <c r="P67">
        <f t="shared" si="21"/>
        <v>31.711689829749439</v>
      </c>
      <c r="Q67">
        <f t="shared" si="22"/>
        <v>0.99999999999998312</v>
      </c>
      <c r="R67">
        <f t="shared" si="23"/>
        <v>1.6875389974302521E-14</v>
      </c>
      <c r="S67">
        <f>IF(M67="","",IF(L67="C",SUMIFS(Marginal_Model!$J:$J,Marginal_Model!$A:$A,B67,Marginal_Model!$C:$C,K67),IF(L67="T",SUMIFS(Marginal_Model!$K:$K,Marginal_Model!$A:$A,B67,Marginal_Model!$C:$C,K67),IF(L67="PT",SUMIFS(Marginal_Model!$L:$L,Marginal_Model!$A:$A,B67,Marginal_Model!$C:$C,K67),SUMIFS(Marginal_Model!$M:$M,Marginal_Model!$A:$A,B67,Marginal_Model!$C:$C,K67)))))</f>
        <v>5.454367015780779E-5</v>
      </c>
      <c r="T67">
        <f t="shared" si="24"/>
        <v>9.8165088898551289</v>
      </c>
      <c r="U67">
        <f>IF(M67="","",Inputs!$B$7*R67+Inputs!$B$8*T67)</f>
        <v>1.9633017779710389</v>
      </c>
      <c r="V67">
        <f t="shared" si="25"/>
        <v>0.14039410464625751</v>
      </c>
      <c r="W67">
        <f>Inputs!$B$9</f>
        <v>15</v>
      </c>
      <c r="X67">
        <f t="shared" si="26"/>
        <v>4.0948660370974164</v>
      </c>
      <c r="Y67">
        <f t="shared" si="27"/>
        <v>0.98334202231551537</v>
      </c>
      <c r="Z67">
        <f t="shared" si="28"/>
        <v>1.6798282102354206E-2</v>
      </c>
      <c r="AA67">
        <f>IF(M67="","",Inputs!$B$7*Z67+Inputs!$B$8*T67)</f>
        <v>1.9767404036529088</v>
      </c>
      <c r="AB67">
        <f t="shared" si="29"/>
        <v>0.13852002158072604</v>
      </c>
    </row>
    <row r="68" spans="1:28">
      <c r="A68" t="s">
        <v>201</v>
      </c>
      <c r="B68">
        <v>1</v>
      </c>
      <c r="C68">
        <v>3</v>
      </c>
      <c r="D68">
        <v>0.2</v>
      </c>
      <c r="E68">
        <f>IF(B68=1,Inputs!$B$5,Inputs!$B$6)</f>
        <v>4</v>
      </c>
      <c r="F68">
        <f>E68*Inputs!$B$4</f>
        <v>60</v>
      </c>
      <c r="G68">
        <f t="shared" si="15"/>
        <v>20</v>
      </c>
      <c r="H68">
        <f t="shared" si="16"/>
        <v>20</v>
      </c>
      <c r="I68">
        <f t="shared" si="17"/>
        <v>20</v>
      </c>
      <c r="J68">
        <f t="shared" si="18"/>
        <v>0</v>
      </c>
      <c r="K68">
        <v>6</v>
      </c>
      <c r="L68" t="s">
        <v>199</v>
      </c>
      <c r="M68">
        <f>IF(L68="C",E68*COMBIN(Inputs!$B$4,K68),IF(L68="T",(Inputs!$B$4-K68+1)*E68^K68,IF(L68="PT",E68*(Inputs!$B$4-K68+1),IF(AND(L68="E",K68&lt;=E68),Inputs!$B$4*COMBIN(E68,K68),""))))</f>
        <v>40</v>
      </c>
      <c r="N68">
        <f t="shared" si="19"/>
        <v>3.0968447099364686E-2</v>
      </c>
      <c r="O68">
        <f t="shared" si="20"/>
        <v>3.0968447099364686E-2</v>
      </c>
      <c r="P68">
        <f t="shared" si="21"/>
        <v>3.0968447099364686E-2</v>
      </c>
      <c r="Q68">
        <f t="shared" si="22"/>
        <v>3.0493836674945429E-2</v>
      </c>
      <c r="R68">
        <f t="shared" si="23"/>
        <v>3.4902306920202211</v>
      </c>
      <c r="S68">
        <f>IF(M68="","",IF(L68="C",SUMIFS(Marginal_Model!$J:$J,Marginal_Model!$A:$A,B68,Marginal_Model!$C:$C,K68),IF(L68="T",SUMIFS(Marginal_Model!$K:$K,Marginal_Model!$A:$A,B68,Marginal_Model!$C:$C,K68),IF(L68="PT",SUMIFS(Marginal_Model!$L:$L,Marginal_Model!$A:$A,B68,Marginal_Model!$C:$C,K68),SUMIFS(Marginal_Model!$M:$M,Marginal_Model!$A:$A,B68,Marginal_Model!$C:$C,K68)))))</f>
        <v>5.326530288848417E-8</v>
      </c>
      <c r="T68">
        <f t="shared" si="24"/>
        <v>16.747980695454583</v>
      </c>
      <c r="U68">
        <f>IF(M68="","",Inputs!$B$7*R68+Inputs!$B$8*T68)</f>
        <v>6.1417806927070924</v>
      </c>
      <c r="V68">
        <f t="shared" si="25"/>
        <v>2.1510897759867424E-3</v>
      </c>
      <c r="W68">
        <f>Inputs!$B$9</f>
        <v>15</v>
      </c>
      <c r="X68">
        <f t="shared" si="26"/>
        <v>3.9988926143529457E-3</v>
      </c>
      <c r="Y68">
        <f t="shared" si="27"/>
        <v>3.9909076904460772E-3</v>
      </c>
      <c r="Z68">
        <f t="shared" si="28"/>
        <v>5.5237365826127274</v>
      </c>
      <c r="AA68">
        <f>IF(M68="","",Inputs!$B$7*Z68+Inputs!$B$8*T68)</f>
        <v>7.7685854051810974</v>
      </c>
      <c r="AB68">
        <f t="shared" si="29"/>
        <v>4.2281095014898057E-4</v>
      </c>
    </row>
    <row r="69" spans="1:28">
      <c r="A69" t="s">
        <v>201</v>
      </c>
      <c r="B69">
        <v>1</v>
      </c>
      <c r="C69">
        <v>3</v>
      </c>
      <c r="D69">
        <v>0.2</v>
      </c>
      <c r="E69">
        <f>IF(B69=1,Inputs!$B$5,Inputs!$B$6)</f>
        <v>4</v>
      </c>
      <c r="F69">
        <f>E69*Inputs!$B$4</f>
        <v>60</v>
      </c>
      <c r="G69">
        <f t="shared" si="15"/>
        <v>20</v>
      </c>
      <c r="H69">
        <f t="shared" si="16"/>
        <v>20</v>
      </c>
      <c r="I69">
        <f t="shared" si="17"/>
        <v>20</v>
      </c>
      <c r="J69">
        <f t="shared" si="18"/>
        <v>0</v>
      </c>
      <c r="K69">
        <v>6</v>
      </c>
      <c r="L69" t="s">
        <v>200</v>
      </c>
      <c r="M69" t="str">
        <f>IF(L69="C",E69*COMBIN(Inputs!$B$4,K69),IF(L69="T",(Inputs!$B$4-K69+1)*E69^K69,IF(L69="PT",E69*(Inputs!$B$4-K69+1),IF(AND(L69="E",K69&lt;=E69),Inputs!$B$4*COMBIN(E69,K69),""))))</f>
        <v/>
      </c>
      <c r="N69" t="str">
        <f t="shared" si="19"/>
        <v/>
      </c>
      <c r="O69" t="str">
        <f t="shared" si="20"/>
        <v/>
      </c>
      <c r="P69" t="str">
        <f t="shared" si="21"/>
        <v/>
      </c>
      <c r="Q69" t="str">
        <f t="shared" si="22"/>
        <v/>
      </c>
      <c r="R69" t="str">
        <f t="shared" si="23"/>
        <v/>
      </c>
      <c r="S69" t="str">
        <f>IF(M69="","",IF(L69="C",SUMIFS(Marginal_Model!$J:$J,Marginal_Model!$A:$A,B69,Marginal_Model!$C:$C,K69),IF(L69="T",SUMIFS(Marginal_Model!$K:$K,Marginal_Model!$A:$A,B69,Marginal_Model!$C:$C,K69),IF(L69="PT",SUMIFS(Marginal_Model!$L:$L,Marginal_Model!$A:$A,B69,Marginal_Model!$C:$C,K69),SUMIFS(Marginal_Model!$M:$M,Marginal_Model!$A:$A,B69,Marginal_Model!$C:$C,K69)))))</f>
        <v/>
      </c>
      <c r="T69" t="str">
        <f t="shared" si="24"/>
        <v/>
      </c>
      <c r="U69" t="str">
        <f>IF(M69="","",Inputs!$B$7*R69+Inputs!$B$8*T69)</f>
        <v/>
      </c>
      <c r="V69" t="str">
        <f t="shared" si="25"/>
        <v/>
      </c>
      <c r="W69">
        <f>Inputs!$B$9</f>
        <v>15</v>
      </c>
      <c r="X69" t="str">
        <f t="shared" si="26"/>
        <v/>
      </c>
      <c r="Y69" t="str">
        <f t="shared" si="27"/>
        <v/>
      </c>
      <c r="Z69" t="str">
        <f t="shared" si="28"/>
        <v/>
      </c>
      <c r="AA69" t="str">
        <f>IF(M69="","",Inputs!$B$7*Z69+Inputs!$B$8*T69)</f>
        <v/>
      </c>
      <c r="AB69" t="str">
        <f t="shared" si="29"/>
        <v/>
      </c>
    </row>
    <row r="70" spans="1:28">
      <c r="A70" t="s">
        <v>201</v>
      </c>
      <c r="B70">
        <v>1</v>
      </c>
      <c r="C70">
        <v>3</v>
      </c>
      <c r="D70">
        <v>0.2</v>
      </c>
      <c r="E70">
        <f>IF(B70=1,Inputs!$B$5,Inputs!$B$6)</f>
        <v>4</v>
      </c>
      <c r="F70">
        <f>E70*Inputs!$B$4</f>
        <v>60</v>
      </c>
      <c r="G70">
        <f t="shared" si="15"/>
        <v>20</v>
      </c>
      <c r="H70">
        <f t="shared" si="16"/>
        <v>20</v>
      </c>
      <c r="I70">
        <f t="shared" si="17"/>
        <v>20</v>
      </c>
      <c r="J70">
        <f t="shared" si="18"/>
        <v>0</v>
      </c>
      <c r="K70">
        <v>7</v>
      </c>
      <c r="L70" t="s">
        <v>197</v>
      </c>
      <c r="M70">
        <f>IF(L70="C",E70*COMBIN(Inputs!$B$4,K70),IF(L70="T",(Inputs!$B$4-K70+1)*E70^K70,IF(L70="PT",E70*(Inputs!$B$4-K70+1),IF(AND(L70="E",K70&lt;=E70),Inputs!$B$4*COMBIN(E70,K70),""))))</f>
        <v>25739.999999999996</v>
      </c>
      <c r="N70">
        <f t="shared" si="19"/>
        <v>5.1665692577440083</v>
      </c>
      <c r="O70">
        <f t="shared" si="20"/>
        <v>5.1665692577440083</v>
      </c>
      <c r="P70">
        <f t="shared" si="21"/>
        <v>5.1665692577440083</v>
      </c>
      <c r="Q70">
        <f t="shared" si="22"/>
        <v>0.99429589539836949</v>
      </c>
      <c r="R70">
        <f t="shared" si="23"/>
        <v>5.7204351366127266E-3</v>
      </c>
      <c r="S70">
        <f>IF(M70="","",IF(L70="C",SUMIFS(Marginal_Model!$J:$J,Marginal_Model!$A:$A,B70,Marginal_Model!$C:$C,K70),IF(L70="T",SUMIFS(Marginal_Model!$K:$K,Marginal_Model!$A:$A,B70,Marginal_Model!$C:$C,K70),IF(L70="PT",SUMIFS(Marginal_Model!$L:$L,Marginal_Model!$A:$A,B70,Marginal_Model!$C:$C,K70),SUMIFS(Marginal_Model!$M:$M,Marginal_Model!$A:$A,B70,Marginal_Model!$C:$C,K70)))))</f>
        <v>6.664821023921581E-5</v>
      </c>
      <c r="T70">
        <f t="shared" si="24"/>
        <v>9.6160823648251519</v>
      </c>
      <c r="U70">
        <f>IF(M70="","",Inputs!$B$7*R70+Inputs!$B$8*T70)</f>
        <v>1.92779282107432</v>
      </c>
      <c r="V70">
        <f t="shared" si="25"/>
        <v>0.14546892034347883</v>
      </c>
      <c r="W70">
        <f>Inputs!$B$9</f>
        <v>15</v>
      </c>
      <c r="X70">
        <f t="shared" si="26"/>
        <v>0.42888123288935348</v>
      </c>
      <c r="Y70">
        <f t="shared" si="27"/>
        <v>0.34876272984291867</v>
      </c>
      <c r="Z70">
        <f t="shared" si="28"/>
        <v>1.0533634451710172</v>
      </c>
      <c r="AA70">
        <f>IF(M70="","",Inputs!$B$7*Z70+Inputs!$B$8*T70)</f>
        <v>2.7659072291018436</v>
      </c>
      <c r="AB70">
        <f t="shared" si="29"/>
        <v>6.2918991506830654E-2</v>
      </c>
    </row>
    <row r="71" spans="1:28">
      <c r="A71" t="s">
        <v>201</v>
      </c>
      <c r="B71">
        <v>1</v>
      </c>
      <c r="C71">
        <v>3</v>
      </c>
      <c r="D71">
        <v>0.2</v>
      </c>
      <c r="E71">
        <f>IF(B71=1,Inputs!$B$5,Inputs!$B$6)</f>
        <v>4</v>
      </c>
      <c r="F71">
        <f>E71*Inputs!$B$4</f>
        <v>60</v>
      </c>
      <c r="G71">
        <f t="shared" si="15"/>
        <v>20</v>
      </c>
      <c r="H71">
        <f t="shared" si="16"/>
        <v>20</v>
      </c>
      <c r="I71">
        <f t="shared" si="17"/>
        <v>20</v>
      </c>
      <c r="J71">
        <f t="shared" si="18"/>
        <v>0</v>
      </c>
      <c r="K71">
        <v>7</v>
      </c>
      <c r="L71" t="s">
        <v>198</v>
      </c>
      <c r="M71">
        <f>IF(L71="C",E71*COMBIN(Inputs!$B$4,K71),IF(L71="T",(Inputs!$B$4-K71+1)*E71^K71,IF(L71="PT",E71*(Inputs!$B$4-K71+1),IF(AND(L71="E",K71&lt;=E71),Inputs!$B$4*COMBIN(E71,K71),""))))</f>
        <v>147456</v>
      </c>
      <c r="N71">
        <f t="shared" si="19"/>
        <v>29.597577174432811</v>
      </c>
      <c r="O71">
        <f t="shared" si="20"/>
        <v>29.597577174432811</v>
      </c>
      <c r="P71">
        <f t="shared" si="21"/>
        <v>29.597577174432811</v>
      </c>
      <c r="Q71">
        <f t="shared" si="22"/>
        <v>0.99999999999986011</v>
      </c>
      <c r="R71">
        <f t="shared" si="23"/>
        <v>1.3988810110277952E-13</v>
      </c>
      <c r="S71">
        <f>IF(M71="","",IF(L71="C",SUMIFS(Marginal_Model!$J:$J,Marginal_Model!$A:$A,B71,Marginal_Model!$C:$C,K71),IF(L71="T",SUMIFS(Marginal_Model!$K:$K,Marginal_Model!$A:$A,B71,Marginal_Model!$C:$C,K71),IF(L71="PT",SUMIFS(Marginal_Model!$L:$L,Marginal_Model!$A:$A,B71,Marginal_Model!$C:$C,K71),SUMIFS(Marginal_Model!$M:$M,Marginal_Model!$A:$A,B71,Marginal_Model!$C:$C,K71)))))</f>
        <v>7.272489354374372E-6</v>
      </c>
      <c r="T71">
        <f t="shared" si="24"/>
        <v>11.831411910397394</v>
      </c>
      <c r="U71">
        <f>IF(M71="","",Inputs!$B$7*R71+Inputs!$B$8*T71)</f>
        <v>2.3662823820795902</v>
      </c>
      <c r="V71">
        <f t="shared" si="25"/>
        <v>9.3828898686276516E-2</v>
      </c>
      <c r="W71">
        <f>Inputs!$B$9</f>
        <v>15</v>
      </c>
      <c r="X71">
        <f t="shared" si="26"/>
        <v>2.4569196222584502</v>
      </c>
      <c r="Y71">
        <f t="shared" si="27"/>
        <v>0.9143014713603892</v>
      </c>
      <c r="Z71">
        <f t="shared" si="28"/>
        <v>8.9594924537770293E-2</v>
      </c>
      <c r="AA71">
        <f>IF(M71="","",Inputs!$B$7*Z71+Inputs!$B$8*T71)</f>
        <v>2.4379583217096945</v>
      </c>
      <c r="AB71">
        <f t="shared" si="29"/>
        <v>8.7338987666707391E-2</v>
      </c>
    </row>
    <row r="72" spans="1:28">
      <c r="A72" t="s">
        <v>201</v>
      </c>
      <c r="B72">
        <v>1</v>
      </c>
      <c r="C72">
        <v>3</v>
      </c>
      <c r="D72">
        <v>0.2</v>
      </c>
      <c r="E72">
        <f>IF(B72=1,Inputs!$B$5,Inputs!$B$6)</f>
        <v>4</v>
      </c>
      <c r="F72">
        <f>E72*Inputs!$B$4</f>
        <v>60</v>
      </c>
      <c r="G72">
        <f t="shared" si="15"/>
        <v>20</v>
      </c>
      <c r="H72">
        <f t="shared" si="16"/>
        <v>20</v>
      </c>
      <c r="I72">
        <f t="shared" si="17"/>
        <v>20</v>
      </c>
      <c r="J72">
        <f t="shared" si="18"/>
        <v>0</v>
      </c>
      <c r="K72">
        <v>7</v>
      </c>
      <c r="L72" t="s">
        <v>199</v>
      </c>
      <c r="M72">
        <f>IF(L72="C",E72*COMBIN(Inputs!$B$4,K72),IF(L72="T",(Inputs!$B$4-K72+1)*E72^K72,IF(L72="PT",E72*(Inputs!$B$4-K72+1),IF(AND(L72="E",K72&lt;=E72),Inputs!$B$4*COMBIN(E72,K72),""))))</f>
        <v>36</v>
      </c>
      <c r="N72">
        <f t="shared" si="19"/>
        <v>7.2259709898517604E-3</v>
      </c>
      <c r="O72">
        <f t="shared" si="20"/>
        <v>7.2259709898517604E-3</v>
      </c>
      <c r="P72">
        <f t="shared" si="21"/>
        <v>7.2259709898517604E-3</v>
      </c>
      <c r="Q72">
        <f t="shared" si="22"/>
        <v>7.1999264316430223E-3</v>
      </c>
      <c r="R72">
        <f t="shared" si="23"/>
        <v>4.9336844708396876</v>
      </c>
      <c r="S72">
        <f>IF(M72="","",IF(L72="C",SUMIFS(Marginal_Model!$J:$J,Marginal_Model!$A:$A,B72,Marginal_Model!$C:$C,K72),IF(L72="T",SUMIFS(Marginal_Model!$K:$K,Marginal_Model!$A:$A,B72,Marginal_Model!$C:$C,K72),IF(L72="PT",SUMIFS(Marginal_Model!$L:$L,Marginal_Model!$A:$A,B72,Marginal_Model!$C:$C,K72),SUMIFS(Marginal_Model!$M:$M,Marginal_Model!$A:$A,B72,Marginal_Model!$C:$C,K72)))))</f>
        <v>1.7755100962828057E-9</v>
      </c>
      <c r="T72">
        <f t="shared" si="24"/>
        <v>20.149178077116737</v>
      </c>
      <c r="U72">
        <f>IF(M72="","",Inputs!$B$7*R72+Inputs!$B$8*T72)</f>
        <v>7.9767831920950965</v>
      </c>
      <c r="V72">
        <f t="shared" si="25"/>
        <v>3.4334211361660799E-4</v>
      </c>
      <c r="W72">
        <f>Inputs!$B$9</f>
        <v>15</v>
      </c>
      <c r="X72">
        <f t="shared" si="26"/>
        <v>5.9983389215294194E-4</v>
      </c>
      <c r="Y72">
        <f t="shared" si="27"/>
        <v>5.9965402776851473E-4</v>
      </c>
      <c r="Z72">
        <f t="shared" si="28"/>
        <v>7.4191576894434057</v>
      </c>
      <c r="AA72">
        <f>IF(M72="","",Inputs!$B$7*Z72+Inputs!$B$8*T72)</f>
        <v>9.9651617669780705</v>
      </c>
      <c r="AB72">
        <f t="shared" si="29"/>
        <v>4.7009456847255043E-5</v>
      </c>
    </row>
    <row r="73" spans="1:28">
      <c r="A73" t="s">
        <v>201</v>
      </c>
      <c r="B73">
        <v>1</v>
      </c>
      <c r="C73">
        <v>3</v>
      </c>
      <c r="D73">
        <v>0.2</v>
      </c>
      <c r="E73">
        <f>IF(B73=1,Inputs!$B$5,Inputs!$B$6)</f>
        <v>4</v>
      </c>
      <c r="F73">
        <f>E73*Inputs!$B$4</f>
        <v>60</v>
      </c>
      <c r="G73">
        <f t="shared" si="15"/>
        <v>20</v>
      </c>
      <c r="H73">
        <f t="shared" si="16"/>
        <v>20</v>
      </c>
      <c r="I73">
        <f t="shared" si="17"/>
        <v>20</v>
      </c>
      <c r="J73">
        <f t="shared" si="18"/>
        <v>0</v>
      </c>
      <c r="K73">
        <v>7</v>
      </c>
      <c r="L73" t="s">
        <v>200</v>
      </c>
      <c r="M73" t="str">
        <f>IF(L73="C",E73*COMBIN(Inputs!$B$4,K73),IF(L73="T",(Inputs!$B$4-K73+1)*E73^K73,IF(L73="PT",E73*(Inputs!$B$4-K73+1),IF(AND(L73="E",K73&lt;=E73),Inputs!$B$4*COMBIN(E73,K73),""))))</f>
        <v/>
      </c>
      <c r="N73" t="str">
        <f t="shared" si="19"/>
        <v/>
      </c>
      <c r="O73" t="str">
        <f t="shared" si="20"/>
        <v/>
      </c>
      <c r="P73" t="str">
        <f t="shared" si="21"/>
        <v/>
      </c>
      <c r="Q73" t="str">
        <f t="shared" si="22"/>
        <v/>
      </c>
      <c r="R73" t="str">
        <f t="shared" si="23"/>
        <v/>
      </c>
      <c r="S73" t="str">
        <f>IF(M73="","",IF(L73="C",SUMIFS(Marginal_Model!$J:$J,Marginal_Model!$A:$A,B73,Marginal_Model!$C:$C,K73),IF(L73="T",SUMIFS(Marginal_Model!$K:$K,Marginal_Model!$A:$A,B73,Marginal_Model!$C:$C,K73),IF(L73="PT",SUMIFS(Marginal_Model!$L:$L,Marginal_Model!$A:$A,B73,Marginal_Model!$C:$C,K73),SUMIFS(Marginal_Model!$M:$M,Marginal_Model!$A:$A,B73,Marginal_Model!$C:$C,K73)))))</f>
        <v/>
      </c>
      <c r="T73" t="str">
        <f t="shared" si="24"/>
        <v/>
      </c>
      <c r="U73" t="str">
        <f>IF(M73="","",Inputs!$B$7*R73+Inputs!$B$8*T73)</f>
        <v/>
      </c>
      <c r="V73" t="str">
        <f t="shared" si="25"/>
        <v/>
      </c>
      <c r="W73">
        <f>Inputs!$B$9</f>
        <v>15</v>
      </c>
      <c r="X73" t="str">
        <f t="shared" si="26"/>
        <v/>
      </c>
      <c r="Y73" t="str">
        <f t="shared" si="27"/>
        <v/>
      </c>
      <c r="Z73" t="str">
        <f t="shared" si="28"/>
        <v/>
      </c>
      <c r="AA73" t="str">
        <f>IF(M73="","",Inputs!$B$7*Z73+Inputs!$B$8*T73)</f>
        <v/>
      </c>
      <c r="AB73" t="str">
        <f t="shared" si="29"/>
        <v/>
      </c>
    </row>
    <row r="74" spans="1:28">
      <c r="A74" t="s">
        <v>201</v>
      </c>
      <c r="B74">
        <v>1</v>
      </c>
      <c r="C74">
        <v>3</v>
      </c>
      <c r="D74">
        <v>0.2</v>
      </c>
      <c r="E74">
        <f>IF(B74=1,Inputs!$B$5,Inputs!$B$6)</f>
        <v>4</v>
      </c>
      <c r="F74">
        <f>E74*Inputs!$B$4</f>
        <v>60</v>
      </c>
      <c r="G74">
        <f t="shared" si="15"/>
        <v>20</v>
      </c>
      <c r="H74">
        <f t="shared" si="16"/>
        <v>20</v>
      </c>
      <c r="I74">
        <f t="shared" si="17"/>
        <v>20</v>
      </c>
      <c r="J74">
        <f t="shared" si="18"/>
        <v>0</v>
      </c>
      <c r="K74">
        <v>8</v>
      </c>
      <c r="L74" t="s">
        <v>197</v>
      </c>
      <c r="M74">
        <f>IF(L74="C",E74*COMBIN(Inputs!$B$4,K74),IF(L74="T",(Inputs!$B$4-K74+1)*E74^K74,IF(L74="PT",E74*(Inputs!$B$4-K74+1),IF(AND(L74="E",K74&lt;=E74),Inputs!$B$4*COMBIN(E74,K74),""))))</f>
        <v>25739.999999999996</v>
      </c>
      <c r="N74">
        <f t="shared" si="19"/>
        <v>1.2672717047296624</v>
      </c>
      <c r="O74">
        <f t="shared" si="20"/>
        <v>1.2672717047296624</v>
      </c>
      <c r="P74">
        <f t="shared" si="21"/>
        <v>1.2672717047296624</v>
      </c>
      <c r="Q74">
        <f t="shared" si="22"/>
        <v>0.71840114048653625</v>
      </c>
      <c r="R74">
        <f t="shared" si="23"/>
        <v>0.33072717445846933</v>
      </c>
      <c r="S74">
        <f>IF(M74="","",IF(L74="C",SUMIFS(Marginal_Model!$J:$J,Marginal_Model!$A:$A,B74,Marginal_Model!$C:$C,K74),IF(L74="T",SUMIFS(Marginal_Model!$K:$K,Marginal_Model!$A:$A,B74,Marginal_Model!$C:$C,K74),IF(L74="PT",SUMIFS(Marginal_Model!$L:$L,Marginal_Model!$A:$A,B74,Marginal_Model!$C:$C,K74),SUMIFS(Marginal_Model!$M:$M,Marginal_Model!$A:$A,B74,Marginal_Model!$C:$C,K74)))))</f>
        <v>1.0060107205919367E-5</v>
      </c>
      <c r="T74">
        <f t="shared" si="24"/>
        <v>11.506932736697438</v>
      </c>
      <c r="U74">
        <f>IF(M74="","",Inputs!$B$7*R74+Inputs!$B$8*T74)</f>
        <v>2.5659682869062626</v>
      </c>
      <c r="V74">
        <f t="shared" si="25"/>
        <v>7.6844737652893388E-2</v>
      </c>
      <c r="W74">
        <f>Inputs!$B$9</f>
        <v>15</v>
      </c>
      <c r="X74">
        <f t="shared" si="26"/>
        <v>6.4736789870091085E-2</v>
      </c>
      <c r="Y74">
        <f t="shared" si="27"/>
        <v>6.2685858511162817E-2</v>
      </c>
      <c r="Z74">
        <f t="shared" si="28"/>
        <v>2.769619398868421</v>
      </c>
      <c r="AA74">
        <f>IF(M74="","",Inputs!$B$7*Z74+Inputs!$B$8*T74)</f>
        <v>4.5170820664342237</v>
      </c>
      <c r="AB74">
        <f t="shared" si="29"/>
        <v>1.0920843517741382E-2</v>
      </c>
    </row>
    <row r="75" spans="1:28">
      <c r="A75" t="s">
        <v>201</v>
      </c>
      <c r="B75">
        <v>1</v>
      </c>
      <c r="C75">
        <v>3</v>
      </c>
      <c r="D75">
        <v>0.2</v>
      </c>
      <c r="E75">
        <f>IF(B75=1,Inputs!$B$5,Inputs!$B$6)</f>
        <v>4</v>
      </c>
      <c r="F75">
        <f>E75*Inputs!$B$4</f>
        <v>60</v>
      </c>
      <c r="G75">
        <f t="shared" si="15"/>
        <v>20</v>
      </c>
      <c r="H75">
        <f t="shared" si="16"/>
        <v>20</v>
      </c>
      <c r="I75">
        <f t="shared" si="17"/>
        <v>20</v>
      </c>
      <c r="J75">
        <f t="shared" si="18"/>
        <v>0</v>
      </c>
      <c r="K75">
        <v>8</v>
      </c>
      <c r="L75" t="s">
        <v>198</v>
      </c>
      <c r="M75">
        <f>IF(L75="C",E75*COMBIN(Inputs!$B$4,K75),IF(L75="T",(Inputs!$B$4-K75+1)*E75^K75,IF(L75="PT",E75*(Inputs!$B$4-K75+1),IF(AND(L75="E",K75&lt;=E75),Inputs!$B$4*COMBIN(E75,K75),""))))</f>
        <v>524288</v>
      </c>
      <c r="N75">
        <f t="shared" si="19"/>
        <v>25.812562064075575</v>
      </c>
      <c r="O75">
        <f t="shared" si="20"/>
        <v>25.812562064075575</v>
      </c>
      <c r="P75">
        <f t="shared" si="21"/>
        <v>25.812562064075575</v>
      </c>
      <c r="Q75">
        <f t="shared" si="22"/>
        <v>0.9999999999938376</v>
      </c>
      <c r="R75">
        <f t="shared" si="23"/>
        <v>6.1624039205033819E-12</v>
      </c>
      <c r="S75">
        <f>IF(M75="","",IF(L75="C",SUMIFS(Marginal_Model!$J:$J,Marginal_Model!$A:$A,B75,Marginal_Model!$C:$C,K75),IF(L75="T",SUMIFS(Marginal_Model!$K:$K,Marginal_Model!$A:$A,B75,Marginal_Model!$C:$C,K75),IF(L75="PT",SUMIFS(Marginal_Model!$L:$L,Marginal_Model!$A:$A,B75,Marginal_Model!$C:$C,K75),SUMIFS(Marginal_Model!$M:$M,Marginal_Model!$A:$A,B75,Marginal_Model!$C:$C,K75)))))</f>
        <v>9.7576377081752583E-7</v>
      </c>
      <c r="T75">
        <f t="shared" si="24"/>
        <v>13.840045317926064</v>
      </c>
      <c r="U75">
        <f>IF(M75="","",Inputs!$B$7*R75+Inputs!$B$8*T75)</f>
        <v>2.7680090635901422</v>
      </c>
      <c r="V75">
        <f t="shared" si="25"/>
        <v>6.2786885082066451E-2</v>
      </c>
      <c r="W75">
        <f>Inputs!$B$9</f>
        <v>15</v>
      </c>
      <c r="X75">
        <f t="shared" si="26"/>
        <v>1.3185983716942626</v>
      </c>
      <c r="Y75">
        <f t="shared" si="27"/>
        <v>0.73249001110889378</v>
      </c>
      <c r="Z75">
        <f t="shared" si="28"/>
        <v>0.31130557489530331</v>
      </c>
      <c r="AA75">
        <f>IF(M75="","",Inputs!$B$7*Z75+Inputs!$B$8*T75)</f>
        <v>3.0170535235014548</v>
      </c>
      <c r="AB75">
        <f t="shared" si="29"/>
        <v>4.8945222052578639E-2</v>
      </c>
    </row>
    <row r="76" spans="1:28">
      <c r="A76" t="s">
        <v>201</v>
      </c>
      <c r="B76">
        <v>1</v>
      </c>
      <c r="C76">
        <v>3</v>
      </c>
      <c r="D76">
        <v>0.2</v>
      </c>
      <c r="E76">
        <f>IF(B76=1,Inputs!$B$5,Inputs!$B$6)</f>
        <v>4</v>
      </c>
      <c r="F76">
        <f>E76*Inputs!$B$4</f>
        <v>60</v>
      </c>
      <c r="G76">
        <f t="shared" si="15"/>
        <v>20</v>
      </c>
      <c r="H76">
        <f t="shared" si="16"/>
        <v>20</v>
      </c>
      <c r="I76">
        <f t="shared" si="17"/>
        <v>20</v>
      </c>
      <c r="J76">
        <f t="shared" si="18"/>
        <v>0</v>
      </c>
      <c r="K76">
        <v>8</v>
      </c>
      <c r="L76" t="s">
        <v>199</v>
      </c>
      <c r="M76">
        <f>IF(L76="C",E76*COMBIN(Inputs!$B$4,K76),IF(L76="T",(Inputs!$B$4-K76+1)*E76^K76,IF(L76="PT",E76*(Inputs!$B$4-K76+1),IF(AND(L76="E",K76&lt;=E76),Inputs!$B$4*COMBIN(E76,K76),""))))</f>
        <v>32</v>
      </c>
      <c r="N76">
        <f t="shared" si="19"/>
        <v>1.5754737587936752E-3</v>
      </c>
      <c r="O76">
        <f t="shared" si="20"/>
        <v>1.5754737587936752E-3</v>
      </c>
      <c r="P76">
        <f t="shared" si="21"/>
        <v>1.5754737587936752E-3</v>
      </c>
      <c r="Q76">
        <f t="shared" si="22"/>
        <v>1.5742333515065265E-3</v>
      </c>
      <c r="R76">
        <f t="shared" si="23"/>
        <v>6.4539868861593463</v>
      </c>
      <c r="S76">
        <f>IF(M76="","",IF(L76="C",SUMIFS(Marginal_Model!$J:$J,Marginal_Model!$A:$A,B76,Marginal_Model!$C:$C,K76),IF(L76="T",SUMIFS(Marginal_Model!$K:$K,Marginal_Model!$A:$A,B76,Marginal_Model!$C:$C,K76),IF(L76="PT",SUMIFS(Marginal_Model!$L:$L,Marginal_Model!$A:$A,B76,Marginal_Model!$C:$C,K76),SUMIFS(Marginal_Model!$M:$M,Marginal_Model!$A:$A,B76,Marginal_Model!$C:$C,K76)))))</f>
        <v>5.9555894214936879E-11</v>
      </c>
      <c r="T76">
        <f t="shared" si="24"/>
        <v>23.544105845765298</v>
      </c>
      <c r="U76">
        <f>IF(M76="","",Inputs!$B$7*R76+Inputs!$B$8*T76)</f>
        <v>9.8720106780805352</v>
      </c>
      <c r="V76">
        <f t="shared" si="25"/>
        <v>5.1598875513897833E-5</v>
      </c>
      <c r="W76">
        <f>Inputs!$B$9</f>
        <v>15</v>
      </c>
      <c r="X76">
        <f t="shared" si="26"/>
        <v>8.0480857647354897E-5</v>
      </c>
      <c r="Y76">
        <f t="shared" si="27"/>
        <v>8.0477619149976753E-5</v>
      </c>
      <c r="Z76">
        <f t="shared" si="28"/>
        <v>9.4275314351769666</v>
      </c>
      <c r="AA76">
        <f>IF(M76="","",Inputs!$B$7*Z76+Inputs!$B$8*T76)</f>
        <v>12.250846317294631</v>
      </c>
      <c r="AB76">
        <f t="shared" si="29"/>
        <v>4.781069377717132E-6</v>
      </c>
    </row>
    <row r="77" spans="1:28">
      <c r="A77" t="s">
        <v>201</v>
      </c>
      <c r="B77">
        <v>1</v>
      </c>
      <c r="C77">
        <v>3</v>
      </c>
      <c r="D77">
        <v>0.2</v>
      </c>
      <c r="E77">
        <f>IF(B77=1,Inputs!$B$5,Inputs!$B$6)</f>
        <v>4</v>
      </c>
      <c r="F77">
        <f>E77*Inputs!$B$4</f>
        <v>60</v>
      </c>
      <c r="G77">
        <f t="shared" si="15"/>
        <v>20</v>
      </c>
      <c r="H77">
        <f t="shared" si="16"/>
        <v>20</v>
      </c>
      <c r="I77">
        <f t="shared" si="17"/>
        <v>20</v>
      </c>
      <c r="J77">
        <f t="shared" si="18"/>
        <v>0</v>
      </c>
      <c r="K77">
        <v>8</v>
      </c>
      <c r="L77" t="s">
        <v>200</v>
      </c>
      <c r="M77" t="str">
        <f>IF(L77="C",E77*COMBIN(Inputs!$B$4,K77),IF(L77="T",(Inputs!$B$4-K77+1)*E77^K77,IF(L77="PT",E77*(Inputs!$B$4-K77+1),IF(AND(L77="E",K77&lt;=E77),Inputs!$B$4*COMBIN(E77,K77),""))))</f>
        <v/>
      </c>
      <c r="N77" t="str">
        <f t="shared" si="19"/>
        <v/>
      </c>
      <c r="O77" t="str">
        <f t="shared" si="20"/>
        <v/>
      </c>
      <c r="P77" t="str">
        <f t="shared" si="21"/>
        <v/>
      </c>
      <c r="Q77" t="str">
        <f t="shared" si="22"/>
        <v/>
      </c>
      <c r="R77" t="str">
        <f t="shared" si="23"/>
        <v/>
      </c>
      <c r="S77" t="str">
        <f>IF(M77="","",IF(L77="C",SUMIFS(Marginal_Model!$J:$J,Marginal_Model!$A:$A,B77,Marginal_Model!$C:$C,K77),IF(L77="T",SUMIFS(Marginal_Model!$K:$K,Marginal_Model!$A:$A,B77,Marginal_Model!$C:$C,K77),IF(L77="PT",SUMIFS(Marginal_Model!$L:$L,Marginal_Model!$A:$A,B77,Marginal_Model!$C:$C,K77),SUMIFS(Marginal_Model!$M:$M,Marginal_Model!$A:$A,B77,Marginal_Model!$C:$C,K77)))))</f>
        <v/>
      </c>
      <c r="T77" t="str">
        <f t="shared" si="24"/>
        <v/>
      </c>
      <c r="U77" t="str">
        <f>IF(M77="","",Inputs!$B$7*R77+Inputs!$B$8*T77)</f>
        <v/>
      </c>
      <c r="V77" t="str">
        <f t="shared" si="25"/>
        <v/>
      </c>
      <c r="W77">
        <f>Inputs!$B$9</f>
        <v>15</v>
      </c>
      <c r="X77" t="str">
        <f t="shared" si="26"/>
        <v/>
      </c>
      <c r="Y77" t="str">
        <f t="shared" si="27"/>
        <v/>
      </c>
      <c r="Z77" t="str">
        <f t="shared" si="28"/>
        <v/>
      </c>
      <c r="AA77" t="str">
        <f>IF(M77="","",Inputs!$B$7*Z77+Inputs!$B$8*T77)</f>
        <v/>
      </c>
      <c r="AB77" t="str">
        <f t="shared" si="29"/>
        <v/>
      </c>
    </row>
    <row r="78" spans="1:28">
      <c r="A78" t="s">
        <v>201</v>
      </c>
      <c r="B78">
        <v>1</v>
      </c>
      <c r="C78">
        <v>3</v>
      </c>
      <c r="D78">
        <v>0.2</v>
      </c>
      <c r="E78">
        <f>IF(B78=1,Inputs!$B$5,Inputs!$B$6)</f>
        <v>4</v>
      </c>
      <c r="F78">
        <f>E78*Inputs!$B$4</f>
        <v>60</v>
      </c>
      <c r="G78">
        <f t="shared" si="15"/>
        <v>20</v>
      </c>
      <c r="H78">
        <f t="shared" si="16"/>
        <v>20</v>
      </c>
      <c r="I78">
        <f t="shared" si="17"/>
        <v>20</v>
      </c>
      <c r="J78">
        <f t="shared" si="18"/>
        <v>0</v>
      </c>
      <c r="K78">
        <v>9</v>
      </c>
      <c r="L78" t="s">
        <v>197</v>
      </c>
      <c r="M78">
        <f>IF(L78="C",E78*COMBIN(Inputs!$B$4,K78),IF(L78="T",(Inputs!$B$4-K78+1)*E78^K78,IF(L78="PT",E78*(Inputs!$B$4-K78+1),IF(AND(L78="E",K78&lt;=E78),Inputs!$B$4*COMBIN(E78,K78),""))))</f>
        <v>20020</v>
      </c>
      <c r="N78">
        <f t="shared" si="19"/>
        <v>0.22745902392583686</v>
      </c>
      <c r="O78">
        <f t="shared" si="20"/>
        <v>0.22745902392583686</v>
      </c>
      <c r="P78">
        <f t="shared" si="21"/>
        <v>0.22745902392583686</v>
      </c>
      <c r="Q78">
        <f t="shared" si="22"/>
        <v>0.20344493947198705</v>
      </c>
      <c r="R78">
        <f t="shared" si="23"/>
        <v>1.5923598784147561</v>
      </c>
      <c r="S78">
        <f>IF(M78="","",IF(L78="C",SUMIFS(Marginal_Model!$J:$J,Marginal_Model!$A:$A,B78,Marginal_Model!$C:$C,K78),IF(L78="T",SUMIFS(Marginal_Model!$K:$K,Marginal_Model!$A:$A,B78,Marginal_Model!$C:$C,K78),IF(L78="PT",SUMIFS(Marginal_Model!$L:$L,Marginal_Model!$A:$A,B78,Marginal_Model!$C:$C,K78),SUMIFS(Marginal_Model!$M:$M,Marginal_Model!$A:$A,B78,Marginal_Model!$C:$C,K78)))))</f>
        <v>1.3542452007968379E-6</v>
      </c>
      <c r="T78">
        <f t="shared" si="24"/>
        <v>13.512266306223552</v>
      </c>
      <c r="U78">
        <f>IF(M78="","",Inputs!$B$7*R78+Inputs!$B$8*T78)</f>
        <v>3.9763411639765147</v>
      </c>
      <c r="V78">
        <f t="shared" si="25"/>
        <v>1.8754132253827903E-2</v>
      </c>
      <c r="W78">
        <f>Inputs!$B$9</f>
        <v>15</v>
      </c>
      <c r="X78">
        <f t="shared" si="26"/>
        <v>6.77799722998817E-3</v>
      </c>
      <c r="Y78">
        <f t="shared" si="27"/>
        <v>6.7550784172143441E-3</v>
      </c>
      <c r="Z78">
        <f t="shared" si="28"/>
        <v>4.9974606988713539</v>
      </c>
      <c r="AA78">
        <f>IF(M78="","",Inputs!$B$7*Z78+Inputs!$B$8*T78)</f>
        <v>6.7004218203417931</v>
      </c>
      <c r="AB78">
        <f t="shared" si="29"/>
        <v>1.2303927884881371E-3</v>
      </c>
    </row>
    <row r="79" spans="1:28">
      <c r="A79" t="s">
        <v>201</v>
      </c>
      <c r="B79">
        <v>1</v>
      </c>
      <c r="C79">
        <v>3</v>
      </c>
      <c r="D79">
        <v>0.2</v>
      </c>
      <c r="E79">
        <f>IF(B79=1,Inputs!$B$5,Inputs!$B$6)</f>
        <v>4</v>
      </c>
      <c r="F79">
        <f>E79*Inputs!$B$4</f>
        <v>60</v>
      </c>
      <c r="G79">
        <f t="shared" si="15"/>
        <v>20</v>
      </c>
      <c r="H79">
        <f t="shared" si="16"/>
        <v>20</v>
      </c>
      <c r="I79">
        <f t="shared" si="17"/>
        <v>20</v>
      </c>
      <c r="J79">
        <f t="shared" si="18"/>
        <v>0</v>
      </c>
      <c r="K79">
        <v>9</v>
      </c>
      <c r="L79" t="s">
        <v>198</v>
      </c>
      <c r="M79">
        <f>IF(L79="C",E79*COMBIN(Inputs!$B$4,K79),IF(L79="T",(Inputs!$B$4-K79+1)*E79^K79,IF(L79="PT",E79*(Inputs!$B$4-K79+1),IF(AND(L79="E",K79&lt;=E79),Inputs!$B$4*COMBIN(E79,K79),""))))</f>
        <v>1835008</v>
      </c>
      <c r="N79">
        <f t="shared" si="19"/>
        <v>20.848607820984121</v>
      </c>
      <c r="O79">
        <f t="shared" si="20"/>
        <v>20.848607820984121</v>
      </c>
      <c r="P79">
        <f t="shared" si="21"/>
        <v>20.848607820984121</v>
      </c>
      <c r="Q79">
        <f t="shared" si="22"/>
        <v>0.99999999911780479</v>
      </c>
      <c r="R79">
        <f t="shared" si="23"/>
        <v>8.8219520616494953E-10</v>
      </c>
      <c r="S79">
        <f>IF(M79="","",IF(L79="C",SUMIFS(Marginal_Model!$J:$J,Marginal_Model!$A:$A,B79,Marginal_Model!$C:$C,K79),IF(L79="T",SUMIFS(Marginal_Model!$K:$K,Marginal_Model!$A:$A,B79,Marginal_Model!$C:$C,K79),IF(L79="PT",SUMIFS(Marginal_Model!$L:$L,Marginal_Model!$A:$A,B79,Marginal_Model!$C:$C,K79),SUMIFS(Marginal_Model!$M:$M,Marginal_Model!$A:$A,B79,Marginal_Model!$C:$C,K79)))))</f>
        <v>1.3135281530235925E-7</v>
      </c>
      <c r="T79">
        <f t="shared" si="24"/>
        <v>15.845378887452178</v>
      </c>
      <c r="U79">
        <f>IF(M79="","",Inputs!$B$7*R79+Inputs!$B$8*T79)</f>
        <v>3.1690757781961914</v>
      </c>
      <c r="V79">
        <f t="shared" si="25"/>
        <v>4.204243648943571E-2</v>
      </c>
      <c r="W79">
        <f>Inputs!$B$9</f>
        <v>15</v>
      </c>
      <c r="X79">
        <f t="shared" si="26"/>
        <v>0.62126269435595061</v>
      </c>
      <c r="Y79">
        <f t="shared" si="27"/>
        <v>0.46273439314242737</v>
      </c>
      <c r="Z79">
        <f t="shared" si="28"/>
        <v>0.77060205442374252</v>
      </c>
      <c r="AA79">
        <f>IF(M79="","",Inputs!$B$7*Z79+Inputs!$B$8*T79)</f>
        <v>3.7855574210294289</v>
      </c>
      <c r="AB79">
        <f t="shared" si="29"/>
        <v>2.2696207906438257E-2</v>
      </c>
    </row>
    <row r="80" spans="1:28">
      <c r="A80" t="s">
        <v>201</v>
      </c>
      <c r="B80">
        <v>1</v>
      </c>
      <c r="C80">
        <v>3</v>
      </c>
      <c r="D80">
        <v>0.2</v>
      </c>
      <c r="E80">
        <f>IF(B80=1,Inputs!$B$5,Inputs!$B$6)</f>
        <v>4</v>
      </c>
      <c r="F80">
        <f>E80*Inputs!$B$4</f>
        <v>60</v>
      </c>
      <c r="G80">
        <f t="shared" si="15"/>
        <v>20</v>
      </c>
      <c r="H80">
        <f t="shared" si="16"/>
        <v>20</v>
      </c>
      <c r="I80">
        <f t="shared" si="17"/>
        <v>20</v>
      </c>
      <c r="J80">
        <f t="shared" si="18"/>
        <v>0</v>
      </c>
      <c r="K80">
        <v>9</v>
      </c>
      <c r="L80" t="s">
        <v>199</v>
      </c>
      <c r="M80">
        <f>IF(L80="C",E80*COMBIN(Inputs!$B$4,K80),IF(L80="T",(Inputs!$B$4-K80+1)*E80^K80,IF(L80="PT",E80*(Inputs!$B$4-K80+1),IF(AND(L80="E",K80&lt;=E80),Inputs!$B$4*COMBIN(E80,K80),""))))</f>
        <v>28</v>
      </c>
      <c r="N80">
        <f t="shared" si="19"/>
        <v>3.1812450898718446E-4</v>
      </c>
      <c r="O80">
        <f t="shared" si="20"/>
        <v>3.1812450898718446E-4</v>
      </c>
      <c r="P80">
        <f t="shared" si="21"/>
        <v>3.1812450898718446E-4</v>
      </c>
      <c r="Q80">
        <f t="shared" si="22"/>
        <v>3.1807391275107122E-4</v>
      </c>
      <c r="R80">
        <f t="shared" si="23"/>
        <v>8.0532267721569575</v>
      </c>
      <c r="S80">
        <f>IF(M80="","",IF(L80="C",SUMIFS(Marginal_Model!$J:$J,Marginal_Model!$A:$A,B80,Marginal_Model!$C:$C,K80),IF(L80="T",SUMIFS(Marginal_Model!$K:$K,Marginal_Model!$A:$A,B80,Marginal_Model!$C:$C,K80),IF(L80="PT",SUMIFS(Marginal_Model!$L:$L,Marginal_Model!$A:$A,B80,Marginal_Model!$C:$C,K80),SUMIFS(Marginal_Model!$M:$M,Marginal_Model!$A:$A,B80,Marginal_Model!$C:$C,K80)))))</f>
        <v>2.004284901464222E-12</v>
      </c>
      <c r="T80">
        <f t="shared" si="24"/>
        <v>26.935733776411304</v>
      </c>
      <c r="U80">
        <f>IF(M80="","",Inputs!$B$7*R80+Inputs!$B$8*T80)</f>
        <v>11.829728173007826</v>
      </c>
      <c r="V80">
        <f t="shared" si="25"/>
        <v>7.28474463105407E-6</v>
      </c>
      <c r="W80">
        <f>Inputs!$B$9</f>
        <v>15</v>
      </c>
      <c r="X80">
        <f t="shared" si="26"/>
        <v>9.4797164055778596E-6</v>
      </c>
      <c r="Y80">
        <f t="shared" si="27"/>
        <v>9.4796714732447995E-6</v>
      </c>
      <c r="Z80">
        <f t="shared" si="28"/>
        <v>11.566360897018845</v>
      </c>
      <c r="AA80">
        <f>IF(M80="","",Inputs!$B$7*Z80+Inputs!$B$8*T80)</f>
        <v>14.640235472897336</v>
      </c>
      <c r="AB80">
        <f t="shared" si="29"/>
        <v>4.3835556094972061E-7</v>
      </c>
    </row>
    <row r="81" spans="1:28">
      <c r="A81" t="s">
        <v>201</v>
      </c>
      <c r="B81">
        <v>1</v>
      </c>
      <c r="C81">
        <v>3</v>
      </c>
      <c r="D81">
        <v>0.2</v>
      </c>
      <c r="E81">
        <f>IF(B81=1,Inputs!$B$5,Inputs!$B$6)</f>
        <v>4</v>
      </c>
      <c r="F81">
        <f>E81*Inputs!$B$4</f>
        <v>60</v>
      </c>
      <c r="G81">
        <f t="shared" si="15"/>
        <v>20</v>
      </c>
      <c r="H81">
        <f t="shared" si="16"/>
        <v>20</v>
      </c>
      <c r="I81">
        <f t="shared" si="17"/>
        <v>20</v>
      </c>
      <c r="J81">
        <f t="shared" si="18"/>
        <v>0</v>
      </c>
      <c r="K81">
        <v>9</v>
      </c>
      <c r="L81" t="s">
        <v>200</v>
      </c>
      <c r="M81" t="str">
        <f>IF(L81="C",E81*COMBIN(Inputs!$B$4,K81),IF(L81="T",(Inputs!$B$4-K81+1)*E81^K81,IF(L81="PT",E81*(Inputs!$B$4-K81+1),IF(AND(L81="E",K81&lt;=E81),Inputs!$B$4*COMBIN(E81,K81),""))))</f>
        <v/>
      </c>
      <c r="N81" t="str">
        <f t="shared" si="19"/>
        <v/>
      </c>
      <c r="O81" t="str">
        <f t="shared" si="20"/>
        <v/>
      </c>
      <c r="P81" t="str">
        <f t="shared" si="21"/>
        <v/>
      </c>
      <c r="Q81" t="str">
        <f t="shared" si="22"/>
        <v/>
      </c>
      <c r="R81" t="str">
        <f t="shared" si="23"/>
        <v/>
      </c>
      <c r="S81" t="str">
        <f>IF(M81="","",IF(L81="C",SUMIFS(Marginal_Model!$J:$J,Marginal_Model!$A:$A,B81,Marginal_Model!$C:$C,K81),IF(L81="T",SUMIFS(Marginal_Model!$K:$K,Marginal_Model!$A:$A,B81,Marginal_Model!$C:$C,K81),IF(L81="PT",SUMIFS(Marginal_Model!$L:$L,Marginal_Model!$A:$A,B81,Marginal_Model!$C:$C,K81),SUMIFS(Marginal_Model!$M:$M,Marginal_Model!$A:$A,B81,Marginal_Model!$C:$C,K81)))))</f>
        <v/>
      </c>
      <c r="T81" t="str">
        <f t="shared" si="24"/>
        <v/>
      </c>
      <c r="U81" t="str">
        <f>IF(M81="","",Inputs!$B$7*R81+Inputs!$B$8*T81)</f>
        <v/>
      </c>
      <c r="V81" t="str">
        <f t="shared" si="25"/>
        <v/>
      </c>
      <c r="W81">
        <f>Inputs!$B$9</f>
        <v>15</v>
      </c>
      <c r="X81" t="str">
        <f t="shared" si="26"/>
        <v/>
      </c>
      <c r="Y81" t="str">
        <f t="shared" si="27"/>
        <v/>
      </c>
      <c r="Z81" t="str">
        <f t="shared" si="28"/>
        <v/>
      </c>
      <c r="AA81" t="str">
        <f>IF(M81="","",Inputs!$B$7*Z81+Inputs!$B$8*T81)</f>
        <v/>
      </c>
      <c r="AB81" t="str">
        <f t="shared" si="29"/>
        <v/>
      </c>
    </row>
    <row r="82" spans="1:28">
      <c r="A82" t="s">
        <v>201</v>
      </c>
      <c r="B82">
        <v>1</v>
      </c>
      <c r="C82">
        <v>3</v>
      </c>
      <c r="D82">
        <v>0.2</v>
      </c>
      <c r="E82">
        <f>IF(B82=1,Inputs!$B$5,Inputs!$B$6)</f>
        <v>4</v>
      </c>
      <c r="F82">
        <f>E82*Inputs!$B$4</f>
        <v>60</v>
      </c>
      <c r="G82">
        <f t="shared" si="15"/>
        <v>20</v>
      </c>
      <c r="H82">
        <f t="shared" si="16"/>
        <v>20</v>
      </c>
      <c r="I82">
        <f t="shared" si="17"/>
        <v>20</v>
      </c>
      <c r="J82">
        <f t="shared" si="18"/>
        <v>0</v>
      </c>
      <c r="K82">
        <v>10</v>
      </c>
      <c r="L82" t="s">
        <v>197</v>
      </c>
      <c r="M82">
        <f>IF(L82="C",E82*COMBIN(Inputs!$B$4,K82),IF(L82="T",(Inputs!$B$4-K82+1)*E82^K82,IF(L82="PT",E82*(Inputs!$B$4-K82+1),IF(AND(L82="E",K82&lt;=E82),Inputs!$B$4*COMBIN(E82,K82),""))))</f>
        <v>12012</v>
      </c>
      <c r="N82">
        <f t="shared" si="19"/>
        <v>2.943587368452006E-2</v>
      </c>
      <c r="O82">
        <f t="shared" si="20"/>
        <v>2.943587368452006E-2</v>
      </c>
      <c r="P82">
        <f t="shared" si="21"/>
        <v>2.943587368452006E-2</v>
      </c>
      <c r="Q82">
        <f t="shared" si="22"/>
        <v>2.9006858142670899E-2</v>
      </c>
      <c r="R82">
        <f t="shared" si="23"/>
        <v>3.5402229892761592</v>
      </c>
      <c r="S82">
        <f>IF(M82="","",IF(L82="C",SUMIFS(Marginal_Model!$J:$J,Marginal_Model!$A:$A,B82,Marginal_Model!$C:$C,K82),IF(L82="T",SUMIFS(Marginal_Model!$K:$K,Marginal_Model!$A:$A,B82,Marginal_Model!$C:$C,K82),IF(L82="PT",SUMIFS(Marginal_Model!$L:$L,Marginal_Model!$A:$A,B82,Marginal_Model!$C:$C,K82),SUMIFS(Marginal_Model!$M:$M,Marginal_Model!$A:$A,B82,Marginal_Model!$C:$C,K82)))))</f>
        <v>1.5932296479962799E-7</v>
      </c>
      <c r="T82">
        <f t="shared" si="24"/>
        <v>15.652332469719823</v>
      </c>
      <c r="U82">
        <f>IF(M82="","",Inputs!$B$7*R82+Inputs!$B$8*T82)</f>
        <v>5.9626448853648917</v>
      </c>
      <c r="V82">
        <f t="shared" si="25"/>
        <v>2.5730974164413804E-3</v>
      </c>
      <c r="W82">
        <f>Inputs!$B$9</f>
        <v>15</v>
      </c>
      <c r="X82">
        <f t="shared" si="26"/>
        <v>4.784468632932825E-4</v>
      </c>
      <c r="Y82">
        <f t="shared" si="27"/>
        <v>4.7833242584427449E-4</v>
      </c>
      <c r="Z82">
        <f t="shared" si="28"/>
        <v>7.6452046156301323</v>
      </c>
      <c r="AA82">
        <f>IF(M82="","",Inputs!$B$7*Z82+Inputs!$B$8*T82)</f>
        <v>9.2466301864480691</v>
      </c>
      <c r="AB82">
        <f t="shared" si="29"/>
        <v>9.6436076727323384E-5</v>
      </c>
    </row>
    <row r="83" spans="1:28">
      <c r="A83" t="s">
        <v>201</v>
      </c>
      <c r="B83">
        <v>1</v>
      </c>
      <c r="C83">
        <v>3</v>
      </c>
      <c r="D83">
        <v>0.2</v>
      </c>
      <c r="E83">
        <f>IF(B83=1,Inputs!$B$5,Inputs!$B$6)</f>
        <v>4</v>
      </c>
      <c r="F83">
        <f>E83*Inputs!$B$4</f>
        <v>60</v>
      </c>
      <c r="G83">
        <f t="shared" si="15"/>
        <v>20</v>
      </c>
      <c r="H83">
        <f t="shared" si="16"/>
        <v>20</v>
      </c>
      <c r="I83">
        <f t="shared" si="17"/>
        <v>20</v>
      </c>
      <c r="J83">
        <f t="shared" si="18"/>
        <v>0</v>
      </c>
      <c r="K83">
        <v>10</v>
      </c>
      <c r="L83" t="s">
        <v>198</v>
      </c>
      <c r="M83">
        <f>IF(L83="C",E83*COMBIN(Inputs!$B$4,K83),IF(L83="T",(Inputs!$B$4-K83+1)*E83^K83,IF(L83="PT",E83*(Inputs!$B$4-K83+1),IF(AND(L83="E",K83&lt;=E83),Inputs!$B$4*COMBIN(E83,K83),""))))</f>
        <v>6291456</v>
      </c>
      <c r="N83">
        <f t="shared" si="19"/>
        <v>15.417457884425229</v>
      </c>
      <c r="O83">
        <f t="shared" si="20"/>
        <v>15.417457884425229</v>
      </c>
      <c r="P83">
        <f t="shared" si="21"/>
        <v>15.417457884425229</v>
      </c>
      <c r="Q83">
        <f t="shared" si="22"/>
        <v>0.99999979849625786</v>
      </c>
      <c r="R83">
        <f t="shared" si="23"/>
        <v>2.0150376243844796E-7</v>
      </c>
      <c r="S83">
        <f>IF(M83="","",IF(L83="C",SUMIFS(Marginal_Model!$J:$J,Marginal_Model!$A:$A,B83,Marginal_Model!$C:$C,K83),IF(L83="T",SUMIFS(Marginal_Model!$K:$K,Marginal_Model!$A:$A,B83,Marginal_Model!$C:$C,K83),IF(L83="PT",SUMIFS(Marginal_Model!$L:$L,Marginal_Model!$A:$A,B83,Marginal_Model!$C:$C,K83),SUMIFS(Marginal_Model!$M:$M,Marginal_Model!$A:$A,B83,Marginal_Model!$C:$C,K83)))))</f>
        <v>1.7660882729728973E-8</v>
      </c>
      <c r="T83">
        <f t="shared" si="24"/>
        <v>17.851913658323927</v>
      </c>
      <c r="U83">
        <f>IF(M83="","",Inputs!$B$7*R83+Inputs!$B$8*T83)</f>
        <v>3.5703828928677948</v>
      </c>
      <c r="V83">
        <f t="shared" si="25"/>
        <v>2.8145075068397741E-2</v>
      </c>
      <c r="W83">
        <f>Inputs!$B$9</f>
        <v>15</v>
      </c>
      <c r="X83">
        <f t="shared" si="26"/>
        <v>0.25059335570660191</v>
      </c>
      <c r="Y83">
        <f t="shared" si="27"/>
        <v>0.22166118574806515</v>
      </c>
      <c r="Z83">
        <f t="shared" si="28"/>
        <v>1.5066052532486622</v>
      </c>
      <c r="AA83">
        <f>IF(M83="","",Inputs!$B$7*Z83+Inputs!$B$8*T83)</f>
        <v>4.7756669342637146</v>
      </c>
      <c r="AB83">
        <f t="shared" si="29"/>
        <v>8.4324583162718163E-3</v>
      </c>
    </row>
    <row r="84" spans="1:28">
      <c r="A84" t="s">
        <v>201</v>
      </c>
      <c r="B84">
        <v>1</v>
      </c>
      <c r="C84">
        <v>3</v>
      </c>
      <c r="D84">
        <v>0.2</v>
      </c>
      <c r="E84">
        <f>IF(B84=1,Inputs!$B$5,Inputs!$B$6)</f>
        <v>4</v>
      </c>
      <c r="F84">
        <f>E84*Inputs!$B$4</f>
        <v>60</v>
      </c>
      <c r="G84">
        <f t="shared" si="15"/>
        <v>20</v>
      </c>
      <c r="H84">
        <f t="shared" si="16"/>
        <v>20</v>
      </c>
      <c r="I84">
        <f t="shared" si="17"/>
        <v>20</v>
      </c>
      <c r="J84">
        <f t="shared" si="18"/>
        <v>0</v>
      </c>
      <c r="K84">
        <v>10</v>
      </c>
      <c r="L84" t="s">
        <v>199</v>
      </c>
      <c r="M84">
        <f>IF(L84="C",E84*COMBIN(Inputs!$B$4,K84),IF(L84="T",(Inputs!$B$4-K84+1)*E84^K84,IF(L84="PT",E84*(Inputs!$B$4-K84+1),IF(AND(L84="E",K84&lt;=E84),Inputs!$B$4*COMBIN(E84,K84),""))))</f>
        <v>24</v>
      </c>
      <c r="N84">
        <f t="shared" si="19"/>
        <v>5.8812934434605518E-5</v>
      </c>
      <c r="O84">
        <f t="shared" si="20"/>
        <v>5.8812934434605518E-5</v>
      </c>
      <c r="P84">
        <f t="shared" si="21"/>
        <v>5.8812934434605518E-5</v>
      </c>
      <c r="Q84">
        <f t="shared" si="22"/>
        <v>5.8811204987851973E-5</v>
      </c>
      <c r="R84">
        <f t="shared" si="23"/>
        <v>9.741178160196247</v>
      </c>
      <c r="S84">
        <f>IF(M84="","",IF(L84="C",SUMIFS(Marginal_Model!$J:$J,Marginal_Model!$A:$A,B84,Marginal_Model!$C:$C,K84),IF(L84="T",SUMIFS(Marginal_Model!$K:$K,Marginal_Model!$A:$A,B84,Marginal_Model!$C:$C,K84),IF(L84="PT",SUMIFS(Marginal_Model!$L:$L,Marginal_Model!$A:$A,B84,Marginal_Model!$C:$C,K84),SUMIFS(Marginal_Model!$M:$M,Marginal_Model!$A:$A,B84,Marginal_Model!$C:$C,K84)))))</f>
        <v>6.7370921057620899E-14</v>
      </c>
      <c r="T84">
        <f t="shared" si="24"/>
        <v>30.32856290840294</v>
      </c>
      <c r="U84">
        <f>IF(M84="","",Inputs!$B$7*R84+Inputs!$B$8*T84)</f>
        <v>13.858655109837585</v>
      </c>
      <c r="V84">
        <f t="shared" si="25"/>
        <v>9.5777293218854469E-7</v>
      </c>
      <c r="W84">
        <f>Inputs!$B$9</f>
        <v>15</v>
      </c>
      <c r="X84">
        <f t="shared" si="26"/>
        <v>9.5593778879776728E-7</v>
      </c>
      <c r="Y84">
        <f t="shared" si="27"/>
        <v>9.5593733184795582E-7</v>
      </c>
      <c r="Z84">
        <f t="shared" si="28"/>
        <v>13.860573478503964</v>
      </c>
      <c r="AA84">
        <f>IF(M84="","",Inputs!$B$7*Z84+Inputs!$B$8*T84)</f>
        <v>17.154171364483759</v>
      </c>
      <c r="AB84">
        <f t="shared" si="29"/>
        <v>3.5484446455552813E-8</v>
      </c>
    </row>
    <row r="85" spans="1:28">
      <c r="A85" t="s">
        <v>201</v>
      </c>
      <c r="B85">
        <v>1</v>
      </c>
      <c r="C85">
        <v>3</v>
      </c>
      <c r="D85">
        <v>0.2</v>
      </c>
      <c r="E85">
        <f>IF(B85=1,Inputs!$B$5,Inputs!$B$6)</f>
        <v>4</v>
      </c>
      <c r="F85">
        <f>E85*Inputs!$B$4</f>
        <v>60</v>
      </c>
      <c r="G85">
        <f t="shared" si="15"/>
        <v>20</v>
      </c>
      <c r="H85">
        <f t="shared" si="16"/>
        <v>20</v>
      </c>
      <c r="I85">
        <f t="shared" si="17"/>
        <v>20</v>
      </c>
      <c r="J85">
        <f t="shared" si="18"/>
        <v>0</v>
      </c>
      <c r="K85">
        <v>10</v>
      </c>
      <c r="L85" t="s">
        <v>200</v>
      </c>
      <c r="M85" t="str">
        <f>IF(L85="C",E85*COMBIN(Inputs!$B$4,K85),IF(L85="T",(Inputs!$B$4-K85+1)*E85^K85,IF(L85="PT",E85*(Inputs!$B$4-K85+1),IF(AND(L85="E",K85&lt;=E85),Inputs!$B$4*COMBIN(E85,K85),""))))</f>
        <v/>
      </c>
      <c r="N85" t="str">
        <f t="shared" si="19"/>
        <v/>
      </c>
      <c r="O85" t="str">
        <f t="shared" si="20"/>
        <v/>
      </c>
      <c r="P85" t="str">
        <f t="shared" si="21"/>
        <v/>
      </c>
      <c r="Q85" t="str">
        <f t="shared" si="22"/>
        <v/>
      </c>
      <c r="R85" t="str">
        <f t="shared" si="23"/>
        <v/>
      </c>
      <c r="S85" t="str">
        <f>IF(M85="","",IF(L85="C",SUMIFS(Marginal_Model!$J:$J,Marginal_Model!$A:$A,B85,Marginal_Model!$C:$C,K85),IF(L85="T",SUMIFS(Marginal_Model!$K:$K,Marginal_Model!$A:$A,B85,Marginal_Model!$C:$C,K85),IF(L85="PT",SUMIFS(Marginal_Model!$L:$L,Marginal_Model!$A:$A,B85,Marginal_Model!$C:$C,K85),SUMIFS(Marginal_Model!$M:$M,Marginal_Model!$A:$A,B85,Marginal_Model!$C:$C,K85)))))</f>
        <v/>
      </c>
      <c r="T85" t="str">
        <f t="shared" si="24"/>
        <v/>
      </c>
      <c r="U85" t="str">
        <f>IF(M85="","",Inputs!$B$7*R85+Inputs!$B$8*T85)</f>
        <v/>
      </c>
      <c r="V85" t="str">
        <f t="shared" si="25"/>
        <v/>
      </c>
      <c r="W85">
        <f>Inputs!$B$9</f>
        <v>15</v>
      </c>
      <c r="X85" t="str">
        <f t="shared" si="26"/>
        <v/>
      </c>
      <c r="Y85" t="str">
        <f t="shared" si="27"/>
        <v/>
      </c>
      <c r="Z85" t="str">
        <f t="shared" si="28"/>
        <v/>
      </c>
      <c r="AA85" t="str">
        <f>IF(M85="","",Inputs!$B$7*Z85+Inputs!$B$8*T85)</f>
        <v/>
      </c>
      <c r="AB85" t="str">
        <f t="shared" si="29"/>
        <v/>
      </c>
    </row>
    <row r="86" spans="1:28">
      <c r="A86" t="s">
        <v>201</v>
      </c>
      <c r="B86">
        <v>1</v>
      </c>
      <c r="C86">
        <v>3</v>
      </c>
      <c r="D86">
        <v>0.2</v>
      </c>
      <c r="E86">
        <f>IF(B86=1,Inputs!$B$5,Inputs!$B$6)</f>
        <v>4</v>
      </c>
      <c r="F86">
        <f>E86*Inputs!$B$4</f>
        <v>60</v>
      </c>
      <c r="G86">
        <f t="shared" si="15"/>
        <v>20</v>
      </c>
      <c r="H86">
        <f t="shared" si="16"/>
        <v>20</v>
      </c>
      <c r="I86">
        <f t="shared" si="17"/>
        <v>20</v>
      </c>
      <c r="J86">
        <f t="shared" si="18"/>
        <v>0</v>
      </c>
      <c r="K86">
        <v>11</v>
      </c>
      <c r="L86" t="s">
        <v>197</v>
      </c>
      <c r="M86">
        <f>IF(L86="C",E86*COMBIN(Inputs!$B$4,K86),IF(L86="T",(Inputs!$B$4-K86+1)*E86^K86,IF(L86="PT",E86*(Inputs!$B$4-K86+1),IF(AND(L86="E",K86&lt;=E86),Inputs!$B$4*COMBIN(E86,K86),""))))</f>
        <v>5460</v>
      </c>
      <c r="N86">
        <f t="shared" si="19"/>
        <v>2.6759885167745509E-3</v>
      </c>
      <c r="O86">
        <f t="shared" si="20"/>
        <v>2.6759885167745509E-3</v>
      </c>
      <c r="P86">
        <f t="shared" si="21"/>
        <v>2.6759885167745509E-3</v>
      </c>
      <c r="Q86">
        <f t="shared" si="22"/>
        <v>2.6724112511222753E-3</v>
      </c>
      <c r="R86">
        <f t="shared" si="23"/>
        <v>5.9247741238027176</v>
      </c>
      <c r="S86">
        <f>IF(M86="","",IF(L86="C",SUMIFS(Marginal_Model!$J:$J,Marginal_Model!$A:$A,B86,Marginal_Model!$C:$C,K86),IF(L86="T",SUMIFS(Marginal_Model!$K:$K,Marginal_Model!$A:$A,B86,Marginal_Model!$C:$C,K86),IF(L86="PT",SUMIFS(Marginal_Model!$L:$L,Marginal_Model!$A:$A,B86,Marginal_Model!$C:$C,K86),SUMIFS(Marginal_Model!$M:$M,Marginal_Model!$A:$A,B86,Marginal_Model!$C:$C,K86)))))</f>
        <v>1.5932296479962801E-8</v>
      </c>
      <c r="T86">
        <f t="shared" si="24"/>
        <v>17.95491756271387</v>
      </c>
      <c r="U86">
        <f>IF(M86="","",Inputs!$B$7*R86+Inputs!$B$8*T86)</f>
        <v>8.3308028115849471</v>
      </c>
      <c r="V86">
        <f t="shared" si="25"/>
        <v>2.4097850686463954E-4</v>
      </c>
      <c r="W86">
        <f>Inputs!$B$9</f>
        <v>15</v>
      </c>
      <c r="X86">
        <f t="shared" si="26"/>
        <v>2.1747584695149204E-5</v>
      </c>
      <c r="Y86">
        <f t="shared" si="27"/>
        <v>2.1747348218137397E-5</v>
      </c>
      <c r="Z86">
        <f t="shared" si="28"/>
        <v>10.736018728867728</v>
      </c>
      <c r="AA86">
        <f>IF(M86="","",Inputs!$B$7*Z86+Inputs!$B$8*T86)</f>
        <v>12.179798495636955</v>
      </c>
      <c r="AB86">
        <f t="shared" si="29"/>
        <v>5.1331117915367361E-6</v>
      </c>
    </row>
    <row r="87" spans="1:28">
      <c r="A87" t="s">
        <v>201</v>
      </c>
      <c r="B87">
        <v>1</v>
      </c>
      <c r="C87">
        <v>3</v>
      </c>
      <c r="D87">
        <v>0.2</v>
      </c>
      <c r="E87">
        <f>IF(B87=1,Inputs!$B$5,Inputs!$B$6)</f>
        <v>4</v>
      </c>
      <c r="F87">
        <f>E87*Inputs!$B$4</f>
        <v>60</v>
      </c>
      <c r="G87">
        <f t="shared" si="15"/>
        <v>20</v>
      </c>
      <c r="H87">
        <f t="shared" si="16"/>
        <v>20</v>
      </c>
      <c r="I87">
        <f t="shared" si="17"/>
        <v>20</v>
      </c>
      <c r="J87">
        <f t="shared" si="18"/>
        <v>0</v>
      </c>
      <c r="K87">
        <v>11</v>
      </c>
      <c r="L87" t="s">
        <v>198</v>
      </c>
      <c r="M87">
        <f>IF(L87="C",E87*COMBIN(Inputs!$B$4,K87),IF(L87="T",(Inputs!$B$4-K87+1)*E87^K87,IF(L87="PT",E87*(Inputs!$B$4-K87+1),IF(AND(L87="E",K87&lt;=E87),Inputs!$B$4*COMBIN(E87,K87),""))))</f>
        <v>20971520</v>
      </c>
      <c r="N87">
        <f t="shared" si="19"/>
        <v>10.278305256283486</v>
      </c>
      <c r="O87">
        <f t="shared" si="20"/>
        <v>10.278305256283486</v>
      </c>
      <c r="P87">
        <f t="shared" si="21"/>
        <v>10.278305256283486</v>
      </c>
      <c r="Q87">
        <f t="shared" si="22"/>
        <v>0.99996562927097643</v>
      </c>
      <c r="R87">
        <f t="shared" si="23"/>
        <v>3.4371319710611263E-5</v>
      </c>
      <c r="S87">
        <f>IF(M87="","",IF(L87="C",SUMIFS(Marginal_Model!$J:$J,Marginal_Model!$A:$A,B87,Marginal_Model!$C:$C,K87),IF(L87="T",SUMIFS(Marginal_Model!$K:$K,Marginal_Model!$A:$A,B87,Marginal_Model!$C:$C,K87),IF(L87="PT",SUMIFS(Marginal_Model!$L:$L,Marginal_Model!$A:$A,B87,Marginal_Model!$C:$C,K87),SUMIFS(Marginal_Model!$M:$M,Marginal_Model!$A:$A,B87,Marginal_Model!$C:$C,K87)))))</f>
        <v>2.3547843639638631E-9</v>
      </c>
      <c r="T87">
        <f t="shared" si="24"/>
        <v>19.86681667886619</v>
      </c>
      <c r="U87">
        <f>IF(M87="","",Inputs!$B$7*R87+Inputs!$B$8*T87)</f>
        <v>3.9733908328290055</v>
      </c>
      <c r="V87">
        <f t="shared" si="25"/>
        <v>1.8809544856930628E-2</v>
      </c>
      <c r="W87">
        <f>Inputs!$B$9</f>
        <v>15</v>
      </c>
      <c r="X87">
        <f t="shared" si="26"/>
        <v>8.3531118568867302E-2</v>
      </c>
      <c r="Y87">
        <f t="shared" si="27"/>
        <v>8.0137538577503831E-2</v>
      </c>
      <c r="Z87">
        <f t="shared" si="28"/>
        <v>2.5240108882774708</v>
      </c>
      <c r="AA87">
        <f>IF(M87="","",Inputs!$B$7*Z87+Inputs!$B$8*T87)</f>
        <v>5.9925720463952139</v>
      </c>
      <c r="AB87">
        <f t="shared" si="29"/>
        <v>2.4972327844094123E-3</v>
      </c>
    </row>
    <row r="88" spans="1:28">
      <c r="A88" t="s">
        <v>201</v>
      </c>
      <c r="B88">
        <v>1</v>
      </c>
      <c r="C88">
        <v>3</v>
      </c>
      <c r="D88">
        <v>0.2</v>
      </c>
      <c r="E88">
        <f>IF(B88=1,Inputs!$B$5,Inputs!$B$6)</f>
        <v>4</v>
      </c>
      <c r="F88">
        <f>E88*Inputs!$B$4</f>
        <v>60</v>
      </c>
      <c r="G88">
        <f t="shared" si="15"/>
        <v>20</v>
      </c>
      <c r="H88">
        <f t="shared" si="16"/>
        <v>20</v>
      </c>
      <c r="I88">
        <f t="shared" si="17"/>
        <v>20</v>
      </c>
      <c r="J88">
        <f t="shared" si="18"/>
        <v>0</v>
      </c>
      <c r="K88">
        <v>11</v>
      </c>
      <c r="L88" t="s">
        <v>199</v>
      </c>
      <c r="M88">
        <f>IF(L88="C",E88*COMBIN(Inputs!$B$4,K88),IF(L88="T",(Inputs!$B$4-K88+1)*E88^K88,IF(L88="PT",E88*(Inputs!$B$4-K88+1),IF(AND(L88="E",K88&lt;=E88),Inputs!$B$4*COMBIN(E88,K88),""))))</f>
        <v>20</v>
      </c>
      <c r="N88">
        <f t="shared" si="19"/>
        <v>9.8021557391009202E-6</v>
      </c>
      <c r="O88">
        <f t="shared" si="20"/>
        <v>9.8021557391009202E-6</v>
      </c>
      <c r="P88">
        <f t="shared" si="21"/>
        <v>9.8021557391009202E-6</v>
      </c>
      <c r="Q88">
        <f t="shared" si="22"/>
        <v>9.8021076980758792E-6</v>
      </c>
      <c r="R88">
        <f t="shared" si="23"/>
        <v>11.532913124180018</v>
      </c>
      <c r="S88">
        <f>IF(M88="","",IF(L88="C",SUMIFS(Marginal_Model!$J:$J,Marginal_Model!$A:$A,B88,Marginal_Model!$C:$C,K88),IF(L88="T",SUMIFS(Marginal_Model!$K:$K,Marginal_Model!$A:$A,B88,Marginal_Model!$C:$C,K88),IF(L88="PT",SUMIFS(Marginal_Model!$L:$L,Marginal_Model!$A:$A,B88,Marginal_Model!$C:$C,K88),SUMIFS(Marginal_Model!$M:$M,Marginal_Model!$A:$A,B88,Marginal_Model!$C:$C,K88)))))</f>
        <v>2.2456973685873634E-15</v>
      </c>
      <c r="T88">
        <f t="shared" si="24"/>
        <v>33.729760290065094</v>
      </c>
      <c r="U88">
        <f>IF(M88="","",Inputs!$B$7*R88+Inputs!$B$8*T88)</f>
        <v>15.972282557357032</v>
      </c>
      <c r="V88">
        <f t="shared" si="25"/>
        <v>1.1569799208901724E-7</v>
      </c>
      <c r="W88">
        <f>Inputs!$B$9</f>
        <v>15</v>
      </c>
      <c r="X88">
        <f t="shared" si="26"/>
        <v>7.966148239981394E-8</v>
      </c>
      <c r="Y88">
        <f t="shared" si="27"/>
        <v>7.9661479190917817E-8</v>
      </c>
      <c r="Z88">
        <f t="shared" si="28"/>
        <v>16.345479690561422</v>
      </c>
      <c r="AA88">
        <f>IF(M88="","",Inputs!$B$7*Z88+Inputs!$B$8*T88)</f>
        <v>19.822335810462157</v>
      </c>
      <c r="AB88">
        <f t="shared" si="29"/>
        <v>2.4618916712368652E-9</v>
      </c>
    </row>
    <row r="89" spans="1:28">
      <c r="A89" t="s">
        <v>201</v>
      </c>
      <c r="B89">
        <v>1</v>
      </c>
      <c r="C89">
        <v>3</v>
      </c>
      <c r="D89">
        <v>0.2</v>
      </c>
      <c r="E89">
        <f>IF(B89=1,Inputs!$B$5,Inputs!$B$6)</f>
        <v>4</v>
      </c>
      <c r="F89">
        <f>E89*Inputs!$B$4</f>
        <v>60</v>
      </c>
      <c r="G89">
        <f t="shared" si="15"/>
        <v>20</v>
      </c>
      <c r="H89">
        <f t="shared" si="16"/>
        <v>20</v>
      </c>
      <c r="I89">
        <f t="shared" si="17"/>
        <v>20</v>
      </c>
      <c r="J89">
        <f t="shared" si="18"/>
        <v>0</v>
      </c>
      <c r="K89">
        <v>11</v>
      </c>
      <c r="L89" t="s">
        <v>200</v>
      </c>
      <c r="M89" t="str">
        <f>IF(L89="C",E89*COMBIN(Inputs!$B$4,K89),IF(L89="T",(Inputs!$B$4-K89+1)*E89^K89,IF(L89="PT",E89*(Inputs!$B$4-K89+1),IF(AND(L89="E",K89&lt;=E89),Inputs!$B$4*COMBIN(E89,K89),""))))</f>
        <v/>
      </c>
      <c r="N89" t="str">
        <f t="shared" si="19"/>
        <v/>
      </c>
      <c r="O89" t="str">
        <f t="shared" si="20"/>
        <v/>
      </c>
      <c r="P89" t="str">
        <f t="shared" si="21"/>
        <v/>
      </c>
      <c r="Q89" t="str">
        <f t="shared" si="22"/>
        <v/>
      </c>
      <c r="R89" t="str">
        <f t="shared" si="23"/>
        <v/>
      </c>
      <c r="S89" t="str">
        <f>IF(M89="","",IF(L89="C",SUMIFS(Marginal_Model!$J:$J,Marginal_Model!$A:$A,B89,Marginal_Model!$C:$C,K89),IF(L89="T",SUMIFS(Marginal_Model!$K:$K,Marginal_Model!$A:$A,B89,Marginal_Model!$C:$C,K89),IF(L89="PT",SUMIFS(Marginal_Model!$L:$L,Marginal_Model!$A:$A,B89,Marginal_Model!$C:$C,K89),SUMIFS(Marginal_Model!$M:$M,Marginal_Model!$A:$A,B89,Marginal_Model!$C:$C,K89)))))</f>
        <v/>
      </c>
      <c r="T89" t="str">
        <f t="shared" si="24"/>
        <v/>
      </c>
      <c r="U89" t="str">
        <f>IF(M89="","",Inputs!$B$7*R89+Inputs!$B$8*T89)</f>
        <v/>
      </c>
      <c r="V89" t="str">
        <f t="shared" si="25"/>
        <v/>
      </c>
      <c r="W89">
        <f>Inputs!$B$9</f>
        <v>15</v>
      </c>
      <c r="X89" t="str">
        <f t="shared" si="26"/>
        <v/>
      </c>
      <c r="Y89" t="str">
        <f t="shared" si="27"/>
        <v/>
      </c>
      <c r="Z89" t="str">
        <f t="shared" si="28"/>
        <v/>
      </c>
      <c r="AA89" t="str">
        <f>IF(M89="","",Inputs!$B$7*Z89+Inputs!$B$8*T89)</f>
        <v/>
      </c>
      <c r="AB89" t="str">
        <f t="shared" si="29"/>
        <v/>
      </c>
    </row>
    <row r="90" spans="1:28">
      <c r="A90" t="s">
        <v>201</v>
      </c>
      <c r="B90">
        <v>1</v>
      </c>
      <c r="C90">
        <v>3</v>
      </c>
      <c r="D90">
        <v>0.2</v>
      </c>
      <c r="E90">
        <f>IF(B90=1,Inputs!$B$5,Inputs!$B$6)</f>
        <v>4</v>
      </c>
      <c r="F90">
        <f>E90*Inputs!$B$4</f>
        <v>60</v>
      </c>
      <c r="G90">
        <f t="shared" si="15"/>
        <v>20</v>
      </c>
      <c r="H90">
        <f t="shared" si="16"/>
        <v>20</v>
      </c>
      <c r="I90">
        <f t="shared" si="17"/>
        <v>20</v>
      </c>
      <c r="J90">
        <f t="shared" si="18"/>
        <v>0</v>
      </c>
      <c r="K90">
        <v>12</v>
      </c>
      <c r="L90" t="s">
        <v>197</v>
      </c>
      <c r="M90">
        <f>IF(L90="C",E90*COMBIN(Inputs!$B$4,K90),IF(L90="T",(Inputs!$B$4-K90+1)*E90^K90,IF(L90="PT",E90*(Inputs!$B$4-K90+1),IF(AND(L90="E",K90&lt;=E90),Inputs!$B$4*COMBIN(E90,K90),""))))</f>
        <v>1820.0000000000002</v>
      </c>
      <c r="N90">
        <f t="shared" si="19"/>
        <v>1.6383603163925827E-4</v>
      </c>
      <c r="O90">
        <f t="shared" si="20"/>
        <v>1.6383603163925827E-4</v>
      </c>
      <c r="P90">
        <f t="shared" si="21"/>
        <v>1.6383603163925827E-4</v>
      </c>
      <c r="Q90">
        <f t="shared" si="22"/>
        <v>1.6382261124958664E-4</v>
      </c>
      <c r="R90">
        <f t="shared" si="23"/>
        <v>8.7167263542554316</v>
      </c>
      <c r="S90">
        <f>IF(M90="","",IF(L90="C",SUMIFS(Marginal_Model!$J:$J,Marginal_Model!$A:$A,B90,Marginal_Model!$C:$C,K90),IF(L90="T",SUMIFS(Marginal_Model!$K:$K,Marginal_Model!$A:$A,B90,Marginal_Model!$C:$C,K90),IF(L90="PT",SUMIFS(Marginal_Model!$L:$L,Marginal_Model!$A:$A,B90,Marginal_Model!$C:$C,K90),SUMIFS(Marginal_Model!$M:$M,Marginal_Model!$A:$A,B90,Marginal_Model!$C:$C,K90)))))</f>
        <v>1.3005956310173714E-9</v>
      </c>
      <c r="T90">
        <f t="shared" si="24"/>
        <v>20.460443499704606</v>
      </c>
      <c r="U90">
        <f>IF(M90="","",Inputs!$B$7*R90+Inputs!$B$8*T90)</f>
        <v>11.065469783345266</v>
      </c>
      <c r="V90">
        <f t="shared" si="25"/>
        <v>1.5643269719547189E-5</v>
      </c>
      <c r="W90">
        <f>Inputs!$B$9</f>
        <v>15</v>
      </c>
      <c r="X90">
        <f t="shared" si="26"/>
        <v>5.9177101211290354E-7</v>
      </c>
      <c r="Y90">
        <f t="shared" si="27"/>
        <v>5.9177083699957223E-7</v>
      </c>
      <c r="Z90">
        <f t="shared" si="28"/>
        <v>14.340146376667706</v>
      </c>
      <c r="AA90">
        <f>IF(M90="","",Inputs!$B$7*Z90+Inputs!$B$8*T90)</f>
        <v>15.564205801275087</v>
      </c>
      <c r="AB90">
        <f t="shared" si="29"/>
        <v>1.740008241454342E-7</v>
      </c>
    </row>
    <row r="91" spans="1:28">
      <c r="A91" t="s">
        <v>201</v>
      </c>
      <c r="B91">
        <v>1</v>
      </c>
      <c r="C91">
        <v>3</v>
      </c>
      <c r="D91">
        <v>0.2</v>
      </c>
      <c r="E91">
        <f>IF(B91=1,Inputs!$B$5,Inputs!$B$6)</f>
        <v>4</v>
      </c>
      <c r="F91">
        <f>E91*Inputs!$B$4</f>
        <v>60</v>
      </c>
      <c r="G91">
        <f t="shared" si="15"/>
        <v>20</v>
      </c>
      <c r="H91">
        <f t="shared" si="16"/>
        <v>20</v>
      </c>
      <c r="I91">
        <f t="shared" si="17"/>
        <v>20</v>
      </c>
      <c r="J91">
        <f t="shared" si="18"/>
        <v>0</v>
      </c>
      <c r="K91">
        <v>12</v>
      </c>
      <c r="L91" t="s">
        <v>198</v>
      </c>
      <c r="M91">
        <f>IF(L91="C",E91*COMBIN(Inputs!$B$4,K91),IF(L91="T",(Inputs!$B$4-K91+1)*E91^K91,IF(L91="PT",E91*(Inputs!$B$4-K91+1),IF(AND(L91="E",K91&lt;=E91),Inputs!$B$4*COMBIN(E91,K91),""))))</f>
        <v>67108864</v>
      </c>
      <c r="N91">
        <f t="shared" si="19"/>
        <v>6.0411263547135592</v>
      </c>
      <c r="O91">
        <f t="shared" si="20"/>
        <v>6.0411263547135592</v>
      </c>
      <c r="P91">
        <f t="shared" si="21"/>
        <v>6.0411263547135592</v>
      </c>
      <c r="Q91">
        <f t="shared" si="22"/>
        <v>0.99762112205634612</v>
      </c>
      <c r="R91">
        <f t="shared" si="23"/>
        <v>2.3817119692153411E-3</v>
      </c>
      <c r="S91">
        <f>IF(M91="","",IF(L91="C",SUMIFS(Marginal_Model!$J:$J,Marginal_Model!$A:$A,B91,Marginal_Model!$C:$C,K91),IF(L91="T",SUMIFS(Marginal_Model!$K:$K,Marginal_Model!$A:$A,B91,Marginal_Model!$C:$C,K91),IF(L91="PT",SUMIFS(Marginal_Model!$L:$L,Marginal_Model!$A:$A,B91,Marginal_Model!$C:$C,K91),SUMIFS(Marginal_Model!$M:$M,Marginal_Model!$A:$A,B91,Marginal_Model!$C:$C,K91)))))</f>
        <v>3.0756367202793319E-10</v>
      </c>
      <c r="T91">
        <f t="shared" si="24"/>
        <v>21.902338986611191</v>
      </c>
      <c r="U91">
        <f>IF(M91="","",Inputs!$B$7*R91+Inputs!$B$8*T91)</f>
        <v>4.3823731668976089</v>
      </c>
      <c r="V91">
        <f t="shared" si="25"/>
        <v>1.249566909764536E-2</v>
      </c>
      <c r="W91">
        <f>Inputs!$B$9</f>
        <v>15</v>
      </c>
      <c r="X91">
        <f t="shared" si="26"/>
        <v>2.1820373830234722E-2</v>
      </c>
      <c r="Y91">
        <f t="shared" si="27"/>
        <v>2.1584031619577559E-2</v>
      </c>
      <c r="Z91">
        <f t="shared" si="28"/>
        <v>3.8358015145633271</v>
      </c>
      <c r="AA91">
        <f>IF(M91="","",Inputs!$B$7*Z91+Inputs!$B$8*T91)</f>
        <v>7.4491090089728988</v>
      </c>
      <c r="AB91">
        <f t="shared" si="29"/>
        <v>5.819599023146394E-4</v>
      </c>
    </row>
    <row r="92" spans="1:28">
      <c r="A92" t="s">
        <v>201</v>
      </c>
      <c r="B92">
        <v>1</v>
      </c>
      <c r="C92">
        <v>3</v>
      </c>
      <c r="D92">
        <v>0.2</v>
      </c>
      <c r="E92">
        <f>IF(B92=1,Inputs!$B$5,Inputs!$B$6)</f>
        <v>4</v>
      </c>
      <c r="F92">
        <f>E92*Inputs!$B$4</f>
        <v>60</v>
      </c>
      <c r="G92">
        <f t="shared" si="15"/>
        <v>20</v>
      </c>
      <c r="H92">
        <f t="shared" si="16"/>
        <v>20</v>
      </c>
      <c r="I92">
        <f t="shared" si="17"/>
        <v>20</v>
      </c>
      <c r="J92">
        <f t="shared" si="18"/>
        <v>0</v>
      </c>
      <c r="K92">
        <v>12</v>
      </c>
      <c r="L92" t="s">
        <v>199</v>
      </c>
      <c r="M92">
        <f>IF(L92="C",E92*COMBIN(Inputs!$B$4,K92),IF(L92="T",(Inputs!$B$4-K92+1)*E92^K92,IF(L92="PT",E92*(Inputs!$B$4-K92+1),IF(AND(L92="E",K92&lt;=E92),Inputs!$B$4*COMBIN(E92,K92),""))))</f>
        <v>16</v>
      </c>
      <c r="N92">
        <f t="shared" si="19"/>
        <v>1.4403167616638086E-6</v>
      </c>
      <c r="O92">
        <f t="shared" si="20"/>
        <v>1.4403167616638086E-6</v>
      </c>
      <c r="P92">
        <f t="shared" si="21"/>
        <v>1.4403167616638086E-6</v>
      </c>
      <c r="Q92">
        <f t="shared" si="22"/>
        <v>1.4403157243547682E-6</v>
      </c>
      <c r="R92">
        <f t="shared" si="23"/>
        <v>13.450648215384652</v>
      </c>
      <c r="S92">
        <f>IF(M92="","",IF(L92="C",SUMIFS(Marginal_Model!$J:$J,Marginal_Model!$A:$A,B92,Marginal_Model!$C:$C,K92),IF(L92="T",SUMIFS(Marginal_Model!$K:$K,Marginal_Model!$A:$A,B92,Marginal_Model!$C:$C,K92),IF(L92="PT",SUMIFS(Marginal_Model!$L:$L,Marginal_Model!$A:$A,B92,Marginal_Model!$C:$C,K92),SUMIFS(Marginal_Model!$M:$M,Marginal_Model!$A:$A,B92,Marginal_Model!$C:$C,K92)))))</f>
        <v>7.3328893668158814E-17</v>
      </c>
      <c r="T92">
        <f t="shared" si="24"/>
        <v>37.151576958929986</v>
      </c>
      <c r="U92">
        <f>IF(M92="","",Inputs!$B$7*R92+Inputs!$B$8*T92)</f>
        <v>18.19083396409372</v>
      </c>
      <c r="V92">
        <f t="shared" si="25"/>
        <v>1.2584071818309992E-8</v>
      </c>
      <c r="W92">
        <f>Inputs!$B$9</f>
        <v>15</v>
      </c>
      <c r="X92">
        <f t="shared" si="26"/>
        <v>5.2023825240694813E-9</v>
      </c>
      <c r="Y92">
        <f t="shared" si="27"/>
        <v>5.2023825247715649E-9</v>
      </c>
      <c r="Z92">
        <f t="shared" si="28"/>
        <v>19.074149138449762</v>
      </c>
      <c r="AA92">
        <f>IF(M92="","",Inputs!$B$7*Z92+Inputs!$B$8*T92)</f>
        <v>22.689634702545806</v>
      </c>
      <c r="AB92">
        <f t="shared" si="29"/>
        <v>1.3996416329574047E-10</v>
      </c>
    </row>
    <row r="93" spans="1:28">
      <c r="A93" t="s">
        <v>201</v>
      </c>
      <c r="B93">
        <v>1</v>
      </c>
      <c r="C93">
        <v>3</v>
      </c>
      <c r="D93">
        <v>0.2</v>
      </c>
      <c r="E93">
        <f>IF(B93=1,Inputs!$B$5,Inputs!$B$6)</f>
        <v>4</v>
      </c>
      <c r="F93">
        <f>E93*Inputs!$B$4</f>
        <v>60</v>
      </c>
      <c r="G93">
        <f t="shared" si="15"/>
        <v>20</v>
      </c>
      <c r="H93">
        <f t="shared" si="16"/>
        <v>20</v>
      </c>
      <c r="I93">
        <f t="shared" si="17"/>
        <v>20</v>
      </c>
      <c r="J93">
        <f t="shared" si="18"/>
        <v>0</v>
      </c>
      <c r="K93">
        <v>12</v>
      </c>
      <c r="L93" t="s">
        <v>200</v>
      </c>
      <c r="M93" t="str">
        <f>IF(L93="C",E93*COMBIN(Inputs!$B$4,K93),IF(L93="T",(Inputs!$B$4-K93+1)*E93^K93,IF(L93="PT",E93*(Inputs!$B$4-K93+1),IF(AND(L93="E",K93&lt;=E93),Inputs!$B$4*COMBIN(E93,K93),""))))</f>
        <v/>
      </c>
      <c r="N93" t="str">
        <f t="shared" si="19"/>
        <v/>
      </c>
      <c r="O93" t="str">
        <f t="shared" si="20"/>
        <v/>
      </c>
      <c r="P93" t="str">
        <f t="shared" si="21"/>
        <v/>
      </c>
      <c r="Q93" t="str">
        <f t="shared" si="22"/>
        <v/>
      </c>
      <c r="R93" t="str">
        <f t="shared" si="23"/>
        <v/>
      </c>
      <c r="S93" t="str">
        <f>IF(M93="","",IF(L93="C",SUMIFS(Marginal_Model!$J:$J,Marginal_Model!$A:$A,B93,Marginal_Model!$C:$C,K93),IF(L93="T",SUMIFS(Marginal_Model!$K:$K,Marginal_Model!$A:$A,B93,Marginal_Model!$C:$C,K93),IF(L93="PT",SUMIFS(Marginal_Model!$L:$L,Marginal_Model!$A:$A,B93,Marginal_Model!$C:$C,K93),SUMIFS(Marginal_Model!$M:$M,Marginal_Model!$A:$A,B93,Marginal_Model!$C:$C,K93)))))</f>
        <v/>
      </c>
      <c r="T93" t="str">
        <f t="shared" si="24"/>
        <v/>
      </c>
      <c r="U93" t="str">
        <f>IF(M93="","",Inputs!$B$7*R93+Inputs!$B$8*T93)</f>
        <v/>
      </c>
      <c r="V93" t="str">
        <f t="shared" si="25"/>
        <v/>
      </c>
      <c r="W93">
        <f>Inputs!$B$9</f>
        <v>15</v>
      </c>
      <c r="X93" t="str">
        <f t="shared" si="26"/>
        <v/>
      </c>
      <c r="Y93" t="str">
        <f t="shared" si="27"/>
        <v/>
      </c>
      <c r="Z93" t="str">
        <f t="shared" si="28"/>
        <v/>
      </c>
      <c r="AA93" t="str">
        <f>IF(M93="","",Inputs!$B$7*Z93+Inputs!$B$8*T93)</f>
        <v/>
      </c>
      <c r="AB93" t="str">
        <f t="shared" si="29"/>
        <v/>
      </c>
    </row>
    <row r="94" spans="1:28">
      <c r="A94" t="s">
        <v>201</v>
      </c>
      <c r="B94">
        <v>1</v>
      </c>
      <c r="C94">
        <v>3</v>
      </c>
      <c r="D94">
        <v>0.2</v>
      </c>
      <c r="E94">
        <f>IF(B94=1,Inputs!$B$5,Inputs!$B$6)</f>
        <v>4</v>
      </c>
      <c r="F94">
        <f>E94*Inputs!$B$4</f>
        <v>60</v>
      </c>
      <c r="G94">
        <f t="shared" si="15"/>
        <v>20</v>
      </c>
      <c r="H94">
        <f t="shared" si="16"/>
        <v>20</v>
      </c>
      <c r="I94">
        <f t="shared" si="17"/>
        <v>20</v>
      </c>
      <c r="J94">
        <f t="shared" si="18"/>
        <v>0</v>
      </c>
      <c r="K94">
        <v>13</v>
      </c>
      <c r="L94" t="s">
        <v>197</v>
      </c>
      <c r="M94">
        <f>IF(L94="C",E94*COMBIN(Inputs!$B$4,K94),IF(L94="T",(Inputs!$B$4-K94+1)*E94^K94,IF(L94="PT",E94*(Inputs!$B$4-K94+1),IF(AND(L94="E",K94&lt;=E94),Inputs!$B$4*COMBIN(E94,K94),""))))</f>
        <v>420</v>
      </c>
      <c r="N94">
        <f t="shared" si="19"/>
        <v>6.3013858322791624E-6</v>
      </c>
      <c r="O94">
        <f t="shared" si="20"/>
        <v>6.3013858322791624E-6</v>
      </c>
      <c r="P94">
        <f t="shared" si="21"/>
        <v>6.3013858322791624E-6</v>
      </c>
      <c r="Q94">
        <f t="shared" si="22"/>
        <v>6.3013659785671194E-6</v>
      </c>
      <c r="R94">
        <f t="shared" si="23"/>
        <v>11.974744126074498</v>
      </c>
      <c r="S94">
        <f>IF(M94="","",IF(L94="C",SUMIFS(Marginal_Model!$J:$J,Marginal_Model!$A:$A,B94,Marginal_Model!$C:$C,K94),IF(L94="T",SUMIFS(Marginal_Model!$K:$K,Marginal_Model!$A:$A,B94,Marginal_Model!$C:$C,K94),IF(L94="PT",SUMIFS(Marginal_Model!$L:$L,Marginal_Model!$A:$A,B94,Marginal_Model!$C:$C,K94),SUMIFS(Marginal_Model!$M:$M,Marginal_Model!$A:$A,B94,Marginal_Model!$C:$C,K94)))))</f>
        <v>8.128722693858571E-11</v>
      </c>
      <c r="T94">
        <f t="shared" si="24"/>
        <v>23.233032221944384</v>
      </c>
      <c r="U94">
        <f>IF(M94="","",Inputs!$B$7*R94+Inputs!$B$8*T94)</f>
        <v>14.226401745248475</v>
      </c>
      <c r="V94">
        <f t="shared" si="25"/>
        <v>6.630590769343875E-7</v>
      </c>
      <c r="W94">
        <f>Inputs!$B$9</f>
        <v>15</v>
      </c>
      <c r="X94">
        <f t="shared" si="26"/>
        <v>8.5351588285514931E-9</v>
      </c>
      <c r="Y94">
        <f t="shared" si="27"/>
        <v>8.5351588019477731E-9</v>
      </c>
      <c r="Z94">
        <f t="shared" si="28"/>
        <v>18.579071874903821</v>
      </c>
      <c r="AA94">
        <f>IF(M94="","",Inputs!$B$7*Z94+Inputs!$B$8*T94)</f>
        <v>19.509863944311935</v>
      </c>
      <c r="AB94">
        <f t="shared" si="29"/>
        <v>3.3649122740381813E-9</v>
      </c>
    </row>
    <row r="95" spans="1:28">
      <c r="A95" t="s">
        <v>201</v>
      </c>
      <c r="B95">
        <v>1</v>
      </c>
      <c r="C95">
        <v>3</v>
      </c>
      <c r="D95">
        <v>0.2</v>
      </c>
      <c r="E95">
        <f>IF(B95=1,Inputs!$B$5,Inputs!$B$6)</f>
        <v>4</v>
      </c>
      <c r="F95">
        <f>E95*Inputs!$B$4</f>
        <v>60</v>
      </c>
      <c r="G95">
        <f t="shared" si="15"/>
        <v>20</v>
      </c>
      <c r="H95">
        <f t="shared" si="16"/>
        <v>20</v>
      </c>
      <c r="I95">
        <f t="shared" si="17"/>
        <v>20</v>
      </c>
      <c r="J95">
        <f t="shared" si="18"/>
        <v>0</v>
      </c>
      <c r="K95">
        <v>13</v>
      </c>
      <c r="L95" t="s">
        <v>198</v>
      </c>
      <c r="M95">
        <f>IF(L95="C",E95*COMBIN(Inputs!$B$4,K95),IF(L95="T",(Inputs!$B$4-K95+1)*E95^K95,IF(L95="PT",E95*(Inputs!$B$4-K95+1),IF(AND(L95="E",K95&lt;=E95),Inputs!$B$4*COMBIN(E95,K95),""))))</f>
        <v>201326592</v>
      </c>
      <c r="N95">
        <f t="shared" si="19"/>
        <v>3.0205631773567796</v>
      </c>
      <c r="O95">
        <f t="shared" si="20"/>
        <v>3.0205631773567796</v>
      </c>
      <c r="P95">
        <f t="shared" si="21"/>
        <v>3.0205631773567796</v>
      </c>
      <c r="Q95">
        <f t="shared" si="22"/>
        <v>0.95122625764149404</v>
      </c>
      <c r="R95">
        <f t="shared" si="23"/>
        <v>5.0003329233106131E-2</v>
      </c>
      <c r="S95">
        <f>IF(M95="","",IF(L95="C",SUMIFS(Marginal_Model!$J:$J,Marginal_Model!$A:$A,B95,Marginal_Model!$C:$C,K95),IF(L95="T",SUMIFS(Marginal_Model!$K:$K,Marginal_Model!$A:$A,B95,Marginal_Model!$C:$C,K95),IF(L95="PT",SUMIFS(Marginal_Model!$L:$L,Marginal_Model!$A:$A,B95,Marginal_Model!$C:$C,K95),SUMIFS(Marginal_Model!$M:$M,Marginal_Model!$A:$A,B95,Marginal_Model!$C:$C,K95)))))</f>
        <v>3.8445459003491648E-11</v>
      </c>
      <c r="T95">
        <f t="shared" si="24"/>
        <v>23.981780528291026</v>
      </c>
      <c r="U95">
        <f>IF(M95="","",Inputs!$B$7*R95+Inputs!$B$8*T95)</f>
        <v>4.836358769044689</v>
      </c>
      <c r="V95">
        <f t="shared" si="25"/>
        <v>7.9358979433381271E-3</v>
      </c>
      <c r="W95">
        <f>Inputs!$B$9</f>
        <v>15</v>
      </c>
      <c r="X95">
        <f t="shared" si="26"/>
        <v>4.0913200931690106E-3</v>
      </c>
      <c r="Y95">
        <f t="shared" si="27"/>
        <v>4.0829620454846394E-3</v>
      </c>
      <c r="Z95">
        <f t="shared" si="28"/>
        <v>5.5009325624300933</v>
      </c>
      <c r="AA95">
        <f>IF(M95="","",Inputs!$B$7*Z95+Inputs!$B$8*T95)</f>
        <v>9.1971021556022787</v>
      </c>
      <c r="AB95">
        <f t="shared" si="29"/>
        <v>1.0133262295104354E-4</v>
      </c>
    </row>
    <row r="96" spans="1:28">
      <c r="A96" t="s">
        <v>201</v>
      </c>
      <c r="B96">
        <v>1</v>
      </c>
      <c r="C96">
        <v>3</v>
      </c>
      <c r="D96">
        <v>0.2</v>
      </c>
      <c r="E96">
        <f>IF(B96=1,Inputs!$B$5,Inputs!$B$6)</f>
        <v>4</v>
      </c>
      <c r="F96">
        <f>E96*Inputs!$B$4</f>
        <v>60</v>
      </c>
      <c r="G96">
        <f t="shared" si="15"/>
        <v>20</v>
      </c>
      <c r="H96">
        <f t="shared" si="16"/>
        <v>20</v>
      </c>
      <c r="I96">
        <f t="shared" si="17"/>
        <v>20</v>
      </c>
      <c r="J96">
        <f t="shared" si="18"/>
        <v>0</v>
      </c>
      <c r="K96">
        <v>13</v>
      </c>
      <c r="L96" t="s">
        <v>199</v>
      </c>
      <c r="M96">
        <f>IF(L96="C",E96*COMBIN(Inputs!$B$4,K96),IF(L96="T",(Inputs!$B$4-K96+1)*E96^K96,IF(L96="PT",E96*(Inputs!$B$4-K96+1),IF(AND(L96="E",K96&lt;=E96),Inputs!$B$4*COMBIN(E96,K96),""))))</f>
        <v>12</v>
      </c>
      <c r="N96">
        <f t="shared" si="19"/>
        <v>1.8003959520797608E-7</v>
      </c>
      <c r="O96">
        <f t="shared" si="20"/>
        <v>1.8003959520797608E-7</v>
      </c>
      <c r="P96">
        <f t="shared" si="21"/>
        <v>1.8003959520797608E-7</v>
      </c>
      <c r="Q96">
        <f t="shared" si="22"/>
        <v>1.8003957902301693E-7</v>
      </c>
      <c r="R96">
        <f t="shared" si="23"/>
        <v>15.530089126765821</v>
      </c>
      <c r="S96">
        <f>IF(M96="","",IF(L96="C",SUMIFS(Marginal_Model!$J:$J,Marginal_Model!$A:$A,B96,Marginal_Model!$C:$C,K96),IF(L96="T",SUMIFS(Marginal_Model!$K:$K,Marginal_Model!$A:$A,B96,Marginal_Model!$C:$C,K96),IF(L96="PT",SUMIFS(Marginal_Model!$L:$L,Marginal_Model!$A:$A,B96,Marginal_Model!$C:$C,K96),SUMIFS(Marginal_Model!$M:$M,Marginal_Model!$A:$A,B96,Marginal_Model!$C:$C,K96)))))</f>
        <v>2.2915279271299629E-18</v>
      </c>
      <c r="T96">
        <f t="shared" si="24"/>
        <v>40.617312861729715</v>
      </c>
      <c r="U96">
        <f>IF(M96="","",Inputs!$B$7*R96+Inputs!$B$8*T96)</f>
        <v>20.547533873758599</v>
      </c>
      <c r="V96">
        <f t="shared" si="25"/>
        <v>1.1921184841854707E-9</v>
      </c>
      <c r="W96">
        <f>Inputs!$B$9</f>
        <v>15</v>
      </c>
      <c r="X96">
        <f t="shared" si="26"/>
        <v>2.4386168081575695E-10</v>
      </c>
      <c r="Y96">
        <f t="shared" si="27"/>
        <v>2.4386170860424272E-10</v>
      </c>
      <c r="Z96">
        <f t="shared" si="28"/>
        <v>22.134419819324449</v>
      </c>
      <c r="AA96">
        <f>IF(M96="","",Inputs!$B$7*Z96+Inputs!$B$8*T96)</f>
        <v>25.830998427805504</v>
      </c>
      <c r="AB96">
        <f t="shared" si="29"/>
        <v>6.0497847211160352E-12</v>
      </c>
    </row>
    <row r="97" spans="1:28">
      <c r="A97" t="s">
        <v>201</v>
      </c>
      <c r="B97">
        <v>1</v>
      </c>
      <c r="C97">
        <v>3</v>
      </c>
      <c r="D97">
        <v>0.2</v>
      </c>
      <c r="E97">
        <f>IF(B97=1,Inputs!$B$5,Inputs!$B$6)</f>
        <v>4</v>
      </c>
      <c r="F97">
        <f>E97*Inputs!$B$4</f>
        <v>60</v>
      </c>
      <c r="G97">
        <f t="shared" si="15"/>
        <v>20</v>
      </c>
      <c r="H97">
        <f t="shared" si="16"/>
        <v>20</v>
      </c>
      <c r="I97">
        <f t="shared" si="17"/>
        <v>20</v>
      </c>
      <c r="J97">
        <f t="shared" si="18"/>
        <v>0</v>
      </c>
      <c r="K97">
        <v>13</v>
      </c>
      <c r="L97" t="s">
        <v>200</v>
      </c>
      <c r="M97" t="str">
        <f>IF(L97="C",E97*COMBIN(Inputs!$B$4,K97),IF(L97="T",(Inputs!$B$4-K97+1)*E97^K97,IF(L97="PT",E97*(Inputs!$B$4-K97+1),IF(AND(L97="E",K97&lt;=E97),Inputs!$B$4*COMBIN(E97,K97),""))))</f>
        <v/>
      </c>
      <c r="N97" t="str">
        <f t="shared" si="19"/>
        <v/>
      </c>
      <c r="O97" t="str">
        <f t="shared" si="20"/>
        <v/>
      </c>
      <c r="P97" t="str">
        <f t="shared" si="21"/>
        <v/>
      </c>
      <c r="Q97" t="str">
        <f t="shared" si="22"/>
        <v/>
      </c>
      <c r="R97" t="str">
        <f t="shared" si="23"/>
        <v/>
      </c>
      <c r="S97" t="str">
        <f>IF(M97="","",IF(L97="C",SUMIFS(Marginal_Model!$J:$J,Marginal_Model!$A:$A,B97,Marginal_Model!$C:$C,K97),IF(L97="T",SUMIFS(Marginal_Model!$K:$K,Marginal_Model!$A:$A,B97,Marginal_Model!$C:$C,K97),IF(L97="PT",SUMIFS(Marginal_Model!$L:$L,Marginal_Model!$A:$A,B97,Marginal_Model!$C:$C,K97),SUMIFS(Marginal_Model!$M:$M,Marginal_Model!$A:$A,B97,Marginal_Model!$C:$C,K97)))))</f>
        <v/>
      </c>
      <c r="T97" t="str">
        <f t="shared" si="24"/>
        <v/>
      </c>
      <c r="U97" t="str">
        <f>IF(M97="","",Inputs!$B$7*R97+Inputs!$B$8*T97)</f>
        <v/>
      </c>
      <c r="V97" t="str">
        <f t="shared" si="25"/>
        <v/>
      </c>
      <c r="W97">
        <f>Inputs!$B$9</f>
        <v>15</v>
      </c>
      <c r="X97" t="str">
        <f t="shared" si="26"/>
        <v/>
      </c>
      <c r="Y97" t="str">
        <f t="shared" si="27"/>
        <v/>
      </c>
      <c r="Z97" t="str">
        <f t="shared" si="28"/>
        <v/>
      </c>
      <c r="AA97" t="str">
        <f>IF(M97="","",Inputs!$B$7*Z97+Inputs!$B$8*T97)</f>
        <v/>
      </c>
      <c r="AB97" t="str">
        <f t="shared" si="29"/>
        <v/>
      </c>
    </row>
    <row r="98" spans="1:28">
      <c r="A98" t="s">
        <v>201</v>
      </c>
      <c r="B98">
        <v>1</v>
      </c>
      <c r="C98">
        <v>3</v>
      </c>
      <c r="D98">
        <v>0.2</v>
      </c>
      <c r="E98">
        <f>IF(B98=1,Inputs!$B$5,Inputs!$B$6)</f>
        <v>4</v>
      </c>
      <c r="F98">
        <f>E98*Inputs!$B$4</f>
        <v>60</v>
      </c>
      <c r="G98">
        <f t="shared" si="15"/>
        <v>20</v>
      </c>
      <c r="H98">
        <f t="shared" si="16"/>
        <v>20</v>
      </c>
      <c r="I98">
        <f t="shared" si="17"/>
        <v>20</v>
      </c>
      <c r="J98">
        <f t="shared" si="18"/>
        <v>0</v>
      </c>
      <c r="K98">
        <v>14</v>
      </c>
      <c r="L98" t="s">
        <v>197</v>
      </c>
      <c r="M98">
        <f>IF(L98="C",E98*COMBIN(Inputs!$B$4,K98),IF(L98="T",(Inputs!$B$4-K98+1)*E98^K98,IF(L98="PT",E98*(Inputs!$B$4-K98+1),IF(AND(L98="E",K98&lt;=E98),Inputs!$B$4*COMBIN(E98,K98),""))))</f>
        <v>60</v>
      </c>
      <c r="N98">
        <f t="shared" si="19"/>
        <v>1.3407203898466303E-7</v>
      </c>
      <c r="O98">
        <f t="shared" si="20"/>
        <v>1.3407203898466303E-7</v>
      </c>
      <c r="P98">
        <f t="shared" si="21"/>
        <v>1.3407203898466303E-7</v>
      </c>
      <c r="Q98">
        <f t="shared" si="22"/>
        <v>1.3407203003357182E-7</v>
      </c>
      <c r="R98">
        <f t="shared" si="23"/>
        <v>15.824888643853095</v>
      </c>
      <c r="S98">
        <f>IF(M98="","",IF(L98="C",SUMIFS(Marginal_Model!$J:$J,Marginal_Model!$A:$A,B98,Marginal_Model!$C:$C,K98),IF(L98="T",SUMIFS(Marginal_Model!$K:$K,Marginal_Model!$A:$A,B98,Marginal_Model!$C:$C,K98),IF(L98="PT",SUMIFS(Marginal_Model!$L:$L,Marginal_Model!$A:$A,B98,Marginal_Model!$C:$C,K98),SUMIFS(Marginal_Model!$M:$M,Marginal_Model!$A:$A,B98,Marginal_Model!$C:$C,K98)))))</f>
        <v>3.4590309335568387E-12</v>
      </c>
      <c r="T98">
        <f t="shared" si="24"/>
        <v>26.3900326430945</v>
      </c>
      <c r="U98">
        <f>IF(M98="","",Inputs!$B$7*R98+Inputs!$B$8*T98)</f>
        <v>17.937917443701377</v>
      </c>
      <c r="V98">
        <f t="shared" si="25"/>
        <v>1.6205462767145452E-8</v>
      </c>
      <c r="W98">
        <f>Inputs!$B$9</f>
        <v>15</v>
      </c>
      <c r="X98">
        <f t="shared" si="26"/>
        <v>5.1885464003352544E-11</v>
      </c>
      <c r="Y98">
        <f t="shared" si="27"/>
        <v>5.1885495899739453E-11</v>
      </c>
      <c r="Z98">
        <f t="shared" si="28"/>
        <v>23.681981827246375</v>
      </c>
      <c r="AA98">
        <f>IF(M98="","",Inputs!$B$7*Z98+Inputs!$B$8*T98)</f>
        <v>24.223591990416001</v>
      </c>
      <c r="AB98">
        <f t="shared" si="29"/>
        <v>3.0187536046907907E-11</v>
      </c>
    </row>
    <row r="99" spans="1:28">
      <c r="A99" t="s">
        <v>201</v>
      </c>
      <c r="B99">
        <v>1</v>
      </c>
      <c r="C99">
        <v>3</v>
      </c>
      <c r="D99">
        <v>0.2</v>
      </c>
      <c r="E99">
        <f>IF(B99=1,Inputs!$B$5,Inputs!$B$6)</f>
        <v>4</v>
      </c>
      <c r="F99">
        <f>E99*Inputs!$B$4</f>
        <v>60</v>
      </c>
      <c r="G99">
        <f t="shared" si="15"/>
        <v>20</v>
      </c>
      <c r="H99">
        <f t="shared" si="16"/>
        <v>20</v>
      </c>
      <c r="I99">
        <f t="shared" si="17"/>
        <v>20</v>
      </c>
      <c r="J99">
        <f t="shared" si="18"/>
        <v>0</v>
      </c>
      <c r="K99">
        <v>14</v>
      </c>
      <c r="L99" t="s">
        <v>198</v>
      </c>
      <c r="M99">
        <f>IF(L99="C",E99*COMBIN(Inputs!$B$4,K99),IF(L99="T",(Inputs!$B$4-K99+1)*E99^K99,IF(L99="PT",E99*(Inputs!$B$4-K99+1),IF(AND(L99="E",K99&lt;=E99),Inputs!$B$4*COMBIN(E99,K99),""))))</f>
        <v>536870912</v>
      </c>
      <c r="N99">
        <f t="shared" si="19"/>
        <v>1.1996562973899265</v>
      </c>
      <c r="O99">
        <f t="shared" si="20"/>
        <v>1.1996562973899265</v>
      </c>
      <c r="P99">
        <f t="shared" si="21"/>
        <v>1.1996562973899265</v>
      </c>
      <c r="Q99">
        <f t="shared" si="22"/>
        <v>0.69870224905872669</v>
      </c>
      <c r="R99">
        <f t="shared" si="23"/>
        <v>0.35853059450988217</v>
      </c>
      <c r="S99">
        <f>IF(M99="","",IF(L99="C",SUMIFS(Marginal_Model!$J:$J,Marginal_Model!$A:$A,B99,Marginal_Model!$C:$C,K99),IF(L99="T",SUMIFS(Marginal_Model!$K:$K,Marginal_Model!$A:$A,B99,Marginal_Model!$C:$C,K99),IF(L99="PT",SUMIFS(Marginal_Model!$L:$L,Marginal_Model!$A:$A,B99,Marginal_Model!$C:$C,K99),SUMIFS(Marginal_Model!$M:$M,Marginal_Model!$A:$A,B99,Marginal_Model!$C:$C,K99)))))</f>
        <v>4.3626052769919598E-12</v>
      </c>
      <c r="T99">
        <f t="shared" si="24"/>
        <v>26.157951696429414</v>
      </c>
      <c r="U99">
        <f>IF(M99="","",Inputs!$B$7*R99+Inputs!$B$8*T99)</f>
        <v>5.5184148148937879</v>
      </c>
      <c r="V99">
        <f t="shared" si="25"/>
        <v>4.0122029882174526E-3</v>
      </c>
      <c r="W99">
        <f>Inputs!$B$9</f>
        <v>15</v>
      </c>
      <c r="X99">
        <f t="shared" si="26"/>
        <v>4.6426327298371747E-4</v>
      </c>
      <c r="Y99">
        <f t="shared" si="27"/>
        <v>4.6415551946632494E-4</v>
      </c>
      <c r="Z99">
        <f t="shared" si="28"/>
        <v>7.6752908906317279</v>
      </c>
      <c r="AA99">
        <f>IF(M99="","",Inputs!$B$7*Z99+Inputs!$B$8*T99)</f>
        <v>11.371823051791264</v>
      </c>
      <c r="AB99">
        <f t="shared" si="29"/>
        <v>1.1515425750818239E-5</v>
      </c>
    </row>
    <row r="100" spans="1:28">
      <c r="A100" t="s">
        <v>201</v>
      </c>
      <c r="B100">
        <v>1</v>
      </c>
      <c r="C100">
        <v>3</v>
      </c>
      <c r="D100">
        <v>0.2</v>
      </c>
      <c r="E100">
        <f>IF(B100=1,Inputs!$B$5,Inputs!$B$6)</f>
        <v>4</v>
      </c>
      <c r="F100">
        <f>E100*Inputs!$B$4</f>
        <v>60</v>
      </c>
      <c r="G100">
        <f t="shared" si="15"/>
        <v>20</v>
      </c>
      <c r="H100">
        <f t="shared" si="16"/>
        <v>20</v>
      </c>
      <c r="I100">
        <f t="shared" si="17"/>
        <v>20</v>
      </c>
      <c r="J100">
        <f t="shared" si="18"/>
        <v>0</v>
      </c>
      <c r="K100">
        <v>14</v>
      </c>
      <c r="L100" t="s">
        <v>199</v>
      </c>
      <c r="M100">
        <f>IF(L100="C",E100*COMBIN(Inputs!$B$4,K100),IF(L100="T",(Inputs!$B$4-K100+1)*E100^K100,IF(L100="PT",E100*(Inputs!$B$4-K100+1),IF(AND(L100="E",K100&lt;=E100),Inputs!$B$4*COMBIN(E100,K100),""))))</f>
        <v>8</v>
      </c>
      <c r="N100">
        <f t="shared" si="19"/>
        <v>1.7876271864621736E-8</v>
      </c>
      <c r="O100">
        <f t="shared" si="20"/>
        <v>1.7876271864621736E-8</v>
      </c>
      <c r="P100">
        <f t="shared" si="21"/>
        <v>1.7876271864621736E-8</v>
      </c>
      <c r="Q100">
        <f t="shared" si="22"/>
        <v>1.7876271685146605E-8</v>
      </c>
      <c r="R100">
        <f t="shared" si="23"/>
        <v>17.839791607671913</v>
      </c>
      <c r="S100">
        <f>IF(M100="","",IF(L100="C",SUMIFS(Marginal_Model!$J:$J,Marginal_Model!$A:$A,B100,Marginal_Model!$C:$C,K100),IF(L100="T",SUMIFS(Marginal_Model!$K:$K,Marginal_Model!$A:$A,B100,Marginal_Model!$C:$C,K100),IF(L100="PT",SUMIFS(Marginal_Model!$L:$L,Marginal_Model!$A:$A,B100,Marginal_Model!$C:$C,K100),SUMIFS(Marginal_Model!$M:$M,Marginal_Model!$A:$A,B100,Marginal_Model!$C:$C,K100)))))</f>
        <v>6.5007884457587597E-20</v>
      </c>
      <c r="T100">
        <f t="shared" si="24"/>
        <v>44.179778390987991</v>
      </c>
      <c r="U100">
        <f>IF(M100="","",Inputs!$B$7*R100+Inputs!$B$8*T100)</f>
        <v>23.107788964335128</v>
      </c>
      <c r="V100">
        <f t="shared" si="25"/>
        <v>9.2132904763969854E-11</v>
      </c>
      <c r="W100">
        <f>Inputs!$B$9</f>
        <v>15</v>
      </c>
      <c r="X100">
        <f t="shared" si="26"/>
        <v>6.9180618671136717E-12</v>
      </c>
      <c r="Y100">
        <f t="shared" si="27"/>
        <v>6.9180217110442754E-12</v>
      </c>
      <c r="Z100">
        <f t="shared" si="28"/>
        <v>25.696891267077316</v>
      </c>
      <c r="AA100">
        <f>IF(M100="","",Inputs!$B$7*Z100+Inputs!$B$8*T100)</f>
        <v>29.39346869185945</v>
      </c>
      <c r="AB100">
        <f t="shared" si="29"/>
        <v>1.7162428586352782E-13</v>
      </c>
    </row>
    <row r="101" spans="1:28">
      <c r="A101" t="s">
        <v>201</v>
      </c>
      <c r="B101">
        <v>1</v>
      </c>
      <c r="C101">
        <v>3</v>
      </c>
      <c r="D101">
        <v>0.2</v>
      </c>
      <c r="E101">
        <f>IF(B101=1,Inputs!$B$5,Inputs!$B$6)</f>
        <v>4</v>
      </c>
      <c r="F101">
        <f>E101*Inputs!$B$4</f>
        <v>60</v>
      </c>
      <c r="G101">
        <f t="shared" si="15"/>
        <v>20</v>
      </c>
      <c r="H101">
        <f t="shared" si="16"/>
        <v>20</v>
      </c>
      <c r="I101">
        <f t="shared" si="17"/>
        <v>20</v>
      </c>
      <c r="J101">
        <f t="shared" si="18"/>
        <v>0</v>
      </c>
      <c r="K101">
        <v>14</v>
      </c>
      <c r="L101" t="s">
        <v>200</v>
      </c>
      <c r="M101" t="str">
        <f>IF(L101="C",E101*COMBIN(Inputs!$B$4,K101),IF(L101="T",(Inputs!$B$4-K101+1)*E101^K101,IF(L101="PT",E101*(Inputs!$B$4-K101+1),IF(AND(L101="E",K101&lt;=E101),Inputs!$B$4*COMBIN(E101,K101),""))))</f>
        <v/>
      </c>
      <c r="N101" t="str">
        <f t="shared" si="19"/>
        <v/>
      </c>
      <c r="O101" t="str">
        <f t="shared" si="20"/>
        <v/>
      </c>
      <c r="P101" t="str">
        <f t="shared" si="21"/>
        <v/>
      </c>
      <c r="Q101" t="str">
        <f t="shared" si="22"/>
        <v/>
      </c>
      <c r="R101" t="str">
        <f t="shared" si="23"/>
        <v/>
      </c>
      <c r="S101" t="str">
        <f>IF(M101="","",IF(L101="C",SUMIFS(Marginal_Model!$J:$J,Marginal_Model!$A:$A,B101,Marginal_Model!$C:$C,K101),IF(L101="T",SUMIFS(Marginal_Model!$K:$K,Marginal_Model!$A:$A,B101,Marginal_Model!$C:$C,K101),IF(L101="PT",SUMIFS(Marginal_Model!$L:$L,Marginal_Model!$A:$A,B101,Marginal_Model!$C:$C,K101),SUMIFS(Marginal_Model!$M:$M,Marginal_Model!$A:$A,B101,Marginal_Model!$C:$C,K101)))))</f>
        <v/>
      </c>
      <c r="T101" t="str">
        <f t="shared" si="24"/>
        <v/>
      </c>
      <c r="U101" t="str">
        <f>IF(M101="","",Inputs!$B$7*R101+Inputs!$B$8*T101)</f>
        <v/>
      </c>
      <c r="V101" t="str">
        <f t="shared" si="25"/>
        <v/>
      </c>
      <c r="W101">
        <f>Inputs!$B$9</f>
        <v>15</v>
      </c>
      <c r="X101" t="str">
        <f t="shared" si="26"/>
        <v/>
      </c>
      <c r="Y101" t="str">
        <f t="shared" si="27"/>
        <v/>
      </c>
      <c r="Z101" t="str">
        <f t="shared" si="28"/>
        <v/>
      </c>
      <c r="AA101" t="str">
        <f>IF(M101="","",Inputs!$B$7*Z101+Inputs!$B$8*T101)</f>
        <v/>
      </c>
      <c r="AB101" t="str">
        <f t="shared" si="29"/>
        <v/>
      </c>
    </row>
    <row r="102" spans="1:28">
      <c r="A102" t="s">
        <v>201</v>
      </c>
      <c r="B102">
        <v>1</v>
      </c>
      <c r="C102">
        <v>3</v>
      </c>
      <c r="D102">
        <v>0.2</v>
      </c>
      <c r="E102">
        <f>IF(B102=1,Inputs!$B$5,Inputs!$B$6)</f>
        <v>4</v>
      </c>
      <c r="F102">
        <f>E102*Inputs!$B$4</f>
        <v>60</v>
      </c>
      <c r="G102">
        <f t="shared" si="15"/>
        <v>20</v>
      </c>
      <c r="H102">
        <f t="shared" si="16"/>
        <v>20</v>
      </c>
      <c r="I102">
        <f t="shared" si="17"/>
        <v>20</v>
      </c>
      <c r="J102">
        <f t="shared" si="18"/>
        <v>0</v>
      </c>
      <c r="K102">
        <v>15</v>
      </c>
      <c r="L102" t="s">
        <v>197</v>
      </c>
      <c r="M102">
        <f>IF(L102="C",E102*COMBIN(Inputs!$B$4,K102),IF(L102="T",(Inputs!$B$4-K102+1)*E102^K102,IF(L102="PT",E102*(Inputs!$B$4-K102+1),IF(AND(L102="E",K102&lt;=E102),Inputs!$B$4*COMBIN(E102,K102),""))))</f>
        <v>4</v>
      </c>
      <c r="N102">
        <f t="shared" si="19"/>
        <v>1.1658438172579393E-9</v>
      </c>
      <c r="O102">
        <f t="shared" si="20"/>
        <v>1.1658438172579393E-9</v>
      </c>
      <c r="P102">
        <f t="shared" si="21"/>
        <v>1.1658438172579393E-9</v>
      </c>
      <c r="Q102">
        <f t="shared" si="22"/>
        <v>1.1658438658912473E-9</v>
      </c>
      <c r="R102">
        <f t="shared" si="23"/>
        <v>20.569820663737932</v>
      </c>
      <c r="S102">
        <f>IF(M102="","",IF(L102="C",SUMIFS(Marginal_Model!$J:$J,Marginal_Model!$A:$A,B102,Marginal_Model!$C:$C,K102),IF(L102="T",SUMIFS(Marginal_Model!$K:$K,Marginal_Model!$A:$A,B102,Marginal_Model!$C:$C,K102),IF(L102="PT",SUMIFS(Marginal_Model!$L:$L,Marginal_Model!$A:$A,B102,Marginal_Model!$C:$C,K102),SUMIFS(Marginal_Model!$M:$M,Marginal_Model!$A:$A,B102,Marginal_Model!$C:$C,K102)))))</f>
        <v>7.5196324642539971E-14</v>
      </c>
      <c r="T102">
        <f t="shared" si="24"/>
        <v>30.218674039583593</v>
      </c>
      <c r="U102">
        <f>IF(M102="","",Inputs!$B$7*R102+Inputs!$B$8*T102)</f>
        <v>22.499591338907063</v>
      </c>
      <c r="V102">
        <f t="shared" si="25"/>
        <v>1.6925894767653372E-10</v>
      </c>
      <c r="W102">
        <f>Inputs!$B$9</f>
        <v>15</v>
      </c>
      <c r="X102">
        <f t="shared" si="26"/>
        <v>7.5196324642539908E-14</v>
      </c>
      <c r="Y102">
        <f t="shared" si="27"/>
        <v>7.5162098767123098E-14</v>
      </c>
      <c r="Z102">
        <f t="shared" si="28"/>
        <v>30.219129296764827</v>
      </c>
      <c r="AA102">
        <f>IF(M102="","",Inputs!$B$7*Z102+Inputs!$B$8*T102)</f>
        <v>30.21903824532858</v>
      </c>
      <c r="AB102">
        <f t="shared" si="29"/>
        <v>7.5168942695737173E-14</v>
      </c>
    </row>
    <row r="103" spans="1:28">
      <c r="A103" t="s">
        <v>201</v>
      </c>
      <c r="B103">
        <v>1</v>
      </c>
      <c r="C103">
        <v>3</v>
      </c>
      <c r="D103">
        <v>0.2</v>
      </c>
      <c r="E103">
        <f>IF(B103=1,Inputs!$B$5,Inputs!$B$6)</f>
        <v>4</v>
      </c>
      <c r="F103">
        <f>E103*Inputs!$B$4</f>
        <v>60</v>
      </c>
      <c r="G103">
        <f t="shared" si="15"/>
        <v>20</v>
      </c>
      <c r="H103">
        <f t="shared" si="16"/>
        <v>20</v>
      </c>
      <c r="I103">
        <f t="shared" si="17"/>
        <v>20</v>
      </c>
      <c r="J103">
        <f t="shared" si="18"/>
        <v>0</v>
      </c>
      <c r="K103">
        <v>15</v>
      </c>
      <c r="L103" t="s">
        <v>198</v>
      </c>
      <c r="M103">
        <f>IF(L103="C",E103*COMBIN(Inputs!$B$4,K103),IF(L103="T",(Inputs!$B$4-K103+1)*E103^K103,IF(L103="PT",E103*(Inputs!$B$4-K103+1),IF(AND(L103="E",K103&lt;=E103),Inputs!$B$4*COMBIN(E103,K103),""))))</f>
        <v>1073741824</v>
      </c>
      <c r="N103">
        <f t="shared" si="19"/>
        <v>0.31295381671041561</v>
      </c>
      <c r="O103">
        <f t="shared" si="20"/>
        <v>0.31295381671041561</v>
      </c>
      <c r="P103">
        <f t="shared" si="21"/>
        <v>0.31295381671041561</v>
      </c>
      <c r="Q103">
        <f t="shared" si="22"/>
        <v>0.26871631512479521</v>
      </c>
      <c r="R103">
        <f t="shared" si="23"/>
        <v>1.3140990464663918</v>
      </c>
      <c r="S103">
        <f>IF(M103="","",IF(L103="C",SUMIFS(Marginal_Model!$J:$J,Marginal_Model!$A:$A,B103,Marginal_Model!$C:$C,K103),IF(L103="T",SUMIFS(Marginal_Model!$K:$K,Marginal_Model!$A:$A,B103,Marginal_Model!$C:$C,K103),IF(L103="PT",SUMIFS(Marginal_Model!$L:$L,Marginal_Model!$A:$A,B103,Marginal_Model!$C:$C,K103),SUMIFS(Marginal_Model!$M:$M,Marginal_Model!$A:$A,B103,Marginal_Model!$C:$C,K103)))))</f>
        <v>3.7935698060799651E-13</v>
      </c>
      <c r="T103">
        <f t="shared" si="24"/>
        <v>28.600298731798617</v>
      </c>
      <c r="U103">
        <f>IF(M103="","",Inputs!$B$7*R103+Inputs!$B$8*T103)</f>
        <v>6.7713389835328357</v>
      </c>
      <c r="V103">
        <f t="shared" si="25"/>
        <v>1.1461589350417146E-3</v>
      </c>
      <c r="W103">
        <f>Inputs!$B$9</f>
        <v>15</v>
      </c>
      <c r="X103">
        <f t="shared" si="26"/>
        <v>2.0185359694944237E-5</v>
      </c>
      <c r="Y103">
        <f t="shared" si="27"/>
        <v>2.0185155971907953E-5</v>
      </c>
      <c r="Z103">
        <f t="shared" si="28"/>
        <v>10.810563076569682</v>
      </c>
      <c r="AA103">
        <f>IF(M103="","",Inputs!$B$7*Z103+Inputs!$B$8*T103)</f>
        <v>14.368510207615468</v>
      </c>
      <c r="AB103">
        <f t="shared" si="29"/>
        <v>5.7522175615738375E-7</v>
      </c>
    </row>
    <row r="104" spans="1:28">
      <c r="A104" t="s">
        <v>201</v>
      </c>
      <c r="B104">
        <v>1</v>
      </c>
      <c r="C104">
        <v>3</v>
      </c>
      <c r="D104">
        <v>0.2</v>
      </c>
      <c r="E104">
        <f>IF(B104=1,Inputs!$B$5,Inputs!$B$6)</f>
        <v>4</v>
      </c>
      <c r="F104">
        <f>E104*Inputs!$B$4</f>
        <v>60</v>
      </c>
      <c r="G104">
        <f t="shared" si="15"/>
        <v>20</v>
      </c>
      <c r="H104">
        <f t="shared" si="16"/>
        <v>20</v>
      </c>
      <c r="I104">
        <f t="shared" si="17"/>
        <v>20</v>
      </c>
      <c r="J104">
        <f t="shared" si="18"/>
        <v>0</v>
      </c>
      <c r="K104">
        <v>15</v>
      </c>
      <c r="L104" t="s">
        <v>199</v>
      </c>
      <c r="M104">
        <f>IF(L104="C",E104*COMBIN(Inputs!$B$4,K104),IF(L104="T",(Inputs!$B$4-K104+1)*E104^K104,IF(L104="PT",E104*(Inputs!$B$4-K104+1),IF(AND(L104="E",K104&lt;=E104),Inputs!$B$4*COMBIN(E104,K104),""))))</f>
        <v>4</v>
      </c>
      <c r="N104">
        <f t="shared" si="19"/>
        <v>1.1658438172579393E-9</v>
      </c>
      <c r="O104">
        <f t="shared" si="20"/>
        <v>1.1658438172579393E-9</v>
      </c>
      <c r="P104">
        <f t="shared" si="21"/>
        <v>1.1658438172579393E-9</v>
      </c>
      <c r="Q104">
        <f t="shared" si="22"/>
        <v>1.1658438658912473E-9</v>
      </c>
      <c r="R104">
        <f t="shared" si="23"/>
        <v>20.569820663737932</v>
      </c>
      <c r="S104">
        <f>IF(M104="","",IF(L104="C",SUMIFS(Marginal_Model!$J:$J,Marginal_Model!$A:$A,B104,Marginal_Model!$C:$C,K104),IF(L104="T",SUMIFS(Marginal_Model!$K:$K,Marginal_Model!$A:$A,B104,Marginal_Model!$C:$C,K104),IF(L104="PT",SUMIFS(Marginal_Model!$L:$L,Marginal_Model!$A:$A,B104,Marginal_Model!$C:$C,K104),SUMIFS(Marginal_Model!$M:$M,Marginal_Model!$A:$A,B104,Marginal_Model!$C:$C,K104)))))</f>
        <v>1.4132148795127738E-21</v>
      </c>
      <c r="T104">
        <f t="shared" si="24"/>
        <v>48.008419787477088</v>
      </c>
      <c r="U104">
        <f>IF(M104="","",Inputs!$B$7*R104+Inputs!$B$8*T104)</f>
        <v>26.057540488485763</v>
      </c>
      <c r="V104">
        <f t="shared" si="25"/>
        <v>4.8234074949083844E-12</v>
      </c>
      <c r="W104">
        <f>Inputs!$B$9</f>
        <v>15</v>
      </c>
      <c r="X104">
        <f t="shared" si="26"/>
        <v>7.5196324642539908E-14</v>
      </c>
      <c r="Y104">
        <f t="shared" si="27"/>
        <v>7.5162098767123098E-14</v>
      </c>
      <c r="Z104">
        <f t="shared" si="28"/>
        <v>30.219129296764827</v>
      </c>
      <c r="AA104">
        <f>IF(M104="","",Inputs!$B$7*Z104+Inputs!$B$8*T104)</f>
        <v>33.77698739490728</v>
      </c>
      <c r="AB104">
        <f t="shared" si="29"/>
        <v>2.1421050205030007E-15</v>
      </c>
    </row>
    <row r="105" spans="1:28">
      <c r="A105" t="s">
        <v>201</v>
      </c>
      <c r="B105">
        <v>1</v>
      </c>
      <c r="C105">
        <v>3</v>
      </c>
      <c r="D105">
        <v>0.2</v>
      </c>
      <c r="E105">
        <f>IF(B105=1,Inputs!$B$5,Inputs!$B$6)</f>
        <v>4</v>
      </c>
      <c r="F105">
        <f>E105*Inputs!$B$4</f>
        <v>60</v>
      </c>
      <c r="G105">
        <f t="shared" si="15"/>
        <v>20</v>
      </c>
      <c r="H105">
        <f t="shared" si="16"/>
        <v>20</v>
      </c>
      <c r="I105">
        <f t="shared" si="17"/>
        <v>20</v>
      </c>
      <c r="J105">
        <f t="shared" si="18"/>
        <v>0</v>
      </c>
      <c r="K105">
        <v>15</v>
      </c>
      <c r="L105" t="s">
        <v>200</v>
      </c>
      <c r="M105" t="str">
        <f>IF(L105="C",E105*COMBIN(Inputs!$B$4,K105),IF(L105="T",(Inputs!$B$4-K105+1)*E105^K105,IF(L105="PT",E105*(Inputs!$B$4-K105+1),IF(AND(L105="E",K105&lt;=E105),Inputs!$B$4*COMBIN(E105,K105),""))))</f>
        <v/>
      </c>
      <c r="N105" t="str">
        <f t="shared" si="19"/>
        <v/>
      </c>
      <c r="O105" t="str">
        <f t="shared" si="20"/>
        <v/>
      </c>
      <c r="P105" t="str">
        <f t="shared" si="21"/>
        <v/>
      </c>
      <c r="Q105" t="str">
        <f t="shared" si="22"/>
        <v/>
      </c>
      <c r="R105" t="str">
        <f t="shared" si="23"/>
        <v/>
      </c>
      <c r="S105" t="str">
        <f>IF(M105="","",IF(L105="C",SUMIFS(Marginal_Model!$J:$J,Marginal_Model!$A:$A,B105,Marginal_Model!$C:$C,K105),IF(L105="T",SUMIFS(Marginal_Model!$K:$K,Marginal_Model!$A:$A,B105,Marginal_Model!$C:$C,K105),IF(L105="PT",SUMIFS(Marginal_Model!$L:$L,Marginal_Model!$A:$A,B105,Marginal_Model!$C:$C,K105),SUMIFS(Marginal_Model!$M:$M,Marginal_Model!$A:$A,B105,Marginal_Model!$C:$C,K105)))))</f>
        <v/>
      </c>
      <c r="T105" t="str">
        <f t="shared" si="24"/>
        <v/>
      </c>
      <c r="U105" t="str">
        <f>IF(M105="","",Inputs!$B$7*R105+Inputs!$B$8*T105)</f>
        <v/>
      </c>
      <c r="V105" t="str">
        <f t="shared" si="25"/>
        <v/>
      </c>
      <c r="W105">
        <f>Inputs!$B$9</f>
        <v>15</v>
      </c>
      <c r="X105" t="str">
        <f t="shared" si="26"/>
        <v/>
      </c>
      <c r="Y105" t="str">
        <f t="shared" si="27"/>
        <v/>
      </c>
      <c r="Z105" t="str">
        <f t="shared" si="28"/>
        <v/>
      </c>
      <c r="AA105" t="str">
        <f>IF(M105="","",Inputs!$B$7*Z105+Inputs!$B$8*T105)</f>
        <v/>
      </c>
      <c r="AB105" t="str">
        <f t="shared" si="29"/>
        <v/>
      </c>
    </row>
    <row r="106" spans="1:28">
      <c r="A106" t="s">
        <v>202</v>
      </c>
      <c r="B106">
        <v>1</v>
      </c>
      <c r="C106">
        <v>4</v>
      </c>
      <c r="D106">
        <v>0.2</v>
      </c>
      <c r="E106">
        <f>IF(B106=1,Inputs!$B$5,Inputs!$B$6)</f>
        <v>4</v>
      </c>
      <c r="F106">
        <f>E106*Inputs!$B$4</f>
        <v>60</v>
      </c>
      <c r="G106">
        <f t="shared" si="15"/>
        <v>15</v>
      </c>
      <c r="H106">
        <f t="shared" si="16"/>
        <v>15</v>
      </c>
      <c r="I106">
        <f t="shared" si="17"/>
        <v>15</v>
      </c>
      <c r="J106">
        <f t="shared" si="18"/>
        <v>0</v>
      </c>
      <c r="K106">
        <v>3</v>
      </c>
      <c r="L106" t="s">
        <v>197</v>
      </c>
      <c r="M106">
        <f>IF(L106="C",E106*COMBIN(Inputs!$B$4,K106),IF(L106="T",(Inputs!$B$4-K106+1)*E106^K106,IF(L106="PT",E106*(Inputs!$B$4-K106+1),IF(AND(L106="E",K106&lt;=E106),Inputs!$B$4*COMBIN(E106,K106),""))))</f>
        <v>1820.0000000000002</v>
      </c>
      <c r="N106">
        <f t="shared" si="19"/>
        <v>24.199298655756863</v>
      </c>
      <c r="O106">
        <f t="shared" si="20"/>
        <v>24.199298655756863</v>
      </c>
      <c r="P106">
        <f t="shared" si="21"/>
        <v>24.199298655756863</v>
      </c>
      <c r="Q106">
        <f t="shared" si="22"/>
        <v>0.99999999996907007</v>
      </c>
      <c r="R106">
        <f t="shared" si="23"/>
        <v>3.0929925288115491E-11</v>
      </c>
      <c r="S106">
        <f>IF(M106="","",IF(L106="C",SUMIFS(Marginal_Model!$J:$J,Marginal_Model!$A:$A,B106,Marginal_Model!$C:$C,K106),IF(L106="T",SUMIFS(Marginal_Model!$K:$K,Marginal_Model!$A:$A,B106,Marginal_Model!$C:$C,K106),IF(L106="PT",SUMIFS(Marginal_Model!$L:$L,Marginal_Model!$A:$A,B106,Marginal_Model!$C:$C,K106),SUMIFS(Marginal_Model!$M:$M,Marginal_Model!$A:$A,B106,Marginal_Model!$C:$C,K106)))))</f>
        <v>5.3185271770894223E-2</v>
      </c>
      <c r="T106">
        <f t="shared" si="24"/>
        <v>2.9339737673753432</v>
      </c>
      <c r="U106">
        <f>IF(M106="","",Inputs!$B$7*R106+Inputs!$B$8*T106)</f>
        <v>0.58679475349981247</v>
      </c>
      <c r="V106">
        <f t="shared" si="25"/>
        <v>0.55610689083839826</v>
      </c>
      <c r="W106">
        <f>Inputs!$B$9</f>
        <v>15</v>
      </c>
      <c r="X106">
        <f t="shared" si="26"/>
        <v>24.199298655756863</v>
      </c>
      <c r="Y106">
        <f t="shared" si="27"/>
        <v>0.99999999996907007</v>
      </c>
      <c r="Z106">
        <f t="shared" si="28"/>
        <v>3.0929925288115491E-11</v>
      </c>
      <c r="AA106">
        <f>IF(M106="","",Inputs!$B$7*Z106+Inputs!$B$8*T106)</f>
        <v>0.58679475349981247</v>
      </c>
      <c r="AB106">
        <f t="shared" si="29"/>
        <v>0.55610689083839826</v>
      </c>
    </row>
    <row r="107" spans="1:28">
      <c r="A107" t="s">
        <v>202</v>
      </c>
      <c r="B107">
        <v>1</v>
      </c>
      <c r="C107">
        <v>4</v>
      </c>
      <c r="D107">
        <v>0.2</v>
      </c>
      <c r="E107">
        <f>IF(B107=1,Inputs!$B$5,Inputs!$B$6)</f>
        <v>4</v>
      </c>
      <c r="F107">
        <f>E107*Inputs!$B$4</f>
        <v>60</v>
      </c>
      <c r="G107">
        <f t="shared" si="15"/>
        <v>15</v>
      </c>
      <c r="H107">
        <f t="shared" si="16"/>
        <v>15</v>
      </c>
      <c r="I107">
        <f t="shared" si="17"/>
        <v>15</v>
      </c>
      <c r="J107">
        <f t="shared" si="18"/>
        <v>0</v>
      </c>
      <c r="K107">
        <v>3</v>
      </c>
      <c r="L107" t="s">
        <v>198</v>
      </c>
      <c r="M107">
        <f>IF(L107="C",E107*COMBIN(Inputs!$B$4,K107),IF(L107="T",(Inputs!$B$4-K107+1)*E107^K107,IF(L107="PT",E107*(Inputs!$B$4-K107+1),IF(AND(L107="E",K107&lt;=E107),Inputs!$B$4*COMBIN(E107,K107),""))))</f>
        <v>832</v>
      </c>
      <c r="N107">
        <f t="shared" si="19"/>
        <v>11.062536528345992</v>
      </c>
      <c r="O107">
        <f t="shared" si="20"/>
        <v>11.062536528345992</v>
      </c>
      <c r="P107">
        <f t="shared" si="21"/>
        <v>11.062536528345992</v>
      </c>
      <c r="Q107">
        <f t="shared" si="22"/>
        <v>0.99998431077721828</v>
      </c>
      <c r="R107">
        <f t="shared" si="23"/>
        <v>1.5689345858865983E-5</v>
      </c>
      <c r="S107">
        <f>IF(M107="","",IF(L107="C",SUMIFS(Marginal_Model!$J:$J,Marginal_Model!$A:$A,B107,Marginal_Model!$C:$C,K107),IF(L107="T",SUMIFS(Marginal_Model!$K:$K,Marginal_Model!$A:$A,B107,Marginal_Model!$C:$C,K107),IF(L107="PT",SUMIFS(Marginal_Model!$L:$L,Marginal_Model!$A:$A,B107,Marginal_Model!$C:$C,K107),SUMIFS(Marginal_Model!$M:$M,Marginal_Model!$A:$A,B107,Marginal_Model!$C:$C,K107)))))</f>
        <v>2.4313267095265927E-2</v>
      </c>
      <c r="T107">
        <f t="shared" si="24"/>
        <v>3.716733106624976</v>
      </c>
      <c r="U107">
        <f>IF(M107="","",Inputs!$B$7*R107+Inputs!$B$8*T107)</f>
        <v>0.74335917280168218</v>
      </c>
      <c r="V107">
        <f t="shared" si="25"/>
        <v>0.4755138963077804</v>
      </c>
      <c r="W107">
        <f>Inputs!$B$9</f>
        <v>15</v>
      </c>
      <c r="X107">
        <f t="shared" si="26"/>
        <v>11.062536528345992</v>
      </c>
      <c r="Y107">
        <f t="shared" si="27"/>
        <v>0.99998431077721828</v>
      </c>
      <c r="Z107">
        <f t="shared" si="28"/>
        <v>1.5689345858865983E-5</v>
      </c>
      <c r="AA107">
        <f>IF(M107="","",Inputs!$B$7*Z107+Inputs!$B$8*T107)</f>
        <v>0.74335917280168218</v>
      </c>
      <c r="AB107">
        <f t="shared" si="29"/>
        <v>0.4755138963077804</v>
      </c>
    </row>
    <row r="108" spans="1:28">
      <c r="A108" t="s">
        <v>202</v>
      </c>
      <c r="B108">
        <v>1</v>
      </c>
      <c r="C108">
        <v>4</v>
      </c>
      <c r="D108">
        <v>0.2</v>
      </c>
      <c r="E108">
        <f>IF(B108=1,Inputs!$B$5,Inputs!$B$6)</f>
        <v>4</v>
      </c>
      <c r="F108">
        <f>E108*Inputs!$B$4</f>
        <v>60</v>
      </c>
      <c r="G108">
        <f t="shared" si="15"/>
        <v>15</v>
      </c>
      <c r="H108">
        <f t="shared" si="16"/>
        <v>15</v>
      </c>
      <c r="I108">
        <f t="shared" si="17"/>
        <v>15</v>
      </c>
      <c r="J108">
        <f t="shared" si="18"/>
        <v>0</v>
      </c>
      <c r="K108">
        <v>3</v>
      </c>
      <c r="L108" t="s">
        <v>199</v>
      </c>
      <c r="M108">
        <f>IF(L108="C",E108*COMBIN(Inputs!$B$4,K108),IF(L108="T",(Inputs!$B$4-K108+1)*E108^K108,IF(L108="PT",E108*(Inputs!$B$4-K108+1),IF(AND(L108="E",K108&lt;=E108),Inputs!$B$4*COMBIN(E108,K108),""))))</f>
        <v>52</v>
      </c>
      <c r="N108">
        <f t="shared" si="19"/>
        <v>0.69140853302162453</v>
      </c>
      <c r="O108">
        <f t="shared" si="20"/>
        <v>0.69140853302162453</v>
      </c>
      <c r="P108">
        <f t="shared" si="21"/>
        <v>0.69140853302162453</v>
      </c>
      <c r="Q108">
        <f t="shared" si="22"/>
        <v>0.49912992006885437</v>
      </c>
      <c r="R108">
        <f t="shared" si="23"/>
        <v>0.69488885625919738</v>
      </c>
      <c r="S108">
        <f>IF(M108="","",IF(L108="C",SUMIFS(Marginal_Model!$J:$J,Marginal_Model!$A:$A,B108,Marginal_Model!$C:$C,K108),IF(L108="T",SUMIFS(Marginal_Model!$K:$K,Marginal_Model!$A:$A,B108,Marginal_Model!$C:$C,K108),IF(L108="PT",SUMIFS(Marginal_Model!$L:$L,Marginal_Model!$A:$A,B108,Marginal_Model!$C:$C,K108),SUMIFS(Marginal_Model!$M:$M,Marginal_Model!$A:$A,B108,Marginal_Model!$C:$C,K108)))))</f>
        <v>1.5195791934541204E-3</v>
      </c>
      <c r="T108">
        <f t="shared" si="24"/>
        <v>6.4893218288647567</v>
      </c>
      <c r="U108">
        <f>IF(M108="","",Inputs!$B$7*R108+Inputs!$B$8*T108)</f>
        <v>1.8537754507803093</v>
      </c>
      <c r="V108">
        <f t="shared" si="25"/>
        <v>0.15664464435394132</v>
      </c>
      <c r="W108">
        <f>Inputs!$B$9</f>
        <v>15</v>
      </c>
      <c r="X108">
        <f t="shared" si="26"/>
        <v>0.69140853302162453</v>
      </c>
      <c r="Y108">
        <f t="shared" si="27"/>
        <v>0.49912992006885437</v>
      </c>
      <c r="Z108">
        <f t="shared" si="28"/>
        <v>0.69488885625919738</v>
      </c>
      <c r="AA108">
        <f>IF(M108="","",Inputs!$B$7*Z108+Inputs!$B$8*T108)</f>
        <v>1.8537754507803093</v>
      </c>
      <c r="AB108">
        <f t="shared" si="29"/>
        <v>0.15664464435394132</v>
      </c>
    </row>
    <row r="109" spans="1:28">
      <c r="A109" t="s">
        <v>202</v>
      </c>
      <c r="B109">
        <v>1</v>
      </c>
      <c r="C109">
        <v>4</v>
      </c>
      <c r="D109">
        <v>0.2</v>
      </c>
      <c r="E109">
        <f>IF(B109=1,Inputs!$B$5,Inputs!$B$6)</f>
        <v>4</v>
      </c>
      <c r="F109">
        <f>E109*Inputs!$B$4</f>
        <v>60</v>
      </c>
      <c r="G109">
        <f t="shared" si="15"/>
        <v>15</v>
      </c>
      <c r="H109">
        <f t="shared" si="16"/>
        <v>15</v>
      </c>
      <c r="I109">
        <f t="shared" si="17"/>
        <v>15</v>
      </c>
      <c r="J109">
        <f t="shared" si="18"/>
        <v>0</v>
      </c>
      <c r="K109">
        <v>3</v>
      </c>
      <c r="L109" t="s">
        <v>200</v>
      </c>
      <c r="M109">
        <f>IF(L109="C",E109*COMBIN(Inputs!$B$4,K109),IF(L109="T",(Inputs!$B$4-K109+1)*E109^K109,IF(L109="PT",E109*(Inputs!$B$4-K109+1),IF(AND(L109="E",K109&lt;=E109),Inputs!$B$4*COMBIN(E109,K109),""))))</f>
        <v>60</v>
      </c>
      <c r="N109">
        <f t="shared" si="19"/>
        <v>0.79777907656341307</v>
      </c>
      <c r="O109">
        <f t="shared" si="20"/>
        <v>0.79777907656341307</v>
      </c>
      <c r="P109">
        <f t="shared" si="21"/>
        <v>0.79777907656341307</v>
      </c>
      <c r="Q109">
        <f t="shared" si="22"/>
        <v>0.54967200167703711</v>
      </c>
      <c r="R109">
        <f t="shared" si="23"/>
        <v>0.59843353923653009</v>
      </c>
      <c r="S109">
        <f>IF(M109="","",IF(L109="C",SUMIFS(Marginal_Model!$J:$J,Marginal_Model!$A:$A,B109,Marginal_Model!$C:$C,K109),IF(L109="T",SUMIFS(Marginal_Model!$K:$K,Marginal_Model!$A:$A,B109,Marginal_Model!$C:$C,K109),IF(L109="PT",SUMIFS(Marginal_Model!$L:$L,Marginal_Model!$A:$A,B109,Marginal_Model!$C:$C,K109),SUMIFS(Marginal_Model!$M:$M,Marginal_Model!$A:$A,B109,Marginal_Model!$C:$C,K109)))))</f>
        <v>1.7533606078316774E-3</v>
      </c>
      <c r="T109">
        <f t="shared" si="24"/>
        <v>6.3462209852240834</v>
      </c>
      <c r="U109">
        <f>IF(M109="","",Inputs!$B$7*R109+Inputs!$B$8*T109)</f>
        <v>1.7479910284340405</v>
      </c>
      <c r="V109">
        <f t="shared" si="25"/>
        <v>0.1741234012696195</v>
      </c>
      <c r="W109">
        <f>Inputs!$B$9</f>
        <v>15</v>
      </c>
      <c r="X109">
        <f t="shared" si="26"/>
        <v>0.79777907656341307</v>
      </c>
      <c r="Y109">
        <f t="shared" si="27"/>
        <v>0.54967200167703711</v>
      </c>
      <c r="Z109">
        <f t="shared" si="28"/>
        <v>0.59843353923653009</v>
      </c>
      <c r="AA109">
        <f>IF(M109="","",Inputs!$B$7*Z109+Inputs!$B$8*T109)</f>
        <v>1.7479910284340405</v>
      </c>
      <c r="AB109">
        <f t="shared" si="29"/>
        <v>0.1741234012696195</v>
      </c>
    </row>
    <row r="110" spans="1:28">
      <c r="A110" t="s">
        <v>202</v>
      </c>
      <c r="B110">
        <v>1</v>
      </c>
      <c r="C110">
        <v>4</v>
      </c>
      <c r="D110">
        <v>0.2</v>
      </c>
      <c r="E110">
        <f>IF(B110=1,Inputs!$B$5,Inputs!$B$6)</f>
        <v>4</v>
      </c>
      <c r="F110">
        <f>E110*Inputs!$B$4</f>
        <v>60</v>
      </c>
      <c r="G110">
        <f t="shared" si="15"/>
        <v>15</v>
      </c>
      <c r="H110">
        <f t="shared" si="16"/>
        <v>15</v>
      </c>
      <c r="I110">
        <f t="shared" si="17"/>
        <v>15</v>
      </c>
      <c r="J110">
        <f t="shared" si="18"/>
        <v>0</v>
      </c>
      <c r="K110">
        <v>4</v>
      </c>
      <c r="L110" t="s">
        <v>197</v>
      </c>
      <c r="M110">
        <f>IF(L110="C",E110*COMBIN(Inputs!$B$4,K110),IF(L110="T",(Inputs!$B$4-K110+1)*E110^K110,IF(L110="PT",E110*(Inputs!$B$4-K110+1),IF(AND(L110="E",K110&lt;=E110),Inputs!$B$4*COMBIN(E110,K110),""))))</f>
        <v>5460</v>
      </c>
      <c r="N110">
        <f t="shared" si="19"/>
        <v>15.283767572056965</v>
      </c>
      <c r="O110">
        <f t="shared" si="20"/>
        <v>15.283767572056965</v>
      </c>
      <c r="P110">
        <f t="shared" si="21"/>
        <v>15.283767572056965</v>
      </c>
      <c r="Q110">
        <f t="shared" si="22"/>
        <v>0.99999976967340842</v>
      </c>
      <c r="R110">
        <f t="shared" si="23"/>
        <v>2.3032661810224149E-7</v>
      </c>
      <c r="S110">
        <f>IF(M110="","",IF(L110="C",SUMIFS(Marginal_Model!$J:$J,Marginal_Model!$A:$A,B110,Marginal_Model!$C:$C,K110),IF(L110="T",SUMIFS(Marginal_Model!$K:$K,Marginal_Model!$A:$A,B110,Marginal_Model!$C:$C,K110),IF(L110="PT",SUMIFS(Marginal_Model!$L:$L,Marginal_Model!$A:$A,B110,Marginal_Model!$C:$C,K110),SUMIFS(Marginal_Model!$M:$M,Marginal_Model!$A:$A,B110,Marginal_Model!$C:$C,K110)))))</f>
        <v>1.1196899320188258E-2</v>
      </c>
      <c r="T110">
        <f t="shared" si="24"/>
        <v>4.4921183854218931</v>
      </c>
      <c r="U110">
        <f>IF(M110="","",Inputs!$B$7*R110+Inputs!$B$8*T110)</f>
        <v>0.89842386134567287</v>
      </c>
      <c r="V110">
        <f t="shared" si="25"/>
        <v>0.4072109751652444</v>
      </c>
      <c r="W110">
        <f>Inputs!$B$9</f>
        <v>15</v>
      </c>
      <c r="X110">
        <f t="shared" si="26"/>
        <v>15.283767572056965</v>
      </c>
      <c r="Y110">
        <f t="shared" si="27"/>
        <v>0.99999976967340842</v>
      </c>
      <c r="Z110">
        <f t="shared" si="28"/>
        <v>2.3032661810224149E-7</v>
      </c>
      <c r="AA110">
        <f>IF(M110="","",Inputs!$B$7*Z110+Inputs!$B$8*T110)</f>
        <v>0.89842386134567287</v>
      </c>
      <c r="AB110">
        <f t="shared" si="29"/>
        <v>0.4072109751652444</v>
      </c>
    </row>
    <row r="111" spans="1:28">
      <c r="A111" t="s">
        <v>202</v>
      </c>
      <c r="B111">
        <v>1</v>
      </c>
      <c r="C111">
        <v>4</v>
      </c>
      <c r="D111">
        <v>0.2</v>
      </c>
      <c r="E111">
        <f>IF(B111=1,Inputs!$B$5,Inputs!$B$6)</f>
        <v>4</v>
      </c>
      <c r="F111">
        <f>E111*Inputs!$B$4</f>
        <v>60</v>
      </c>
      <c r="G111">
        <f t="shared" si="15"/>
        <v>15</v>
      </c>
      <c r="H111">
        <f t="shared" si="16"/>
        <v>15</v>
      </c>
      <c r="I111">
        <f t="shared" si="17"/>
        <v>15</v>
      </c>
      <c r="J111">
        <f t="shared" si="18"/>
        <v>0</v>
      </c>
      <c r="K111">
        <v>4</v>
      </c>
      <c r="L111" t="s">
        <v>198</v>
      </c>
      <c r="M111">
        <f>IF(L111="C",E111*COMBIN(Inputs!$B$4,K111),IF(L111="T",(Inputs!$B$4-K111+1)*E111^K111,IF(L111="PT",E111*(Inputs!$B$4-K111+1),IF(AND(L111="E",K111&lt;=E111),Inputs!$B$4*COMBIN(E111,K111),""))))</f>
        <v>3072</v>
      </c>
      <c r="N111">
        <f t="shared" si="19"/>
        <v>8.5992186779045774</v>
      </c>
      <c r="O111">
        <f t="shared" si="20"/>
        <v>8.5992186779045774</v>
      </c>
      <c r="P111">
        <f t="shared" si="21"/>
        <v>8.5992186779045774</v>
      </c>
      <c r="Q111">
        <f t="shared" si="22"/>
        <v>0.99981575030419834</v>
      </c>
      <c r="R111">
        <f t="shared" si="23"/>
        <v>1.8426667186211991E-4</v>
      </c>
      <c r="S111">
        <f>IF(M111="","",IF(L111="C",SUMIFS(Marginal_Model!$J:$J,Marginal_Model!$A:$A,B111,Marginal_Model!$C:$C,K111),IF(L111="T",SUMIFS(Marginal_Model!$K:$K,Marginal_Model!$A:$A,B111,Marginal_Model!$C:$C,K111),IF(L111="PT",SUMIFS(Marginal_Model!$L:$L,Marginal_Model!$A:$A,B111,Marginal_Model!$C:$C,K111),SUMIFS(Marginal_Model!$M:$M,Marginal_Model!$A:$A,B111,Marginal_Model!$C:$C,K111)))))</f>
        <v>3.1498969516133993E-3</v>
      </c>
      <c r="T111">
        <f t="shared" si="24"/>
        <v>5.7603855404532265</v>
      </c>
      <c r="U111">
        <f>IF(M111="","",Inputs!$B$7*R111+Inputs!$B$8*T111)</f>
        <v>1.1522245214281348</v>
      </c>
      <c r="V111">
        <f t="shared" si="25"/>
        <v>0.31593318695785988</v>
      </c>
      <c r="W111">
        <f>Inputs!$B$9</f>
        <v>15</v>
      </c>
      <c r="X111">
        <f t="shared" si="26"/>
        <v>8.5992186779045774</v>
      </c>
      <c r="Y111">
        <f t="shared" si="27"/>
        <v>0.99981575030419834</v>
      </c>
      <c r="Z111">
        <f t="shared" si="28"/>
        <v>1.8426667186211991E-4</v>
      </c>
      <c r="AA111">
        <f>IF(M111="","",Inputs!$B$7*Z111+Inputs!$B$8*T111)</f>
        <v>1.1522245214281348</v>
      </c>
      <c r="AB111">
        <f t="shared" si="29"/>
        <v>0.31593318695785988</v>
      </c>
    </row>
    <row r="112" spans="1:28">
      <c r="A112" t="s">
        <v>202</v>
      </c>
      <c r="B112">
        <v>1</v>
      </c>
      <c r="C112">
        <v>4</v>
      </c>
      <c r="D112">
        <v>0.2</v>
      </c>
      <c r="E112">
        <f>IF(B112=1,Inputs!$B$5,Inputs!$B$6)</f>
        <v>4</v>
      </c>
      <c r="F112">
        <f>E112*Inputs!$B$4</f>
        <v>60</v>
      </c>
      <c r="G112">
        <f t="shared" si="15"/>
        <v>15</v>
      </c>
      <c r="H112">
        <f t="shared" si="16"/>
        <v>15</v>
      </c>
      <c r="I112">
        <f t="shared" si="17"/>
        <v>15</v>
      </c>
      <c r="J112">
        <f t="shared" si="18"/>
        <v>0</v>
      </c>
      <c r="K112">
        <v>4</v>
      </c>
      <c r="L112" t="s">
        <v>199</v>
      </c>
      <c r="M112">
        <f>IF(L112="C",E112*COMBIN(Inputs!$B$4,K112),IF(L112="T",(Inputs!$B$4-K112+1)*E112^K112,IF(L112="PT",E112*(Inputs!$B$4-K112+1),IF(AND(L112="E",K112&lt;=E112),Inputs!$B$4*COMBIN(E112,K112),""))))</f>
        <v>48</v>
      </c>
      <c r="N112">
        <f t="shared" si="19"/>
        <v>0.13436279184225902</v>
      </c>
      <c r="O112">
        <f t="shared" si="20"/>
        <v>0.13436279184225902</v>
      </c>
      <c r="P112">
        <f t="shared" si="21"/>
        <v>0.13436279184225902</v>
      </c>
      <c r="Q112">
        <f t="shared" si="22"/>
        <v>0.12572717198852157</v>
      </c>
      <c r="R112">
        <f t="shared" si="23"/>
        <v>2.073641021364272</v>
      </c>
      <c r="S112">
        <f>IF(M112="","",IF(L112="C",SUMIFS(Marginal_Model!$J:$J,Marginal_Model!$A:$A,B112,Marginal_Model!$C:$C,K112),IF(L112="T",SUMIFS(Marginal_Model!$K:$K,Marginal_Model!$A:$A,B112,Marginal_Model!$C:$C,K112),IF(L112="PT",SUMIFS(Marginal_Model!$L:$L,Marginal_Model!$A:$A,B112,Marginal_Model!$C:$C,K112),SUMIFS(Marginal_Model!$M:$M,Marginal_Model!$A:$A,B112,Marginal_Model!$C:$C,K112)))))</f>
        <v>4.9217139868959364E-5</v>
      </c>
      <c r="T112">
        <f t="shared" si="24"/>
        <v>9.9192686238128989</v>
      </c>
      <c r="U112">
        <f>IF(M112="","",Inputs!$B$7*R112+Inputs!$B$8*T112)</f>
        <v>3.6427665418539972</v>
      </c>
      <c r="V112">
        <f t="shared" si="25"/>
        <v>2.6179816129248083E-2</v>
      </c>
      <c r="W112">
        <f>Inputs!$B$9</f>
        <v>15</v>
      </c>
      <c r="X112">
        <f t="shared" si="26"/>
        <v>0.13436279184225902</v>
      </c>
      <c r="Y112">
        <f t="shared" si="27"/>
        <v>0.12572717198852157</v>
      </c>
      <c r="Z112">
        <f t="shared" si="28"/>
        <v>2.073641021364272</v>
      </c>
      <c r="AA112">
        <f>IF(M112="","",Inputs!$B$7*Z112+Inputs!$B$8*T112)</f>
        <v>3.6427665418539972</v>
      </c>
      <c r="AB112">
        <f t="shared" si="29"/>
        <v>2.6179816129248083E-2</v>
      </c>
    </row>
    <row r="113" spans="1:28">
      <c r="A113" t="s">
        <v>202</v>
      </c>
      <c r="B113">
        <v>1</v>
      </c>
      <c r="C113">
        <v>4</v>
      </c>
      <c r="D113">
        <v>0.2</v>
      </c>
      <c r="E113">
        <f>IF(B113=1,Inputs!$B$5,Inputs!$B$6)</f>
        <v>4</v>
      </c>
      <c r="F113">
        <f>E113*Inputs!$B$4</f>
        <v>60</v>
      </c>
      <c r="G113">
        <f t="shared" si="15"/>
        <v>15</v>
      </c>
      <c r="H113">
        <f t="shared" si="16"/>
        <v>15</v>
      </c>
      <c r="I113">
        <f t="shared" si="17"/>
        <v>15</v>
      </c>
      <c r="J113">
        <f t="shared" si="18"/>
        <v>0</v>
      </c>
      <c r="K113">
        <v>4</v>
      </c>
      <c r="L113" t="s">
        <v>200</v>
      </c>
      <c r="M113">
        <f>IF(L113="C",E113*COMBIN(Inputs!$B$4,K113),IF(L113="T",(Inputs!$B$4-K113+1)*E113^K113,IF(L113="PT",E113*(Inputs!$B$4-K113+1),IF(AND(L113="E",K113&lt;=E113),Inputs!$B$4*COMBIN(E113,K113),""))))</f>
        <v>15</v>
      </c>
      <c r="N113">
        <f t="shared" si="19"/>
        <v>4.1988372450705948E-2</v>
      </c>
      <c r="O113">
        <f t="shared" si="20"/>
        <v>4.1988372450705948E-2</v>
      </c>
      <c r="P113">
        <f t="shared" si="21"/>
        <v>4.1988372450705948E-2</v>
      </c>
      <c r="Q113">
        <f t="shared" si="22"/>
        <v>4.1119070057055507E-2</v>
      </c>
      <c r="R113">
        <f t="shared" si="23"/>
        <v>3.191283273434939</v>
      </c>
      <c r="S113">
        <f>IF(M113="","",IF(L113="C",SUMIFS(Marginal_Model!$J:$J,Marginal_Model!$A:$A,B113,Marginal_Model!$C:$C,K113),IF(L113="T",SUMIFS(Marginal_Model!$K:$K,Marginal_Model!$A:$A,B113,Marginal_Model!$C:$C,K113),IF(L113="PT",SUMIFS(Marginal_Model!$L:$L,Marginal_Model!$A:$A,B113,Marginal_Model!$C:$C,K113),SUMIFS(Marginal_Model!$M:$M,Marginal_Model!$A:$A,B113,Marginal_Model!$C:$C,K113)))))</f>
        <v>3.0760712418099601E-5</v>
      </c>
      <c r="T113">
        <f t="shared" si="24"/>
        <v>10.389272253058634</v>
      </c>
      <c r="U113">
        <f>IF(M113="","",Inputs!$B$7*R113+Inputs!$B$8*T113)</f>
        <v>4.6308810693596776</v>
      </c>
      <c r="V113">
        <f t="shared" si="25"/>
        <v>9.7461682681029473E-3</v>
      </c>
      <c r="W113">
        <f>Inputs!$B$9</f>
        <v>15</v>
      </c>
      <c r="X113">
        <f t="shared" si="26"/>
        <v>4.1988372450705948E-2</v>
      </c>
      <c r="Y113">
        <f t="shared" si="27"/>
        <v>4.1119070057055507E-2</v>
      </c>
      <c r="Z113">
        <f t="shared" si="28"/>
        <v>3.191283273434939</v>
      </c>
      <c r="AA113">
        <f>IF(M113="","",Inputs!$B$7*Z113+Inputs!$B$8*T113)</f>
        <v>4.6308810693596776</v>
      </c>
      <c r="AB113">
        <f t="shared" si="29"/>
        <v>9.7461682681029473E-3</v>
      </c>
    </row>
    <row r="114" spans="1:28">
      <c r="A114" t="s">
        <v>202</v>
      </c>
      <c r="B114">
        <v>1</v>
      </c>
      <c r="C114">
        <v>4</v>
      </c>
      <c r="D114">
        <v>0.2</v>
      </c>
      <c r="E114">
        <f>IF(B114=1,Inputs!$B$5,Inputs!$B$6)</f>
        <v>4</v>
      </c>
      <c r="F114">
        <f>E114*Inputs!$B$4</f>
        <v>60</v>
      </c>
      <c r="G114">
        <f t="shared" si="15"/>
        <v>15</v>
      </c>
      <c r="H114">
        <f t="shared" si="16"/>
        <v>15</v>
      </c>
      <c r="I114">
        <f t="shared" si="17"/>
        <v>15</v>
      </c>
      <c r="J114">
        <f t="shared" si="18"/>
        <v>0</v>
      </c>
      <c r="K114">
        <v>5</v>
      </c>
      <c r="L114" t="s">
        <v>197</v>
      </c>
      <c r="M114">
        <f>IF(L114="C",E114*COMBIN(Inputs!$B$4,K114),IF(L114="T",(Inputs!$B$4-K114+1)*E114^K114,IF(L114="PT",E114*(Inputs!$B$4-K114+1),IF(AND(L114="E",K114&lt;=E114),Inputs!$B$4*COMBIN(E114,K114),""))))</f>
        <v>12012</v>
      </c>
      <c r="N114">
        <f t="shared" si="19"/>
        <v>6.6047709864960451</v>
      </c>
      <c r="O114">
        <f t="shared" si="20"/>
        <v>6.6047709864960451</v>
      </c>
      <c r="P114">
        <f t="shared" si="21"/>
        <v>6.6047709864960451</v>
      </c>
      <c r="Q114">
        <f t="shared" si="22"/>
        <v>0.99864610680202093</v>
      </c>
      <c r="R114">
        <f t="shared" si="23"/>
        <v>1.354810539456582E-3</v>
      </c>
      <c r="S114">
        <f>IF(M114="","",IF(L114="C",SUMIFS(Marginal_Model!$J:$J,Marginal_Model!$A:$A,B114,Marginal_Model!$C:$C,K114),IF(L114="T",SUMIFS(Marginal_Model!$K:$K,Marginal_Model!$A:$A,B114,Marginal_Model!$C:$C,K114),IF(L114="PT",SUMIFS(Marginal_Model!$L:$L,Marginal_Model!$A:$A,B114,Marginal_Model!$C:$C,K114),SUMIFS(Marginal_Model!$M:$M,Marginal_Model!$A:$A,B114,Marginal_Model!$C:$C,K114)))))</f>
        <v>2.199390937894122E-3</v>
      </c>
      <c r="T114">
        <f t="shared" si="24"/>
        <v>6.1195748033586721</v>
      </c>
      <c r="U114">
        <f>IF(M114="","",Inputs!$B$7*R114+Inputs!$B$8*T114)</f>
        <v>1.2249988091032993</v>
      </c>
      <c r="V114">
        <f t="shared" si="25"/>
        <v>0.29375805015881723</v>
      </c>
      <c r="W114">
        <f>Inputs!$B$9</f>
        <v>15</v>
      </c>
      <c r="X114">
        <f t="shared" si="26"/>
        <v>6.6047709864960451</v>
      </c>
      <c r="Y114">
        <f t="shared" si="27"/>
        <v>0.99864610680202093</v>
      </c>
      <c r="Z114">
        <f t="shared" si="28"/>
        <v>1.354810539456582E-3</v>
      </c>
      <c r="AA114">
        <f>IF(M114="","",Inputs!$B$7*Z114+Inputs!$B$8*T114)</f>
        <v>1.2249988091032993</v>
      </c>
      <c r="AB114">
        <f t="shared" si="29"/>
        <v>0.29375805015881723</v>
      </c>
    </row>
    <row r="115" spans="1:28">
      <c r="A115" t="s">
        <v>202</v>
      </c>
      <c r="B115">
        <v>1</v>
      </c>
      <c r="C115">
        <v>4</v>
      </c>
      <c r="D115">
        <v>0.2</v>
      </c>
      <c r="E115">
        <f>IF(B115=1,Inputs!$B$5,Inputs!$B$6)</f>
        <v>4</v>
      </c>
      <c r="F115">
        <f>E115*Inputs!$B$4</f>
        <v>60</v>
      </c>
      <c r="G115">
        <f t="shared" si="15"/>
        <v>15</v>
      </c>
      <c r="H115">
        <f t="shared" si="16"/>
        <v>15</v>
      </c>
      <c r="I115">
        <f t="shared" si="17"/>
        <v>15</v>
      </c>
      <c r="J115">
        <f t="shared" si="18"/>
        <v>0</v>
      </c>
      <c r="K115">
        <v>5</v>
      </c>
      <c r="L115" t="s">
        <v>198</v>
      </c>
      <c r="M115">
        <f>IF(L115="C",E115*COMBIN(Inputs!$B$4,K115),IF(L115="T",(Inputs!$B$4-K115+1)*E115^K115,IF(L115="PT",E115*(Inputs!$B$4-K115+1),IF(AND(L115="E",K115&lt;=E115),Inputs!$B$4*COMBIN(E115,K115),""))))</f>
        <v>11264</v>
      </c>
      <c r="N115">
        <f t="shared" si="19"/>
        <v>6.1934848811098444</v>
      </c>
      <c r="O115">
        <f t="shared" si="20"/>
        <v>6.1934848811098444</v>
      </c>
      <c r="P115">
        <f t="shared" si="21"/>
        <v>6.1934848811098444</v>
      </c>
      <c r="Q115">
        <f t="shared" si="22"/>
        <v>0.99795730421674655</v>
      </c>
      <c r="R115">
        <f t="shared" si="23"/>
        <v>2.0447849317662948E-3</v>
      </c>
      <c r="S115">
        <f>IF(M115="","",IF(L115="C",SUMIFS(Marginal_Model!$J:$J,Marginal_Model!$A:$A,B115,Marginal_Model!$C:$C,K115),IF(L115="T",SUMIFS(Marginal_Model!$K:$K,Marginal_Model!$A:$A,B115,Marginal_Model!$C:$C,K115),IF(L115="PT",SUMIFS(Marginal_Model!$L:$L,Marginal_Model!$A:$A,B115,Marginal_Model!$C:$C,K115),SUMIFS(Marginal_Model!$M:$M,Marginal_Model!$A:$A,B115,Marginal_Model!$C:$C,K115)))))</f>
        <v>4.1248650556842138E-4</v>
      </c>
      <c r="T115">
        <f t="shared" si="24"/>
        <v>7.7933070664981692</v>
      </c>
      <c r="U115">
        <f>IF(M115="","",Inputs!$B$7*R115+Inputs!$B$8*T115)</f>
        <v>1.5602972412450464</v>
      </c>
      <c r="V115">
        <f t="shared" si="25"/>
        <v>0.21007361937542082</v>
      </c>
      <c r="W115">
        <f>Inputs!$B$9</f>
        <v>15</v>
      </c>
      <c r="X115">
        <f t="shared" si="26"/>
        <v>6.1934848811098444</v>
      </c>
      <c r="Y115">
        <f t="shared" si="27"/>
        <v>0.99795730421674655</v>
      </c>
      <c r="Z115">
        <f t="shared" si="28"/>
        <v>2.0447849317662948E-3</v>
      </c>
      <c r="AA115">
        <f>IF(M115="","",Inputs!$B$7*Z115+Inputs!$B$8*T115)</f>
        <v>1.5602972412450464</v>
      </c>
      <c r="AB115">
        <f t="shared" si="29"/>
        <v>0.21007361937542082</v>
      </c>
    </row>
    <row r="116" spans="1:28">
      <c r="A116" t="s">
        <v>202</v>
      </c>
      <c r="B116">
        <v>1</v>
      </c>
      <c r="C116">
        <v>4</v>
      </c>
      <c r="D116">
        <v>0.2</v>
      </c>
      <c r="E116">
        <f>IF(B116=1,Inputs!$B$5,Inputs!$B$6)</f>
        <v>4</v>
      </c>
      <c r="F116">
        <f>E116*Inputs!$B$4</f>
        <v>60</v>
      </c>
      <c r="G116">
        <f t="shared" si="15"/>
        <v>15</v>
      </c>
      <c r="H116">
        <f t="shared" si="16"/>
        <v>15</v>
      </c>
      <c r="I116">
        <f t="shared" si="17"/>
        <v>15</v>
      </c>
      <c r="J116">
        <f t="shared" si="18"/>
        <v>0</v>
      </c>
      <c r="K116">
        <v>5</v>
      </c>
      <c r="L116" t="s">
        <v>199</v>
      </c>
      <c r="M116">
        <f>IF(L116="C",E116*COMBIN(Inputs!$B$4,K116),IF(L116="T",(Inputs!$B$4-K116+1)*E116^K116,IF(L116="PT",E116*(Inputs!$B$4-K116+1),IF(AND(L116="E",K116&lt;=E116),Inputs!$B$4*COMBIN(E116,K116),""))))</f>
        <v>44</v>
      </c>
      <c r="N116">
        <f t="shared" si="19"/>
        <v>2.419330031683533E-2</v>
      </c>
      <c r="O116">
        <f t="shared" si="20"/>
        <v>2.419330031683533E-2</v>
      </c>
      <c r="P116">
        <f t="shared" si="21"/>
        <v>2.419330031683533E-2</v>
      </c>
      <c r="Q116">
        <f t="shared" si="22"/>
        <v>2.3902988340820053E-2</v>
      </c>
      <c r="R116">
        <f t="shared" si="23"/>
        <v>3.7337517926801636</v>
      </c>
      <c r="S116">
        <f>IF(M116="","",IF(L116="C",SUMIFS(Marginal_Model!$J:$J,Marginal_Model!$A:$A,B116,Marginal_Model!$C:$C,K116),IF(L116="T",SUMIFS(Marginal_Model!$K:$K,Marginal_Model!$A:$A,B116,Marginal_Model!$C:$C,K116),IF(L116="PT",SUMIFS(Marginal_Model!$L:$L,Marginal_Model!$A:$A,B116,Marginal_Model!$C:$C,K116),SUMIFS(Marginal_Model!$M:$M,Marginal_Model!$A:$A,B116,Marginal_Model!$C:$C,K116)))))</f>
        <v>1.611275412376646E-6</v>
      </c>
      <c r="T116">
        <f t="shared" si="24"/>
        <v>13.338484510977732</v>
      </c>
      <c r="U116">
        <f>IF(M116="","",Inputs!$B$7*R116+Inputs!$B$8*T116)</f>
        <v>5.6546983363396768</v>
      </c>
      <c r="V116">
        <f t="shared" si="25"/>
        <v>3.5010290607660425E-3</v>
      </c>
      <c r="W116">
        <f>Inputs!$B$9</f>
        <v>15</v>
      </c>
      <c r="X116">
        <f t="shared" si="26"/>
        <v>2.419330031683533E-2</v>
      </c>
      <c r="Y116">
        <f t="shared" si="27"/>
        <v>2.3902988340820053E-2</v>
      </c>
      <c r="Z116">
        <f t="shared" si="28"/>
        <v>3.7337517926801636</v>
      </c>
      <c r="AA116">
        <f>IF(M116="","",Inputs!$B$7*Z116+Inputs!$B$8*T116)</f>
        <v>5.6546983363396768</v>
      </c>
      <c r="AB116">
        <f t="shared" si="29"/>
        <v>3.5010290607660425E-3</v>
      </c>
    </row>
    <row r="117" spans="1:28">
      <c r="A117" t="s">
        <v>202</v>
      </c>
      <c r="B117">
        <v>1</v>
      </c>
      <c r="C117">
        <v>4</v>
      </c>
      <c r="D117">
        <v>0.2</v>
      </c>
      <c r="E117">
        <f>IF(B117=1,Inputs!$B$5,Inputs!$B$6)</f>
        <v>4</v>
      </c>
      <c r="F117">
        <f>E117*Inputs!$B$4</f>
        <v>60</v>
      </c>
      <c r="G117">
        <f t="shared" si="15"/>
        <v>15</v>
      </c>
      <c r="H117">
        <f t="shared" si="16"/>
        <v>15</v>
      </c>
      <c r="I117">
        <f t="shared" si="17"/>
        <v>15</v>
      </c>
      <c r="J117">
        <f t="shared" si="18"/>
        <v>0</v>
      </c>
      <c r="K117">
        <v>5</v>
      </c>
      <c r="L117" t="s">
        <v>200</v>
      </c>
      <c r="M117" t="str">
        <f>IF(L117="C",E117*COMBIN(Inputs!$B$4,K117),IF(L117="T",(Inputs!$B$4-K117+1)*E117^K117,IF(L117="PT",E117*(Inputs!$B$4-K117+1),IF(AND(L117="E",K117&lt;=E117),Inputs!$B$4*COMBIN(E117,K117),""))))</f>
        <v/>
      </c>
      <c r="N117" t="str">
        <f t="shared" si="19"/>
        <v/>
      </c>
      <c r="O117" t="str">
        <f t="shared" si="20"/>
        <v/>
      </c>
      <c r="P117" t="str">
        <f t="shared" si="21"/>
        <v/>
      </c>
      <c r="Q117" t="str">
        <f t="shared" si="22"/>
        <v/>
      </c>
      <c r="R117" t="str">
        <f t="shared" si="23"/>
        <v/>
      </c>
      <c r="S117" t="str">
        <f>IF(M117="","",IF(L117="C",SUMIFS(Marginal_Model!$J:$J,Marginal_Model!$A:$A,B117,Marginal_Model!$C:$C,K117),IF(L117="T",SUMIFS(Marginal_Model!$K:$K,Marginal_Model!$A:$A,B117,Marginal_Model!$C:$C,K117),IF(L117="PT",SUMIFS(Marginal_Model!$L:$L,Marginal_Model!$A:$A,B117,Marginal_Model!$C:$C,K117),SUMIFS(Marginal_Model!$M:$M,Marginal_Model!$A:$A,B117,Marginal_Model!$C:$C,K117)))))</f>
        <v/>
      </c>
      <c r="T117" t="str">
        <f t="shared" si="24"/>
        <v/>
      </c>
      <c r="U117" t="str">
        <f>IF(M117="","",Inputs!$B$7*R117+Inputs!$B$8*T117)</f>
        <v/>
      </c>
      <c r="V117" t="str">
        <f t="shared" si="25"/>
        <v/>
      </c>
      <c r="W117">
        <f>Inputs!$B$9</f>
        <v>15</v>
      </c>
      <c r="X117" t="str">
        <f t="shared" si="26"/>
        <v/>
      </c>
      <c r="Y117" t="str">
        <f t="shared" si="27"/>
        <v/>
      </c>
      <c r="Z117" t="str">
        <f t="shared" si="28"/>
        <v/>
      </c>
      <c r="AA117" t="str">
        <f>IF(M117="","",Inputs!$B$7*Z117+Inputs!$B$8*T117)</f>
        <v/>
      </c>
      <c r="AB117" t="str">
        <f t="shared" si="29"/>
        <v/>
      </c>
    </row>
    <row r="118" spans="1:28">
      <c r="A118" t="s">
        <v>202</v>
      </c>
      <c r="B118">
        <v>1</v>
      </c>
      <c r="C118">
        <v>4</v>
      </c>
      <c r="D118">
        <v>0.2</v>
      </c>
      <c r="E118">
        <f>IF(B118=1,Inputs!$B$5,Inputs!$B$6)</f>
        <v>4</v>
      </c>
      <c r="F118">
        <f>E118*Inputs!$B$4</f>
        <v>60</v>
      </c>
      <c r="G118">
        <f t="shared" si="15"/>
        <v>15</v>
      </c>
      <c r="H118">
        <f t="shared" si="16"/>
        <v>15</v>
      </c>
      <c r="I118">
        <f t="shared" si="17"/>
        <v>15</v>
      </c>
      <c r="J118">
        <f t="shared" si="18"/>
        <v>0</v>
      </c>
      <c r="K118">
        <v>6</v>
      </c>
      <c r="L118" t="s">
        <v>197</v>
      </c>
      <c r="M118">
        <f>IF(L118="C",E118*COMBIN(Inputs!$B$4,K118),IF(L118="T",(Inputs!$B$4-K118+1)*E118^K118,IF(L118="PT",E118*(Inputs!$B$4-K118+1),IF(AND(L118="E",K118&lt;=E118),Inputs!$B$4*COMBIN(E118,K118),""))))</f>
        <v>20020</v>
      </c>
      <c r="N118">
        <f t="shared" si="19"/>
        <v>2.0014457534836496</v>
      </c>
      <c r="O118">
        <f t="shared" si="20"/>
        <v>2.0014457534836496</v>
      </c>
      <c r="P118">
        <f t="shared" si="21"/>
        <v>2.0014457534836496</v>
      </c>
      <c r="Q118">
        <f t="shared" si="22"/>
        <v>0.86486023684960811</v>
      </c>
      <c r="R118">
        <f t="shared" si="23"/>
        <v>0.14518736100145593</v>
      </c>
      <c r="S118">
        <f>IF(M118="","",IF(L118="C",SUMIFS(Marginal_Model!$J:$J,Marginal_Model!$A:$A,B118,Marginal_Model!$C:$C,K118),IF(L118="T",SUMIFS(Marginal_Model!$K:$K,Marginal_Model!$A:$A,B118,Marginal_Model!$C:$C,K118),IF(L118="PT",SUMIFS(Marginal_Model!$L:$L,Marginal_Model!$A:$A,B118,Marginal_Model!$C:$C,K118),SUMIFS(Marginal_Model!$M:$M,Marginal_Model!$A:$A,B118,Marginal_Model!$C:$C,K118)))))</f>
        <v>3.9988926143529491E-4</v>
      </c>
      <c r="T118">
        <f t="shared" si="24"/>
        <v>7.8243228955970974</v>
      </c>
      <c r="U118">
        <f>IF(M118="","",Inputs!$B$7*R118+Inputs!$B$8*T118)</f>
        <v>1.6810144679205838</v>
      </c>
      <c r="V118">
        <f t="shared" si="25"/>
        <v>0.18618500149000228</v>
      </c>
      <c r="W118">
        <f>Inputs!$B$9</f>
        <v>15</v>
      </c>
      <c r="X118">
        <f t="shared" si="26"/>
        <v>2.0014457534836496</v>
      </c>
      <c r="Y118">
        <f t="shared" si="27"/>
        <v>0.86486023684960811</v>
      </c>
      <c r="Z118">
        <f t="shared" si="28"/>
        <v>0.14518736100145593</v>
      </c>
      <c r="AA118">
        <f>IF(M118="","",Inputs!$B$7*Z118+Inputs!$B$8*T118)</f>
        <v>1.6810144679205838</v>
      </c>
      <c r="AB118">
        <f t="shared" si="29"/>
        <v>0.18618500149000228</v>
      </c>
    </row>
    <row r="119" spans="1:28">
      <c r="A119" t="s">
        <v>202</v>
      </c>
      <c r="B119">
        <v>1</v>
      </c>
      <c r="C119">
        <v>4</v>
      </c>
      <c r="D119">
        <v>0.2</v>
      </c>
      <c r="E119">
        <f>IF(B119=1,Inputs!$B$5,Inputs!$B$6)</f>
        <v>4</v>
      </c>
      <c r="F119">
        <f>E119*Inputs!$B$4</f>
        <v>60</v>
      </c>
      <c r="G119">
        <f t="shared" si="15"/>
        <v>15</v>
      </c>
      <c r="H119">
        <f t="shared" si="16"/>
        <v>15</v>
      </c>
      <c r="I119">
        <f t="shared" si="17"/>
        <v>15</v>
      </c>
      <c r="J119">
        <f t="shared" si="18"/>
        <v>0</v>
      </c>
      <c r="K119">
        <v>6</v>
      </c>
      <c r="L119" t="s">
        <v>198</v>
      </c>
      <c r="M119">
        <f>IF(L119="C",E119*COMBIN(Inputs!$B$4,K119),IF(L119="T",(Inputs!$B$4-K119+1)*E119^K119,IF(L119="PT",E119*(Inputs!$B$4-K119+1),IF(AND(L119="E",K119&lt;=E119),Inputs!$B$4*COMBIN(E119,K119),""))))</f>
        <v>40960</v>
      </c>
      <c r="N119">
        <f t="shared" si="19"/>
        <v>4.0948660370974164</v>
      </c>
      <c r="O119">
        <f t="shared" si="20"/>
        <v>4.0948660370974164</v>
      </c>
      <c r="P119">
        <f t="shared" si="21"/>
        <v>4.0948660370974164</v>
      </c>
      <c r="Q119">
        <f t="shared" si="22"/>
        <v>0.98334202231551537</v>
      </c>
      <c r="R119">
        <f t="shared" si="23"/>
        <v>1.6798282102354206E-2</v>
      </c>
      <c r="S119">
        <f>IF(M119="","",IF(L119="C",SUMIFS(Marginal_Model!$J:$J,Marginal_Model!$A:$A,B119,Marginal_Model!$C:$C,K119),IF(L119="T",SUMIFS(Marginal_Model!$K:$K,Marginal_Model!$A:$A,B119,Marginal_Model!$C:$C,K119),IF(L119="PT",SUMIFS(Marginal_Model!$L:$L,Marginal_Model!$A:$A,B119,Marginal_Model!$C:$C,K119),SUMIFS(Marginal_Model!$M:$M,Marginal_Model!$A:$A,B119,Marginal_Model!$C:$C,K119)))))</f>
        <v>5.454367015780779E-5</v>
      </c>
      <c r="T119">
        <f t="shared" si="24"/>
        <v>9.8165088898551289</v>
      </c>
      <c r="U119">
        <f>IF(M119="","",Inputs!$B$7*R119+Inputs!$B$8*T119)</f>
        <v>1.9767404036529088</v>
      </c>
      <c r="V119">
        <f t="shared" si="25"/>
        <v>0.13852002158072604</v>
      </c>
      <c r="W119">
        <f>Inputs!$B$9</f>
        <v>15</v>
      </c>
      <c r="X119">
        <f t="shared" si="26"/>
        <v>4.0948660370974164</v>
      </c>
      <c r="Y119">
        <f t="shared" si="27"/>
        <v>0.98334202231551537</v>
      </c>
      <c r="Z119">
        <f t="shared" si="28"/>
        <v>1.6798282102354206E-2</v>
      </c>
      <c r="AA119">
        <f>IF(M119="","",Inputs!$B$7*Z119+Inputs!$B$8*T119)</f>
        <v>1.9767404036529088</v>
      </c>
      <c r="AB119">
        <f t="shared" si="29"/>
        <v>0.13852002158072604</v>
      </c>
    </row>
    <row r="120" spans="1:28">
      <c r="A120" t="s">
        <v>202</v>
      </c>
      <c r="B120">
        <v>1</v>
      </c>
      <c r="C120">
        <v>4</v>
      </c>
      <c r="D120">
        <v>0.2</v>
      </c>
      <c r="E120">
        <f>IF(B120=1,Inputs!$B$5,Inputs!$B$6)</f>
        <v>4</v>
      </c>
      <c r="F120">
        <f>E120*Inputs!$B$4</f>
        <v>60</v>
      </c>
      <c r="G120">
        <f t="shared" si="15"/>
        <v>15</v>
      </c>
      <c r="H120">
        <f t="shared" si="16"/>
        <v>15</v>
      </c>
      <c r="I120">
        <f t="shared" si="17"/>
        <v>15</v>
      </c>
      <c r="J120">
        <f t="shared" si="18"/>
        <v>0</v>
      </c>
      <c r="K120">
        <v>6</v>
      </c>
      <c r="L120" t="s">
        <v>199</v>
      </c>
      <c r="M120">
        <f>IF(L120="C",E120*COMBIN(Inputs!$B$4,K120),IF(L120="T",(Inputs!$B$4-K120+1)*E120^K120,IF(L120="PT",E120*(Inputs!$B$4-K120+1),IF(AND(L120="E",K120&lt;=E120),Inputs!$B$4*COMBIN(E120,K120),""))))</f>
        <v>40</v>
      </c>
      <c r="N120">
        <f t="shared" si="19"/>
        <v>3.9988926143529457E-3</v>
      </c>
      <c r="O120">
        <f t="shared" si="20"/>
        <v>3.9988926143529457E-3</v>
      </c>
      <c r="P120">
        <f t="shared" si="21"/>
        <v>3.9988926143529457E-3</v>
      </c>
      <c r="Q120">
        <f t="shared" si="22"/>
        <v>3.9909076904460772E-3</v>
      </c>
      <c r="R120">
        <f t="shared" si="23"/>
        <v>5.5237365826127274</v>
      </c>
      <c r="S120">
        <f>IF(M120="","",IF(L120="C",SUMIFS(Marginal_Model!$J:$J,Marginal_Model!$A:$A,B120,Marginal_Model!$C:$C,K120),IF(L120="T",SUMIFS(Marginal_Model!$K:$K,Marginal_Model!$A:$A,B120,Marginal_Model!$C:$C,K120),IF(L120="PT",SUMIFS(Marginal_Model!$L:$L,Marginal_Model!$A:$A,B120,Marginal_Model!$C:$C,K120),SUMIFS(Marginal_Model!$M:$M,Marginal_Model!$A:$A,B120,Marginal_Model!$C:$C,K120)))))</f>
        <v>5.326530288848417E-8</v>
      </c>
      <c r="T120">
        <f t="shared" si="24"/>
        <v>16.747980695454583</v>
      </c>
      <c r="U120">
        <f>IF(M120="","",Inputs!$B$7*R120+Inputs!$B$8*T120)</f>
        <v>7.7685854051810974</v>
      </c>
      <c r="V120">
        <f t="shared" si="25"/>
        <v>4.2281095014898057E-4</v>
      </c>
      <c r="W120">
        <f>Inputs!$B$9</f>
        <v>15</v>
      </c>
      <c r="X120">
        <f t="shared" si="26"/>
        <v>3.9988926143529457E-3</v>
      </c>
      <c r="Y120">
        <f t="shared" si="27"/>
        <v>3.9909076904460772E-3</v>
      </c>
      <c r="Z120">
        <f t="shared" si="28"/>
        <v>5.5237365826127274</v>
      </c>
      <c r="AA120">
        <f>IF(M120="","",Inputs!$B$7*Z120+Inputs!$B$8*T120)</f>
        <v>7.7685854051810974</v>
      </c>
      <c r="AB120">
        <f t="shared" si="29"/>
        <v>4.2281095014898057E-4</v>
      </c>
    </row>
    <row r="121" spans="1:28">
      <c r="A121" t="s">
        <v>202</v>
      </c>
      <c r="B121">
        <v>1</v>
      </c>
      <c r="C121">
        <v>4</v>
      </c>
      <c r="D121">
        <v>0.2</v>
      </c>
      <c r="E121">
        <f>IF(B121=1,Inputs!$B$5,Inputs!$B$6)</f>
        <v>4</v>
      </c>
      <c r="F121">
        <f>E121*Inputs!$B$4</f>
        <v>60</v>
      </c>
      <c r="G121">
        <f t="shared" si="15"/>
        <v>15</v>
      </c>
      <c r="H121">
        <f t="shared" si="16"/>
        <v>15</v>
      </c>
      <c r="I121">
        <f t="shared" si="17"/>
        <v>15</v>
      </c>
      <c r="J121">
        <f t="shared" si="18"/>
        <v>0</v>
      </c>
      <c r="K121">
        <v>6</v>
      </c>
      <c r="L121" t="s">
        <v>200</v>
      </c>
      <c r="M121" t="str">
        <f>IF(L121="C",E121*COMBIN(Inputs!$B$4,K121),IF(L121="T",(Inputs!$B$4-K121+1)*E121^K121,IF(L121="PT",E121*(Inputs!$B$4-K121+1),IF(AND(L121="E",K121&lt;=E121),Inputs!$B$4*COMBIN(E121,K121),""))))</f>
        <v/>
      </c>
      <c r="N121" t="str">
        <f t="shared" si="19"/>
        <v/>
      </c>
      <c r="O121" t="str">
        <f t="shared" si="20"/>
        <v/>
      </c>
      <c r="P121" t="str">
        <f t="shared" si="21"/>
        <v/>
      </c>
      <c r="Q121" t="str">
        <f t="shared" si="22"/>
        <v/>
      </c>
      <c r="R121" t="str">
        <f t="shared" si="23"/>
        <v/>
      </c>
      <c r="S121" t="str">
        <f>IF(M121="","",IF(L121="C",SUMIFS(Marginal_Model!$J:$J,Marginal_Model!$A:$A,B121,Marginal_Model!$C:$C,K121),IF(L121="T",SUMIFS(Marginal_Model!$K:$K,Marginal_Model!$A:$A,B121,Marginal_Model!$C:$C,K121),IF(L121="PT",SUMIFS(Marginal_Model!$L:$L,Marginal_Model!$A:$A,B121,Marginal_Model!$C:$C,K121),SUMIFS(Marginal_Model!$M:$M,Marginal_Model!$A:$A,B121,Marginal_Model!$C:$C,K121)))))</f>
        <v/>
      </c>
      <c r="T121" t="str">
        <f t="shared" si="24"/>
        <v/>
      </c>
      <c r="U121" t="str">
        <f>IF(M121="","",Inputs!$B$7*R121+Inputs!$B$8*T121)</f>
        <v/>
      </c>
      <c r="V121" t="str">
        <f t="shared" si="25"/>
        <v/>
      </c>
      <c r="W121">
        <f>Inputs!$B$9</f>
        <v>15</v>
      </c>
      <c r="X121" t="str">
        <f t="shared" si="26"/>
        <v/>
      </c>
      <c r="Y121" t="str">
        <f t="shared" si="27"/>
        <v/>
      </c>
      <c r="Z121" t="str">
        <f t="shared" si="28"/>
        <v/>
      </c>
      <c r="AA121" t="str">
        <f>IF(M121="","",Inputs!$B$7*Z121+Inputs!$B$8*T121)</f>
        <v/>
      </c>
      <c r="AB121" t="str">
        <f t="shared" si="29"/>
        <v/>
      </c>
    </row>
    <row r="122" spans="1:28">
      <c r="A122" t="s">
        <v>202</v>
      </c>
      <c r="B122">
        <v>1</v>
      </c>
      <c r="C122">
        <v>4</v>
      </c>
      <c r="D122">
        <v>0.2</v>
      </c>
      <c r="E122">
        <f>IF(B122=1,Inputs!$B$5,Inputs!$B$6)</f>
        <v>4</v>
      </c>
      <c r="F122">
        <f>E122*Inputs!$B$4</f>
        <v>60</v>
      </c>
      <c r="G122">
        <f t="shared" si="15"/>
        <v>15</v>
      </c>
      <c r="H122">
        <f t="shared" si="16"/>
        <v>15</v>
      </c>
      <c r="I122">
        <f t="shared" si="17"/>
        <v>15</v>
      </c>
      <c r="J122">
        <f t="shared" si="18"/>
        <v>0</v>
      </c>
      <c r="K122">
        <v>7</v>
      </c>
      <c r="L122" t="s">
        <v>197</v>
      </c>
      <c r="M122">
        <f>IF(L122="C",E122*COMBIN(Inputs!$B$4,K122),IF(L122="T",(Inputs!$B$4-K122+1)*E122^K122,IF(L122="PT",E122*(Inputs!$B$4-K122+1),IF(AND(L122="E",K122&lt;=E122),Inputs!$B$4*COMBIN(E122,K122),""))))</f>
        <v>25739.999999999996</v>
      </c>
      <c r="N122">
        <f t="shared" si="19"/>
        <v>0.42888123288935348</v>
      </c>
      <c r="O122">
        <f t="shared" si="20"/>
        <v>0.42888123288935348</v>
      </c>
      <c r="P122">
        <f t="shared" si="21"/>
        <v>0.42888123288935348</v>
      </c>
      <c r="Q122">
        <f t="shared" si="22"/>
        <v>0.34876272984291867</v>
      </c>
      <c r="R122">
        <f t="shared" si="23"/>
        <v>1.0533634451710172</v>
      </c>
      <c r="S122">
        <f>IF(M122="","",IF(L122="C",SUMIFS(Marginal_Model!$J:$J,Marginal_Model!$A:$A,B122,Marginal_Model!$C:$C,K122),IF(L122="T",SUMIFS(Marginal_Model!$K:$K,Marginal_Model!$A:$A,B122,Marginal_Model!$C:$C,K122),IF(L122="PT",SUMIFS(Marginal_Model!$L:$L,Marginal_Model!$A:$A,B122,Marginal_Model!$C:$C,K122),SUMIFS(Marginal_Model!$M:$M,Marginal_Model!$A:$A,B122,Marginal_Model!$C:$C,K122)))))</f>
        <v>6.664821023921581E-5</v>
      </c>
      <c r="T122">
        <f t="shared" si="24"/>
        <v>9.6160823648251519</v>
      </c>
      <c r="U122">
        <f>IF(M122="","",Inputs!$B$7*R122+Inputs!$B$8*T122)</f>
        <v>2.7659072291018436</v>
      </c>
      <c r="V122">
        <f t="shared" si="25"/>
        <v>6.2918991506830654E-2</v>
      </c>
      <c r="W122">
        <f>Inputs!$B$9</f>
        <v>15</v>
      </c>
      <c r="X122">
        <f t="shared" si="26"/>
        <v>0.42888123288935348</v>
      </c>
      <c r="Y122">
        <f t="shared" si="27"/>
        <v>0.34876272984291867</v>
      </c>
      <c r="Z122">
        <f t="shared" si="28"/>
        <v>1.0533634451710172</v>
      </c>
      <c r="AA122">
        <f>IF(M122="","",Inputs!$B$7*Z122+Inputs!$B$8*T122)</f>
        <v>2.7659072291018436</v>
      </c>
      <c r="AB122">
        <f t="shared" si="29"/>
        <v>6.2918991506830654E-2</v>
      </c>
    </row>
    <row r="123" spans="1:28">
      <c r="A123" t="s">
        <v>202</v>
      </c>
      <c r="B123">
        <v>1</v>
      </c>
      <c r="C123">
        <v>4</v>
      </c>
      <c r="D123">
        <v>0.2</v>
      </c>
      <c r="E123">
        <f>IF(B123=1,Inputs!$B$5,Inputs!$B$6)</f>
        <v>4</v>
      </c>
      <c r="F123">
        <f>E123*Inputs!$B$4</f>
        <v>60</v>
      </c>
      <c r="G123">
        <f t="shared" si="15"/>
        <v>15</v>
      </c>
      <c r="H123">
        <f t="shared" si="16"/>
        <v>15</v>
      </c>
      <c r="I123">
        <f t="shared" si="17"/>
        <v>15</v>
      </c>
      <c r="J123">
        <f t="shared" si="18"/>
        <v>0</v>
      </c>
      <c r="K123">
        <v>7</v>
      </c>
      <c r="L123" t="s">
        <v>198</v>
      </c>
      <c r="M123">
        <f>IF(L123="C",E123*COMBIN(Inputs!$B$4,K123),IF(L123="T",(Inputs!$B$4-K123+1)*E123^K123,IF(L123="PT",E123*(Inputs!$B$4-K123+1),IF(AND(L123="E",K123&lt;=E123),Inputs!$B$4*COMBIN(E123,K123),""))))</f>
        <v>147456</v>
      </c>
      <c r="N123">
        <f t="shared" si="19"/>
        <v>2.4569196222584502</v>
      </c>
      <c r="O123">
        <f t="shared" si="20"/>
        <v>2.4569196222584502</v>
      </c>
      <c r="P123">
        <f t="shared" si="21"/>
        <v>2.4569196222584502</v>
      </c>
      <c r="Q123">
        <f t="shared" si="22"/>
        <v>0.9143014713603892</v>
      </c>
      <c r="R123">
        <f t="shared" si="23"/>
        <v>8.9594924537770293E-2</v>
      </c>
      <c r="S123">
        <f>IF(M123="","",IF(L123="C",SUMIFS(Marginal_Model!$J:$J,Marginal_Model!$A:$A,B123,Marginal_Model!$C:$C,K123),IF(L123="T",SUMIFS(Marginal_Model!$K:$K,Marginal_Model!$A:$A,B123,Marginal_Model!$C:$C,K123),IF(L123="PT",SUMIFS(Marginal_Model!$L:$L,Marginal_Model!$A:$A,B123,Marginal_Model!$C:$C,K123),SUMIFS(Marginal_Model!$M:$M,Marginal_Model!$A:$A,B123,Marginal_Model!$C:$C,K123)))))</f>
        <v>7.272489354374372E-6</v>
      </c>
      <c r="T123">
        <f t="shared" si="24"/>
        <v>11.831411910397394</v>
      </c>
      <c r="U123">
        <f>IF(M123="","",Inputs!$B$7*R123+Inputs!$B$8*T123)</f>
        <v>2.4379583217096945</v>
      </c>
      <c r="V123">
        <f t="shared" si="25"/>
        <v>8.7338987666707391E-2</v>
      </c>
      <c r="W123">
        <f>Inputs!$B$9</f>
        <v>15</v>
      </c>
      <c r="X123">
        <f t="shared" si="26"/>
        <v>2.4569196222584502</v>
      </c>
      <c r="Y123">
        <f t="shared" si="27"/>
        <v>0.9143014713603892</v>
      </c>
      <c r="Z123">
        <f t="shared" si="28"/>
        <v>8.9594924537770293E-2</v>
      </c>
      <c r="AA123">
        <f>IF(M123="","",Inputs!$B$7*Z123+Inputs!$B$8*T123)</f>
        <v>2.4379583217096945</v>
      </c>
      <c r="AB123">
        <f t="shared" si="29"/>
        <v>8.7338987666707391E-2</v>
      </c>
    </row>
    <row r="124" spans="1:28">
      <c r="A124" t="s">
        <v>202</v>
      </c>
      <c r="B124">
        <v>1</v>
      </c>
      <c r="C124">
        <v>4</v>
      </c>
      <c r="D124">
        <v>0.2</v>
      </c>
      <c r="E124">
        <f>IF(B124=1,Inputs!$B$5,Inputs!$B$6)</f>
        <v>4</v>
      </c>
      <c r="F124">
        <f>E124*Inputs!$B$4</f>
        <v>60</v>
      </c>
      <c r="G124">
        <f t="shared" si="15"/>
        <v>15</v>
      </c>
      <c r="H124">
        <f t="shared" si="16"/>
        <v>15</v>
      </c>
      <c r="I124">
        <f t="shared" si="17"/>
        <v>15</v>
      </c>
      <c r="J124">
        <f t="shared" si="18"/>
        <v>0</v>
      </c>
      <c r="K124">
        <v>7</v>
      </c>
      <c r="L124" t="s">
        <v>199</v>
      </c>
      <c r="M124">
        <f>IF(L124="C",E124*COMBIN(Inputs!$B$4,K124),IF(L124="T",(Inputs!$B$4-K124+1)*E124^K124,IF(L124="PT",E124*(Inputs!$B$4-K124+1),IF(AND(L124="E",K124&lt;=E124),Inputs!$B$4*COMBIN(E124,K124),""))))</f>
        <v>36</v>
      </c>
      <c r="N124">
        <f t="shared" si="19"/>
        <v>5.9983389215294194E-4</v>
      </c>
      <c r="O124">
        <f t="shared" si="20"/>
        <v>5.9983389215294194E-4</v>
      </c>
      <c r="P124">
        <f t="shared" si="21"/>
        <v>5.9983389215294194E-4</v>
      </c>
      <c r="Q124">
        <f t="shared" si="22"/>
        <v>5.9965402776851473E-4</v>
      </c>
      <c r="R124">
        <f t="shared" si="23"/>
        <v>7.4191576894434057</v>
      </c>
      <c r="S124">
        <f>IF(M124="","",IF(L124="C",SUMIFS(Marginal_Model!$J:$J,Marginal_Model!$A:$A,B124,Marginal_Model!$C:$C,K124),IF(L124="T",SUMIFS(Marginal_Model!$K:$K,Marginal_Model!$A:$A,B124,Marginal_Model!$C:$C,K124),IF(L124="PT",SUMIFS(Marginal_Model!$L:$L,Marginal_Model!$A:$A,B124,Marginal_Model!$C:$C,K124),SUMIFS(Marginal_Model!$M:$M,Marginal_Model!$A:$A,B124,Marginal_Model!$C:$C,K124)))))</f>
        <v>1.7755100962828057E-9</v>
      </c>
      <c r="T124">
        <f t="shared" si="24"/>
        <v>20.149178077116737</v>
      </c>
      <c r="U124">
        <f>IF(M124="","",Inputs!$B$7*R124+Inputs!$B$8*T124)</f>
        <v>9.9651617669780705</v>
      </c>
      <c r="V124">
        <f t="shared" si="25"/>
        <v>4.7009456847255043E-5</v>
      </c>
      <c r="W124">
        <f>Inputs!$B$9</f>
        <v>15</v>
      </c>
      <c r="X124">
        <f t="shared" si="26"/>
        <v>5.9983389215294194E-4</v>
      </c>
      <c r="Y124">
        <f t="shared" si="27"/>
        <v>5.9965402776851473E-4</v>
      </c>
      <c r="Z124">
        <f t="shared" si="28"/>
        <v>7.4191576894434057</v>
      </c>
      <c r="AA124">
        <f>IF(M124="","",Inputs!$B$7*Z124+Inputs!$B$8*T124)</f>
        <v>9.9651617669780705</v>
      </c>
      <c r="AB124">
        <f t="shared" si="29"/>
        <v>4.7009456847255043E-5</v>
      </c>
    </row>
    <row r="125" spans="1:28">
      <c r="A125" t="s">
        <v>202</v>
      </c>
      <c r="B125">
        <v>1</v>
      </c>
      <c r="C125">
        <v>4</v>
      </c>
      <c r="D125">
        <v>0.2</v>
      </c>
      <c r="E125">
        <f>IF(B125=1,Inputs!$B$5,Inputs!$B$6)</f>
        <v>4</v>
      </c>
      <c r="F125">
        <f>E125*Inputs!$B$4</f>
        <v>60</v>
      </c>
      <c r="G125">
        <f t="shared" si="15"/>
        <v>15</v>
      </c>
      <c r="H125">
        <f t="shared" si="16"/>
        <v>15</v>
      </c>
      <c r="I125">
        <f t="shared" si="17"/>
        <v>15</v>
      </c>
      <c r="J125">
        <f t="shared" si="18"/>
        <v>0</v>
      </c>
      <c r="K125">
        <v>7</v>
      </c>
      <c r="L125" t="s">
        <v>200</v>
      </c>
      <c r="M125" t="str">
        <f>IF(L125="C",E125*COMBIN(Inputs!$B$4,K125),IF(L125="T",(Inputs!$B$4-K125+1)*E125^K125,IF(L125="PT",E125*(Inputs!$B$4-K125+1),IF(AND(L125="E",K125&lt;=E125),Inputs!$B$4*COMBIN(E125,K125),""))))</f>
        <v/>
      </c>
      <c r="N125" t="str">
        <f t="shared" si="19"/>
        <v/>
      </c>
      <c r="O125" t="str">
        <f t="shared" si="20"/>
        <v/>
      </c>
      <c r="P125" t="str">
        <f t="shared" si="21"/>
        <v/>
      </c>
      <c r="Q125" t="str">
        <f t="shared" si="22"/>
        <v/>
      </c>
      <c r="R125" t="str">
        <f t="shared" si="23"/>
        <v/>
      </c>
      <c r="S125" t="str">
        <f>IF(M125="","",IF(L125="C",SUMIFS(Marginal_Model!$J:$J,Marginal_Model!$A:$A,B125,Marginal_Model!$C:$C,K125),IF(L125="T",SUMIFS(Marginal_Model!$K:$K,Marginal_Model!$A:$A,B125,Marginal_Model!$C:$C,K125),IF(L125="PT",SUMIFS(Marginal_Model!$L:$L,Marginal_Model!$A:$A,B125,Marginal_Model!$C:$C,K125),SUMIFS(Marginal_Model!$M:$M,Marginal_Model!$A:$A,B125,Marginal_Model!$C:$C,K125)))))</f>
        <v/>
      </c>
      <c r="T125" t="str">
        <f t="shared" si="24"/>
        <v/>
      </c>
      <c r="U125" t="str">
        <f>IF(M125="","",Inputs!$B$7*R125+Inputs!$B$8*T125)</f>
        <v/>
      </c>
      <c r="V125" t="str">
        <f t="shared" si="25"/>
        <v/>
      </c>
      <c r="W125">
        <f>Inputs!$B$9</f>
        <v>15</v>
      </c>
      <c r="X125" t="str">
        <f t="shared" si="26"/>
        <v/>
      </c>
      <c r="Y125" t="str">
        <f t="shared" si="27"/>
        <v/>
      </c>
      <c r="Z125" t="str">
        <f t="shared" si="28"/>
        <v/>
      </c>
      <c r="AA125" t="str">
        <f>IF(M125="","",Inputs!$B$7*Z125+Inputs!$B$8*T125)</f>
        <v/>
      </c>
      <c r="AB125" t="str">
        <f t="shared" si="29"/>
        <v/>
      </c>
    </row>
    <row r="126" spans="1:28">
      <c r="A126" t="s">
        <v>202</v>
      </c>
      <c r="B126">
        <v>1</v>
      </c>
      <c r="C126">
        <v>4</v>
      </c>
      <c r="D126">
        <v>0.2</v>
      </c>
      <c r="E126">
        <f>IF(B126=1,Inputs!$B$5,Inputs!$B$6)</f>
        <v>4</v>
      </c>
      <c r="F126">
        <f>E126*Inputs!$B$4</f>
        <v>60</v>
      </c>
      <c r="G126">
        <f t="shared" si="15"/>
        <v>15</v>
      </c>
      <c r="H126">
        <f t="shared" si="16"/>
        <v>15</v>
      </c>
      <c r="I126">
        <f t="shared" si="17"/>
        <v>15</v>
      </c>
      <c r="J126">
        <f t="shared" si="18"/>
        <v>0</v>
      </c>
      <c r="K126">
        <v>8</v>
      </c>
      <c r="L126" t="s">
        <v>197</v>
      </c>
      <c r="M126">
        <f>IF(L126="C",E126*COMBIN(Inputs!$B$4,K126),IF(L126="T",(Inputs!$B$4-K126+1)*E126^K126,IF(L126="PT",E126*(Inputs!$B$4-K126+1),IF(AND(L126="E",K126&lt;=E126),Inputs!$B$4*COMBIN(E126,K126),""))))</f>
        <v>25739.999999999996</v>
      </c>
      <c r="N126">
        <f t="shared" si="19"/>
        <v>6.4736789870091085E-2</v>
      </c>
      <c r="O126">
        <f t="shared" si="20"/>
        <v>6.4736789870091085E-2</v>
      </c>
      <c r="P126">
        <f t="shared" si="21"/>
        <v>6.4736789870091085E-2</v>
      </c>
      <c r="Q126">
        <f t="shared" si="22"/>
        <v>6.2685858511162817E-2</v>
      </c>
      <c r="R126">
        <f t="shared" si="23"/>
        <v>2.769619398868421</v>
      </c>
      <c r="S126">
        <f>IF(M126="","",IF(L126="C",SUMIFS(Marginal_Model!$J:$J,Marginal_Model!$A:$A,B126,Marginal_Model!$C:$C,K126),IF(L126="T",SUMIFS(Marginal_Model!$K:$K,Marginal_Model!$A:$A,B126,Marginal_Model!$C:$C,K126),IF(L126="PT",SUMIFS(Marginal_Model!$L:$L,Marginal_Model!$A:$A,B126,Marginal_Model!$C:$C,K126),SUMIFS(Marginal_Model!$M:$M,Marginal_Model!$A:$A,B126,Marginal_Model!$C:$C,K126)))))</f>
        <v>1.0060107205919367E-5</v>
      </c>
      <c r="T126">
        <f t="shared" si="24"/>
        <v>11.506932736697438</v>
      </c>
      <c r="U126">
        <f>IF(M126="","",Inputs!$B$7*R126+Inputs!$B$8*T126)</f>
        <v>4.5170820664342237</v>
      </c>
      <c r="V126">
        <f t="shared" si="25"/>
        <v>1.0920843517741382E-2</v>
      </c>
      <c r="W126">
        <f>Inputs!$B$9</f>
        <v>15</v>
      </c>
      <c r="X126">
        <f t="shared" si="26"/>
        <v>6.4736789870091085E-2</v>
      </c>
      <c r="Y126">
        <f t="shared" si="27"/>
        <v>6.2685858511162817E-2</v>
      </c>
      <c r="Z126">
        <f t="shared" si="28"/>
        <v>2.769619398868421</v>
      </c>
      <c r="AA126">
        <f>IF(M126="","",Inputs!$B$7*Z126+Inputs!$B$8*T126)</f>
        <v>4.5170820664342237</v>
      </c>
      <c r="AB126">
        <f t="shared" si="29"/>
        <v>1.0920843517741382E-2</v>
      </c>
    </row>
    <row r="127" spans="1:28">
      <c r="A127" t="s">
        <v>202</v>
      </c>
      <c r="B127">
        <v>1</v>
      </c>
      <c r="C127">
        <v>4</v>
      </c>
      <c r="D127">
        <v>0.2</v>
      </c>
      <c r="E127">
        <f>IF(B127=1,Inputs!$B$5,Inputs!$B$6)</f>
        <v>4</v>
      </c>
      <c r="F127">
        <f>E127*Inputs!$B$4</f>
        <v>60</v>
      </c>
      <c r="G127">
        <f t="shared" si="15"/>
        <v>15</v>
      </c>
      <c r="H127">
        <f t="shared" si="16"/>
        <v>15</v>
      </c>
      <c r="I127">
        <f t="shared" si="17"/>
        <v>15</v>
      </c>
      <c r="J127">
        <f t="shared" si="18"/>
        <v>0</v>
      </c>
      <c r="K127">
        <v>8</v>
      </c>
      <c r="L127" t="s">
        <v>198</v>
      </c>
      <c r="M127">
        <f>IF(L127="C",E127*COMBIN(Inputs!$B$4,K127),IF(L127="T",(Inputs!$B$4-K127+1)*E127^K127,IF(L127="PT",E127*(Inputs!$B$4-K127+1),IF(AND(L127="E",K127&lt;=E127),Inputs!$B$4*COMBIN(E127,K127),""))))</f>
        <v>524288</v>
      </c>
      <c r="N127">
        <f t="shared" si="19"/>
        <v>1.3185983716942626</v>
      </c>
      <c r="O127">
        <f t="shared" si="20"/>
        <v>1.3185983716942626</v>
      </c>
      <c r="P127">
        <f t="shared" si="21"/>
        <v>1.3185983716942626</v>
      </c>
      <c r="Q127">
        <f t="shared" si="22"/>
        <v>0.73249001110889378</v>
      </c>
      <c r="R127">
        <f t="shared" si="23"/>
        <v>0.31130557489530331</v>
      </c>
      <c r="S127">
        <f>IF(M127="","",IF(L127="C",SUMIFS(Marginal_Model!$J:$J,Marginal_Model!$A:$A,B127,Marginal_Model!$C:$C,K127),IF(L127="T",SUMIFS(Marginal_Model!$K:$K,Marginal_Model!$A:$A,B127,Marginal_Model!$C:$C,K127),IF(L127="PT",SUMIFS(Marginal_Model!$L:$L,Marginal_Model!$A:$A,B127,Marginal_Model!$C:$C,K127),SUMIFS(Marginal_Model!$M:$M,Marginal_Model!$A:$A,B127,Marginal_Model!$C:$C,K127)))))</f>
        <v>9.7576377081752583E-7</v>
      </c>
      <c r="T127">
        <f t="shared" si="24"/>
        <v>13.840045317926064</v>
      </c>
      <c r="U127">
        <f>IF(M127="","",Inputs!$B$7*R127+Inputs!$B$8*T127)</f>
        <v>3.0170535235014548</v>
      </c>
      <c r="V127">
        <f t="shared" si="25"/>
        <v>4.8945222052578639E-2</v>
      </c>
      <c r="W127">
        <f>Inputs!$B$9</f>
        <v>15</v>
      </c>
      <c r="X127">
        <f t="shared" si="26"/>
        <v>1.3185983716942626</v>
      </c>
      <c r="Y127">
        <f t="shared" si="27"/>
        <v>0.73249001110889378</v>
      </c>
      <c r="Z127">
        <f t="shared" si="28"/>
        <v>0.31130557489530331</v>
      </c>
      <c r="AA127">
        <f>IF(M127="","",Inputs!$B$7*Z127+Inputs!$B$8*T127)</f>
        <v>3.0170535235014548</v>
      </c>
      <c r="AB127">
        <f t="shared" si="29"/>
        <v>4.8945222052578639E-2</v>
      </c>
    </row>
    <row r="128" spans="1:28">
      <c r="A128" t="s">
        <v>202</v>
      </c>
      <c r="B128">
        <v>1</v>
      </c>
      <c r="C128">
        <v>4</v>
      </c>
      <c r="D128">
        <v>0.2</v>
      </c>
      <c r="E128">
        <f>IF(B128=1,Inputs!$B$5,Inputs!$B$6)</f>
        <v>4</v>
      </c>
      <c r="F128">
        <f>E128*Inputs!$B$4</f>
        <v>60</v>
      </c>
      <c r="G128">
        <f t="shared" si="15"/>
        <v>15</v>
      </c>
      <c r="H128">
        <f t="shared" si="16"/>
        <v>15</v>
      </c>
      <c r="I128">
        <f t="shared" si="17"/>
        <v>15</v>
      </c>
      <c r="J128">
        <f t="shared" si="18"/>
        <v>0</v>
      </c>
      <c r="K128">
        <v>8</v>
      </c>
      <c r="L128" t="s">
        <v>199</v>
      </c>
      <c r="M128">
        <f>IF(L128="C",E128*COMBIN(Inputs!$B$4,K128),IF(L128="T",(Inputs!$B$4-K128+1)*E128^K128,IF(L128="PT",E128*(Inputs!$B$4-K128+1),IF(AND(L128="E",K128&lt;=E128),Inputs!$B$4*COMBIN(E128,K128),""))))</f>
        <v>32</v>
      </c>
      <c r="N128">
        <f t="shared" si="19"/>
        <v>8.0480857647354897E-5</v>
      </c>
      <c r="O128">
        <f t="shared" si="20"/>
        <v>8.0480857647354897E-5</v>
      </c>
      <c r="P128">
        <f t="shared" si="21"/>
        <v>8.0480857647354897E-5</v>
      </c>
      <c r="Q128">
        <f t="shared" si="22"/>
        <v>8.0477619149976753E-5</v>
      </c>
      <c r="R128">
        <f t="shared" si="23"/>
        <v>9.4275314351769666</v>
      </c>
      <c r="S128">
        <f>IF(M128="","",IF(L128="C",SUMIFS(Marginal_Model!$J:$J,Marginal_Model!$A:$A,B128,Marginal_Model!$C:$C,K128),IF(L128="T",SUMIFS(Marginal_Model!$K:$K,Marginal_Model!$A:$A,B128,Marginal_Model!$C:$C,K128),IF(L128="PT",SUMIFS(Marginal_Model!$L:$L,Marginal_Model!$A:$A,B128,Marginal_Model!$C:$C,K128),SUMIFS(Marginal_Model!$M:$M,Marginal_Model!$A:$A,B128,Marginal_Model!$C:$C,K128)))))</f>
        <v>5.9555894214936879E-11</v>
      </c>
      <c r="T128">
        <f t="shared" si="24"/>
        <v>23.544105845765298</v>
      </c>
      <c r="U128">
        <f>IF(M128="","",Inputs!$B$7*R128+Inputs!$B$8*T128)</f>
        <v>12.250846317294631</v>
      </c>
      <c r="V128">
        <f t="shared" si="25"/>
        <v>4.781069377717132E-6</v>
      </c>
      <c r="W128">
        <f>Inputs!$B$9</f>
        <v>15</v>
      </c>
      <c r="X128">
        <f t="shared" si="26"/>
        <v>8.0480857647354897E-5</v>
      </c>
      <c r="Y128">
        <f t="shared" si="27"/>
        <v>8.0477619149976753E-5</v>
      </c>
      <c r="Z128">
        <f t="shared" si="28"/>
        <v>9.4275314351769666</v>
      </c>
      <c r="AA128">
        <f>IF(M128="","",Inputs!$B$7*Z128+Inputs!$B$8*T128)</f>
        <v>12.250846317294631</v>
      </c>
      <c r="AB128">
        <f t="shared" si="29"/>
        <v>4.781069377717132E-6</v>
      </c>
    </row>
    <row r="129" spans="1:28">
      <c r="A129" t="s">
        <v>202</v>
      </c>
      <c r="B129">
        <v>1</v>
      </c>
      <c r="C129">
        <v>4</v>
      </c>
      <c r="D129">
        <v>0.2</v>
      </c>
      <c r="E129">
        <f>IF(B129=1,Inputs!$B$5,Inputs!$B$6)</f>
        <v>4</v>
      </c>
      <c r="F129">
        <f>E129*Inputs!$B$4</f>
        <v>60</v>
      </c>
      <c r="G129">
        <f t="shared" si="15"/>
        <v>15</v>
      </c>
      <c r="H129">
        <f t="shared" si="16"/>
        <v>15</v>
      </c>
      <c r="I129">
        <f t="shared" si="17"/>
        <v>15</v>
      </c>
      <c r="J129">
        <f t="shared" si="18"/>
        <v>0</v>
      </c>
      <c r="K129">
        <v>8</v>
      </c>
      <c r="L129" t="s">
        <v>200</v>
      </c>
      <c r="M129" t="str">
        <f>IF(L129="C",E129*COMBIN(Inputs!$B$4,K129),IF(L129="T",(Inputs!$B$4-K129+1)*E129^K129,IF(L129="PT",E129*(Inputs!$B$4-K129+1),IF(AND(L129="E",K129&lt;=E129),Inputs!$B$4*COMBIN(E129,K129),""))))</f>
        <v/>
      </c>
      <c r="N129" t="str">
        <f t="shared" si="19"/>
        <v/>
      </c>
      <c r="O129" t="str">
        <f t="shared" si="20"/>
        <v/>
      </c>
      <c r="P129" t="str">
        <f t="shared" si="21"/>
        <v/>
      </c>
      <c r="Q129" t="str">
        <f t="shared" si="22"/>
        <v/>
      </c>
      <c r="R129" t="str">
        <f t="shared" si="23"/>
        <v/>
      </c>
      <c r="S129" t="str">
        <f>IF(M129="","",IF(L129="C",SUMIFS(Marginal_Model!$J:$J,Marginal_Model!$A:$A,B129,Marginal_Model!$C:$C,K129),IF(L129="T",SUMIFS(Marginal_Model!$K:$K,Marginal_Model!$A:$A,B129,Marginal_Model!$C:$C,K129),IF(L129="PT",SUMIFS(Marginal_Model!$L:$L,Marginal_Model!$A:$A,B129,Marginal_Model!$C:$C,K129),SUMIFS(Marginal_Model!$M:$M,Marginal_Model!$A:$A,B129,Marginal_Model!$C:$C,K129)))))</f>
        <v/>
      </c>
      <c r="T129" t="str">
        <f t="shared" si="24"/>
        <v/>
      </c>
      <c r="U129" t="str">
        <f>IF(M129="","",Inputs!$B$7*R129+Inputs!$B$8*T129)</f>
        <v/>
      </c>
      <c r="V129" t="str">
        <f t="shared" si="25"/>
        <v/>
      </c>
      <c r="W129">
        <f>Inputs!$B$9</f>
        <v>15</v>
      </c>
      <c r="X129" t="str">
        <f t="shared" si="26"/>
        <v/>
      </c>
      <c r="Y129" t="str">
        <f t="shared" si="27"/>
        <v/>
      </c>
      <c r="Z129" t="str">
        <f t="shared" si="28"/>
        <v/>
      </c>
      <c r="AA129" t="str">
        <f>IF(M129="","",Inputs!$B$7*Z129+Inputs!$B$8*T129)</f>
        <v/>
      </c>
      <c r="AB129" t="str">
        <f t="shared" si="29"/>
        <v/>
      </c>
    </row>
    <row r="130" spans="1:28">
      <c r="A130" t="s">
        <v>202</v>
      </c>
      <c r="B130">
        <v>1</v>
      </c>
      <c r="C130">
        <v>4</v>
      </c>
      <c r="D130">
        <v>0.2</v>
      </c>
      <c r="E130">
        <f>IF(B130=1,Inputs!$B$5,Inputs!$B$6)</f>
        <v>4</v>
      </c>
      <c r="F130">
        <f>E130*Inputs!$B$4</f>
        <v>60</v>
      </c>
      <c r="G130">
        <f t="shared" ref="G130:G193" si="30">F130/C130</f>
        <v>15</v>
      </c>
      <c r="H130">
        <f t="shared" ref="H130:H193" si="31">ROUNDDOWN(G130,0)</f>
        <v>15</v>
      </c>
      <c r="I130">
        <f t="shared" ref="I130:I193" si="32">ROUNDUP(G130,0)</f>
        <v>15</v>
      </c>
      <c r="J130">
        <f t="shared" ref="J130:J193" si="33">G130-H130</f>
        <v>0</v>
      </c>
      <c r="K130">
        <v>9</v>
      </c>
      <c r="L130" t="s">
        <v>197</v>
      </c>
      <c r="M130">
        <f>IF(L130="C",E130*COMBIN(Inputs!$B$4,K130),IF(L130="T",(Inputs!$B$4-K130+1)*E130^K130,IF(L130="PT",E130*(Inputs!$B$4-K130+1),IF(AND(L130="E",K130&lt;=E130),Inputs!$B$4*COMBIN(E130,K130),""))))</f>
        <v>20020</v>
      </c>
      <c r="N130">
        <f t="shared" ref="N130:N193" si="34">IF(OR(M130="",H130&lt;K130),"",M130*COMBIN(F130-K130,H130-K130)/COMBIN(F130,H130))</f>
        <v>6.77799722998817E-3</v>
      </c>
      <c r="O130">
        <f t="shared" ref="O130:O193" si="35">IF(OR(M130="",I130&lt;K130),"",M130*COMBIN(F130-K130,I130-K130)/COMBIN(F130,I130))</f>
        <v>6.77799722998817E-3</v>
      </c>
      <c r="P130">
        <f t="shared" ref="P130:P193" si="36">IF(M130="","",IF(H130=I130,N130,(1-J130)*N130+J130*O130))</f>
        <v>6.77799722998817E-3</v>
      </c>
      <c r="Q130">
        <f t="shared" ref="Q130:Q193" si="37">IF(P130="","",1-EXP(-P130))</f>
        <v>6.7550784172143441E-3</v>
      </c>
      <c r="R130">
        <f t="shared" ref="R130:R193" si="38">IF(Q130="","",-LN(Q130))</f>
        <v>4.9974606988713539</v>
      </c>
      <c r="S130">
        <f>IF(M130="","",IF(L130="C",SUMIFS(Marginal_Model!$J:$J,Marginal_Model!$A:$A,B130,Marginal_Model!$C:$C,K130),IF(L130="T",SUMIFS(Marginal_Model!$K:$K,Marginal_Model!$A:$A,B130,Marginal_Model!$C:$C,K130),IF(L130="PT",SUMIFS(Marginal_Model!$L:$L,Marginal_Model!$A:$A,B130,Marginal_Model!$C:$C,K130),SUMIFS(Marginal_Model!$M:$M,Marginal_Model!$A:$A,B130,Marginal_Model!$C:$C,K130)))))</f>
        <v>1.3542452007968379E-6</v>
      </c>
      <c r="T130">
        <f t="shared" ref="T130:T193" si="39">IF(S130="","",-LN(S130))</f>
        <v>13.512266306223552</v>
      </c>
      <c r="U130">
        <f>IF(M130="","",Inputs!$B$7*R130+Inputs!$B$8*T130)</f>
        <v>6.7004218203417931</v>
      </c>
      <c r="V130">
        <f t="shared" ref="V130:V193" si="40">IF(U130="","",EXP(-U130))</f>
        <v>1.2303927884881371E-3</v>
      </c>
      <c r="W130">
        <f>Inputs!$B$9</f>
        <v>15</v>
      </c>
      <c r="X130">
        <f t="shared" ref="X130:X193" si="41">IF(OR(M130="",W130&lt;K130),"",M130*COMBIN(F130-K130,W130-K130)/COMBIN(F130,W130))</f>
        <v>6.77799722998817E-3</v>
      </c>
      <c r="Y130">
        <f t="shared" ref="Y130:Y193" si="42">IF(X130="","",1-EXP(-X130))</f>
        <v>6.7550784172143441E-3</v>
      </c>
      <c r="Z130">
        <f t="shared" ref="Z130:Z193" si="43">IF(Y130="","",-LN(Y130))</f>
        <v>4.9974606988713539</v>
      </c>
      <c r="AA130">
        <f>IF(M130="","",Inputs!$B$7*Z130+Inputs!$B$8*T130)</f>
        <v>6.7004218203417931</v>
      </c>
      <c r="AB130">
        <f t="shared" ref="AB130:AB193" si="44">IF(AA130="","",EXP(-AA130))</f>
        <v>1.2303927884881371E-3</v>
      </c>
    </row>
    <row r="131" spans="1:28">
      <c r="A131" t="s">
        <v>202</v>
      </c>
      <c r="B131">
        <v>1</v>
      </c>
      <c r="C131">
        <v>4</v>
      </c>
      <c r="D131">
        <v>0.2</v>
      </c>
      <c r="E131">
        <f>IF(B131=1,Inputs!$B$5,Inputs!$B$6)</f>
        <v>4</v>
      </c>
      <c r="F131">
        <f>E131*Inputs!$B$4</f>
        <v>60</v>
      </c>
      <c r="G131">
        <f t="shared" si="30"/>
        <v>15</v>
      </c>
      <c r="H131">
        <f t="shared" si="31"/>
        <v>15</v>
      </c>
      <c r="I131">
        <f t="shared" si="32"/>
        <v>15</v>
      </c>
      <c r="J131">
        <f t="shared" si="33"/>
        <v>0</v>
      </c>
      <c r="K131">
        <v>9</v>
      </c>
      <c r="L131" t="s">
        <v>198</v>
      </c>
      <c r="M131">
        <f>IF(L131="C",E131*COMBIN(Inputs!$B$4,K131),IF(L131="T",(Inputs!$B$4-K131+1)*E131^K131,IF(L131="PT",E131*(Inputs!$B$4-K131+1),IF(AND(L131="E",K131&lt;=E131),Inputs!$B$4*COMBIN(E131,K131),""))))</f>
        <v>1835008</v>
      </c>
      <c r="N131">
        <f t="shared" si="34"/>
        <v>0.62126269435595061</v>
      </c>
      <c r="O131">
        <f t="shared" si="35"/>
        <v>0.62126269435595061</v>
      </c>
      <c r="P131">
        <f t="shared" si="36"/>
        <v>0.62126269435595061</v>
      </c>
      <c r="Q131">
        <f t="shared" si="37"/>
        <v>0.46273439314242737</v>
      </c>
      <c r="R131">
        <f t="shared" si="38"/>
        <v>0.77060205442374252</v>
      </c>
      <c r="S131">
        <f>IF(M131="","",IF(L131="C",SUMIFS(Marginal_Model!$J:$J,Marginal_Model!$A:$A,B131,Marginal_Model!$C:$C,K131),IF(L131="T",SUMIFS(Marginal_Model!$K:$K,Marginal_Model!$A:$A,B131,Marginal_Model!$C:$C,K131),IF(L131="PT",SUMIFS(Marginal_Model!$L:$L,Marginal_Model!$A:$A,B131,Marginal_Model!$C:$C,K131),SUMIFS(Marginal_Model!$M:$M,Marginal_Model!$A:$A,B131,Marginal_Model!$C:$C,K131)))))</f>
        <v>1.3135281530235925E-7</v>
      </c>
      <c r="T131">
        <f t="shared" si="39"/>
        <v>15.845378887452178</v>
      </c>
      <c r="U131">
        <f>IF(M131="","",Inputs!$B$7*R131+Inputs!$B$8*T131)</f>
        <v>3.7855574210294289</v>
      </c>
      <c r="V131">
        <f t="shared" si="40"/>
        <v>2.2696207906438257E-2</v>
      </c>
      <c r="W131">
        <f>Inputs!$B$9</f>
        <v>15</v>
      </c>
      <c r="X131">
        <f t="shared" si="41"/>
        <v>0.62126269435595061</v>
      </c>
      <c r="Y131">
        <f t="shared" si="42"/>
        <v>0.46273439314242737</v>
      </c>
      <c r="Z131">
        <f t="shared" si="43"/>
        <v>0.77060205442374252</v>
      </c>
      <c r="AA131">
        <f>IF(M131="","",Inputs!$B$7*Z131+Inputs!$B$8*T131)</f>
        <v>3.7855574210294289</v>
      </c>
      <c r="AB131">
        <f t="shared" si="44"/>
        <v>2.2696207906438257E-2</v>
      </c>
    </row>
    <row r="132" spans="1:28">
      <c r="A132" t="s">
        <v>202</v>
      </c>
      <c r="B132">
        <v>1</v>
      </c>
      <c r="C132">
        <v>4</v>
      </c>
      <c r="D132">
        <v>0.2</v>
      </c>
      <c r="E132">
        <f>IF(B132=1,Inputs!$B$5,Inputs!$B$6)</f>
        <v>4</v>
      </c>
      <c r="F132">
        <f>E132*Inputs!$B$4</f>
        <v>60</v>
      </c>
      <c r="G132">
        <f t="shared" si="30"/>
        <v>15</v>
      </c>
      <c r="H132">
        <f t="shared" si="31"/>
        <v>15</v>
      </c>
      <c r="I132">
        <f t="shared" si="32"/>
        <v>15</v>
      </c>
      <c r="J132">
        <f t="shared" si="33"/>
        <v>0</v>
      </c>
      <c r="K132">
        <v>9</v>
      </c>
      <c r="L132" t="s">
        <v>199</v>
      </c>
      <c r="M132">
        <f>IF(L132="C",E132*COMBIN(Inputs!$B$4,K132),IF(L132="T",(Inputs!$B$4-K132+1)*E132^K132,IF(L132="PT",E132*(Inputs!$B$4-K132+1),IF(AND(L132="E",K132&lt;=E132),Inputs!$B$4*COMBIN(E132,K132),""))))</f>
        <v>28</v>
      </c>
      <c r="N132">
        <f t="shared" si="34"/>
        <v>9.4797164055778596E-6</v>
      </c>
      <c r="O132">
        <f t="shared" si="35"/>
        <v>9.4797164055778596E-6</v>
      </c>
      <c r="P132">
        <f t="shared" si="36"/>
        <v>9.4797164055778596E-6</v>
      </c>
      <c r="Q132">
        <f t="shared" si="37"/>
        <v>9.4796714732447995E-6</v>
      </c>
      <c r="R132">
        <f t="shared" si="38"/>
        <v>11.566360897018845</v>
      </c>
      <c r="S132">
        <f>IF(M132="","",IF(L132="C",SUMIFS(Marginal_Model!$J:$J,Marginal_Model!$A:$A,B132,Marginal_Model!$C:$C,K132),IF(L132="T",SUMIFS(Marginal_Model!$K:$K,Marginal_Model!$A:$A,B132,Marginal_Model!$C:$C,K132),IF(L132="PT",SUMIFS(Marginal_Model!$L:$L,Marginal_Model!$A:$A,B132,Marginal_Model!$C:$C,K132),SUMIFS(Marginal_Model!$M:$M,Marginal_Model!$A:$A,B132,Marginal_Model!$C:$C,K132)))))</f>
        <v>2.004284901464222E-12</v>
      </c>
      <c r="T132">
        <f t="shared" si="39"/>
        <v>26.935733776411304</v>
      </c>
      <c r="U132">
        <f>IF(M132="","",Inputs!$B$7*R132+Inputs!$B$8*T132)</f>
        <v>14.640235472897336</v>
      </c>
      <c r="V132">
        <f t="shared" si="40"/>
        <v>4.3835556094972061E-7</v>
      </c>
      <c r="W132">
        <f>Inputs!$B$9</f>
        <v>15</v>
      </c>
      <c r="X132">
        <f t="shared" si="41"/>
        <v>9.4797164055778596E-6</v>
      </c>
      <c r="Y132">
        <f t="shared" si="42"/>
        <v>9.4796714732447995E-6</v>
      </c>
      <c r="Z132">
        <f t="shared" si="43"/>
        <v>11.566360897018845</v>
      </c>
      <c r="AA132">
        <f>IF(M132="","",Inputs!$B$7*Z132+Inputs!$B$8*T132)</f>
        <v>14.640235472897336</v>
      </c>
      <c r="AB132">
        <f t="shared" si="44"/>
        <v>4.3835556094972061E-7</v>
      </c>
    </row>
    <row r="133" spans="1:28">
      <c r="A133" t="s">
        <v>202</v>
      </c>
      <c r="B133">
        <v>1</v>
      </c>
      <c r="C133">
        <v>4</v>
      </c>
      <c r="D133">
        <v>0.2</v>
      </c>
      <c r="E133">
        <f>IF(B133=1,Inputs!$B$5,Inputs!$B$6)</f>
        <v>4</v>
      </c>
      <c r="F133">
        <f>E133*Inputs!$B$4</f>
        <v>60</v>
      </c>
      <c r="G133">
        <f t="shared" si="30"/>
        <v>15</v>
      </c>
      <c r="H133">
        <f t="shared" si="31"/>
        <v>15</v>
      </c>
      <c r="I133">
        <f t="shared" si="32"/>
        <v>15</v>
      </c>
      <c r="J133">
        <f t="shared" si="33"/>
        <v>0</v>
      </c>
      <c r="K133">
        <v>9</v>
      </c>
      <c r="L133" t="s">
        <v>200</v>
      </c>
      <c r="M133" t="str">
        <f>IF(L133="C",E133*COMBIN(Inputs!$B$4,K133),IF(L133="T",(Inputs!$B$4-K133+1)*E133^K133,IF(L133="PT",E133*(Inputs!$B$4-K133+1),IF(AND(L133="E",K133&lt;=E133),Inputs!$B$4*COMBIN(E133,K133),""))))</f>
        <v/>
      </c>
      <c r="N133" t="str">
        <f t="shared" si="34"/>
        <v/>
      </c>
      <c r="O133" t="str">
        <f t="shared" si="35"/>
        <v/>
      </c>
      <c r="P133" t="str">
        <f t="shared" si="36"/>
        <v/>
      </c>
      <c r="Q133" t="str">
        <f t="shared" si="37"/>
        <v/>
      </c>
      <c r="R133" t="str">
        <f t="shared" si="38"/>
        <v/>
      </c>
      <c r="S133" t="str">
        <f>IF(M133="","",IF(L133="C",SUMIFS(Marginal_Model!$J:$J,Marginal_Model!$A:$A,B133,Marginal_Model!$C:$C,K133),IF(L133="T",SUMIFS(Marginal_Model!$K:$K,Marginal_Model!$A:$A,B133,Marginal_Model!$C:$C,K133),IF(L133="PT",SUMIFS(Marginal_Model!$L:$L,Marginal_Model!$A:$A,B133,Marginal_Model!$C:$C,K133),SUMIFS(Marginal_Model!$M:$M,Marginal_Model!$A:$A,B133,Marginal_Model!$C:$C,K133)))))</f>
        <v/>
      </c>
      <c r="T133" t="str">
        <f t="shared" si="39"/>
        <v/>
      </c>
      <c r="U133" t="str">
        <f>IF(M133="","",Inputs!$B$7*R133+Inputs!$B$8*T133)</f>
        <v/>
      </c>
      <c r="V133" t="str">
        <f t="shared" si="40"/>
        <v/>
      </c>
      <c r="W133">
        <f>Inputs!$B$9</f>
        <v>15</v>
      </c>
      <c r="X133" t="str">
        <f t="shared" si="41"/>
        <v/>
      </c>
      <c r="Y133" t="str">
        <f t="shared" si="42"/>
        <v/>
      </c>
      <c r="Z133" t="str">
        <f t="shared" si="43"/>
        <v/>
      </c>
      <c r="AA133" t="str">
        <f>IF(M133="","",Inputs!$B$7*Z133+Inputs!$B$8*T133)</f>
        <v/>
      </c>
      <c r="AB133" t="str">
        <f t="shared" si="44"/>
        <v/>
      </c>
    </row>
    <row r="134" spans="1:28">
      <c r="A134" t="s">
        <v>202</v>
      </c>
      <c r="B134">
        <v>1</v>
      </c>
      <c r="C134">
        <v>4</v>
      </c>
      <c r="D134">
        <v>0.2</v>
      </c>
      <c r="E134">
        <f>IF(B134=1,Inputs!$B$5,Inputs!$B$6)</f>
        <v>4</v>
      </c>
      <c r="F134">
        <f>E134*Inputs!$B$4</f>
        <v>60</v>
      </c>
      <c r="G134">
        <f t="shared" si="30"/>
        <v>15</v>
      </c>
      <c r="H134">
        <f t="shared" si="31"/>
        <v>15</v>
      </c>
      <c r="I134">
        <f t="shared" si="32"/>
        <v>15</v>
      </c>
      <c r="J134">
        <f t="shared" si="33"/>
        <v>0</v>
      </c>
      <c r="K134">
        <v>10</v>
      </c>
      <c r="L134" t="s">
        <v>197</v>
      </c>
      <c r="M134">
        <f>IF(L134="C",E134*COMBIN(Inputs!$B$4,K134),IF(L134="T",(Inputs!$B$4-K134+1)*E134^K134,IF(L134="PT",E134*(Inputs!$B$4-K134+1),IF(AND(L134="E",K134&lt;=E134),Inputs!$B$4*COMBIN(E134,K134),""))))</f>
        <v>12012</v>
      </c>
      <c r="N134">
        <f t="shared" si="34"/>
        <v>4.784468632932825E-4</v>
      </c>
      <c r="O134">
        <f t="shared" si="35"/>
        <v>4.784468632932825E-4</v>
      </c>
      <c r="P134">
        <f t="shared" si="36"/>
        <v>4.784468632932825E-4</v>
      </c>
      <c r="Q134">
        <f t="shared" si="37"/>
        <v>4.7833242584427449E-4</v>
      </c>
      <c r="R134">
        <f t="shared" si="38"/>
        <v>7.6452046156301323</v>
      </c>
      <c r="S134">
        <f>IF(M134="","",IF(L134="C",SUMIFS(Marginal_Model!$J:$J,Marginal_Model!$A:$A,B134,Marginal_Model!$C:$C,K134),IF(L134="T",SUMIFS(Marginal_Model!$K:$K,Marginal_Model!$A:$A,B134,Marginal_Model!$C:$C,K134),IF(L134="PT",SUMIFS(Marginal_Model!$L:$L,Marginal_Model!$A:$A,B134,Marginal_Model!$C:$C,K134),SUMIFS(Marginal_Model!$M:$M,Marginal_Model!$A:$A,B134,Marginal_Model!$C:$C,K134)))))</f>
        <v>1.5932296479962799E-7</v>
      </c>
      <c r="T134">
        <f t="shared" si="39"/>
        <v>15.652332469719823</v>
      </c>
      <c r="U134">
        <f>IF(M134="","",Inputs!$B$7*R134+Inputs!$B$8*T134)</f>
        <v>9.2466301864480691</v>
      </c>
      <c r="V134">
        <f t="shared" si="40"/>
        <v>9.6436076727323384E-5</v>
      </c>
      <c r="W134">
        <f>Inputs!$B$9</f>
        <v>15</v>
      </c>
      <c r="X134">
        <f t="shared" si="41"/>
        <v>4.784468632932825E-4</v>
      </c>
      <c r="Y134">
        <f t="shared" si="42"/>
        <v>4.7833242584427449E-4</v>
      </c>
      <c r="Z134">
        <f t="shared" si="43"/>
        <v>7.6452046156301323</v>
      </c>
      <c r="AA134">
        <f>IF(M134="","",Inputs!$B$7*Z134+Inputs!$B$8*T134)</f>
        <v>9.2466301864480691</v>
      </c>
      <c r="AB134">
        <f t="shared" si="44"/>
        <v>9.6436076727323384E-5</v>
      </c>
    </row>
    <row r="135" spans="1:28">
      <c r="A135" t="s">
        <v>202</v>
      </c>
      <c r="B135">
        <v>1</v>
      </c>
      <c r="C135">
        <v>4</v>
      </c>
      <c r="D135">
        <v>0.2</v>
      </c>
      <c r="E135">
        <f>IF(B135=1,Inputs!$B$5,Inputs!$B$6)</f>
        <v>4</v>
      </c>
      <c r="F135">
        <f>E135*Inputs!$B$4</f>
        <v>60</v>
      </c>
      <c r="G135">
        <f t="shared" si="30"/>
        <v>15</v>
      </c>
      <c r="H135">
        <f t="shared" si="31"/>
        <v>15</v>
      </c>
      <c r="I135">
        <f t="shared" si="32"/>
        <v>15</v>
      </c>
      <c r="J135">
        <f t="shared" si="33"/>
        <v>0</v>
      </c>
      <c r="K135">
        <v>10</v>
      </c>
      <c r="L135" t="s">
        <v>198</v>
      </c>
      <c r="M135">
        <f>IF(L135="C",E135*COMBIN(Inputs!$B$4,K135),IF(L135="T",(Inputs!$B$4-K135+1)*E135^K135,IF(L135="PT",E135*(Inputs!$B$4-K135+1),IF(AND(L135="E",K135&lt;=E135),Inputs!$B$4*COMBIN(E135,K135),""))))</f>
        <v>6291456</v>
      </c>
      <c r="N135">
        <f t="shared" si="34"/>
        <v>0.25059335570660191</v>
      </c>
      <c r="O135">
        <f t="shared" si="35"/>
        <v>0.25059335570660191</v>
      </c>
      <c r="P135">
        <f t="shared" si="36"/>
        <v>0.25059335570660191</v>
      </c>
      <c r="Q135">
        <f t="shared" si="37"/>
        <v>0.22166118574806515</v>
      </c>
      <c r="R135">
        <f t="shared" si="38"/>
        <v>1.5066052532486622</v>
      </c>
      <c r="S135">
        <f>IF(M135="","",IF(L135="C",SUMIFS(Marginal_Model!$J:$J,Marginal_Model!$A:$A,B135,Marginal_Model!$C:$C,K135),IF(L135="T",SUMIFS(Marginal_Model!$K:$K,Marginal_Model!$A:$A,B135,Marginal_Model!$C:$C,K135),IF(L135="PT",SUMIFS(Marginal_Model!$L:$L,Marginal_Model!$A:$A,B135,Marginal_Model!$C:$C,K135),SUMIFS(Marginal_Model!$M:$M,Marginal_Model!$A:$A,B135,Marginal_Model!$C:$C,K135)))))</f>
        <v>1.7660882729728973E-8</v>
      </c>
      <c r="T135">
        <f t="shared" si="39"/>
        <v>17.851913658323927</v>
      </c>
      <c r="U135">
        <f>IF(M135="","",Inputs!$B$7*R135+Inputs!$B$8*T135)</f>
        <v>4.7756669342637146</v>
      </c>
      <c r="V135">
        <f t="shared" si="40"/>
        <v>8.4324583162718163E-3</v>
      </c>
      <c r="W135">
        <f>Inputs!$B$9</f>
        <v>15</v>
      </c>
      <c r="X135">
        <f t="shared" si="41"/>
        <v>0.25059335570660191</v>
      </c>
      <c r="Y135">
        <f t="shared" si="42"/>
        <v>0.22166118574806515</v>
      </c>
      <c r="Z135">
        <f t="shared" si="43"/>
        <v>1.5066052532486622</v>
      </c>
      <c r="AA135">
        <f>IF(M135="","",Inputs!$B$7*Z135+Inputs!$B$8*T135)</f>
        <v>4.7756669342637146</v>
      </c>
      <c r="AB135">
        <f t="shared" si="44"/>
        <v>8.4324583162718163E-3</v>
      </c>
    </row>
    <row r="136" spans="1:28">
      <c r="A136" t="s">
        <v>202</v>
      </c>
      <c r="B136">
        <v>1</v>
      </c>
      <c r="C136">
        <v>4</v>
      </c>
      <c r="D136">
        <v>0.2</v>
      </c>
      <c r="E136">
        <f>IF(B136=1,Inputs!$B$5,Inputs!$B$6)</f>
        <v>4</v>
      </c>
      <c r="F136">
        <f>E136*Inputs!$B$4</f>
        <v>60</v>
      </c>
      <c r="G136">
        <f t="shared" si="30"/>
        <v>15</v>
      </c>
      <c r="H136">
        <f t="shared" si="31"/>
        <v>15</v>
      </c>
      <c r="I136">
        <f t="shared" si="32"/>
        <v>15</v>
      </c>
      <c r="J136">
        <f t="shared" si="33"/>
        <v>0</v>
      </c>
      <c r="K136">
        <v>10</v>
      </c>
      <c r="L136" t="s">
        <v>199</v>
      </c>
      <c r="M136">
        <f>IF(L136="C",E136*COMBIN(Inputs!$B$4,K136),IF(L136="T",(Inputs!$B$4-K136+1)*E136^K136,IF(L136="PT",E136*(Inputs!$B$4-K136+1),IF(AND(L136="E",K136&lt;=E136),Inputs!$B$4*COMBIN(E136,K136),""))))</f>
        <v>24</v>
      </c>
      <c r="N136">
        <f t="shared" si="34"/>
        <v>9.5593778879776728E-7</v>
      </c>
      <c r="O136">
        <f t="shared" si="35"/>
        <v>9.5593778879776728E-7</v>
      </c>
      <c r="P136">
        <f t="shared" si="36"/>
        <v>9.5593778879776728E-7</v>
      </c>
      <c r="Q136">
        <f t="shared" si="37"/>
        <v>9.5593733184795582E-7</v>
      </c>
      <c r="R136">
        <f t="shared" si="38"/>
        <v>13.860573478503964</v>
      </c>
      <c r="S136">
        <f>IF(M136="","",IF(L136="C",SUMIFS(Marginal_Model!$J:$J,Marginal_Model!$A:$A,B136,Marginal_Model!$C:$C,K136),IF(L136="T",SUMIFS(Marginal_Model!$K:$K,Marginal_Model!$A:$A,B136,Marginal_Model!$C:$C,K136),IF(L136="PT",SUMIFS(Marginal_Model!$L:$L,Marginal_Model!$A:$A,B136,Marginal_Model!$C:$C,K136),SUMIFS(Marginal_Model!$M:$M,Marginal_Model!$A:$A,B136,Marginal_Model!$C:$C,K136)))))</f>
        <v>6.7370921057620899E-14</v>
      </c>
      <c r="T136">
        <f t="shared" si="39"/>
        <v>30.32856290840294</v>
      </c>
      <c r="U136">
        <f>IF(M136="","",Inputs!$B$7*R136+Inputs!$B$8*T136)</f>
        <v>17.154171364483759</v>
      </c>
      <c r="V136">
        <f t="shared" si="40"/>
        <v>3.5484446455552813E-8</v>
      </c>
      <c r="W136">
        <f>Inputs!$B$9</f>
        <v>15</v>
      </c>
      <c r="X136">
        <f t="shared" si="41"/>
        <v>9.5593778879776728E-7</v>
      </c>
      <c r="Y136">
        <f t="shared" si="42"/>
        <v>9.5593733184795582E-7</v>
      </c>
      <c r="Z136">
        <f t="shared" si="43"/>
        <v>13.860573478503964</v>
      </c>
      <c r="AA136">
        <f>IF(M136="","",Inputs!$B$7*Z136+Inputs!$B$8*T136)</f>
        <v>17.154171364483759</v>
      </c>
      <c r="AB136">
        <f t="shared" si="44"/>
        <v>3.5484446455552813E-8</v>
      </c>
    </row>
    <row r="137" spans="1:28">
      <c r="A137" t="s">
        <v>202</v>
      </c>
      <c r="B137">
        <v>1</v>
      </c>
      <c r="C137">
        <v>4</v>
      </c>
      <c r="D137">
        <v>0.2</v>
      </c>
      <c r="E137">
        <f>IF(B137=1,Inputs!$B$5,Inputs!$B$6)</f>
        <v>4</v>
      </c>
      <c r="F137">
        <f>E137*Inputs!$B$4</f>
        <v>60</v>
      </c>
      <c r="G137">
        <f t="shared" si="30"/>
        <v>15</v>
      </c>
      <c r="H137">
        <f t="shared" si="31"/>
        <v>15</v>
      </c>
      <c r="I137">
        <f t="shared" si="32"/>
        <v>15</v>
      </c>
      <c r="J137">
        <f t="shared" si="33"/>
        <v>0</v>
      </c>
      <c r="K137">
        <v>10</v>
      </c>
      <c r="L137" t="s">
        <v>200</v>
      </c>
      <c r="M137" t="str">
        <f>IF(L137="C",E137*COMBIN(Inputs!$B$4,K137),IF(L137="T",(Inputs!$B$4-K137+1)*E137^K137,IF(L137="PT",E137*(Inputs!$B$4-K137+1),IF(AND(L137="E",K137&lt;=E137),Inputs!$B$4*COMBIN(E137,K137),""))))</f>
        <v/>
      </c>
      <c r="N137" t="str">
        <f t="shared" si="34"/>
        <v/>
      </c>
      <c r="O137" t="str">
        <f t="shared" si="35"/>
        <v/>
      </c>
      <c r="P137" t="str">
        <f t="shared" si="36"/>
        <v/>
      </c>
      <c r="Q137" t="str">
        <f t="shared" si="37"/>
        <v/>
      </c>
      <c r="R137" t="str">
        <f t="shared" si="38"/>
        <v/>
      </c>
      <c r="S137" t="str">
        <f>IF(M137="","",IF(L137="C",SUMIFS(Marginal_Model!$J:$J,Marginal_Model!$A:$A,B137,Marginal_Model!$C:$C,K137),IF(L137="T",SUMIFS(Marginal_Model!$K:$K,Marginal_Model!$A:$A,B137,Marginal_Model!$C:$C,K137),IF(L137="PT",SUMIFS(Marginal_Model!$L:$L,Marginal_Model!$A:$A,B137,Marginal_Model!$C:$C,K137),SUMIFS(Marginal_Model!$M:$M,Marginal_Model!$A:$A,B137,Marginal_Model!$C:$C,K137)))))</f>
        <v/>
      </c>
      <c r="T137" t="str">
        <f t="shared" si="39"/>
        <v/>
      </c>
      <c r="U137" t="str">
        <f>IF(M137="","",Inputs!$B$7*R137+Inputs!$B$8*T137)</f>
        <v/>
      </c>
      <c r="V137" t="str">
        <f t="shared" si="40"/>
        <v/>
      </c>
      <c r="W137">
        <f>Inputs!$B$9</f>
        <v>15</v>
      </c>
      <c r="X137" t="str">
        <f t="shared" si="41"/>
        <v/>
      </c>
      <c r="Y137" t="str">
        <f t="shared" si="42"/>
        <v/>
      </c>
      <c r="Z137" t="str">
        <f t="shared" si="43"/>
        <v/>
      </c>
      <c r="AA137" t="str">
        <f>IF(M137="","",Inputs!$B$7*Z137+Inputs!$B$8*T137)</f>
        <v/>
      </c>
      <c r="AB137" t="str">
        <f t="shared" si="44"/>
        <v/>
      </c>
    </row>
    <row r="138" spans="1:28">
      <c r="A138" t="s">
        <v>202</v>
      </c>
      <c r="B138">
        <v>1</v>
      </c>
      <c r="C138">
        <v>4</v>
      </c>
      <c r="D138">
        <v>0.2</v>
      </c>
      <c r="E138">
        <f>IF(B138=1,Inputs!$B$5,Inputs!$B$6)</f>
        <v>4</v>
      </c>
      <c r="F138">
        <f>E138*Inputs!$B$4</f>
        <v>60</v>
      </c>
      <c r="G138">
        <f t="shared" si="30"/>
        <v>15</v>
      </c>
      <c r="H138">
        <f t="shared" si="31"/>
        <v>15</v>
      </c>
      <c r="I138">
        <f t="shared" si="32"/>
        <v>15</v>
      </c>
      <c r="J138">
        <f t="shared" si="33"/>
        <v>0</v>
      </c>
      <c r="K138">
        <v>11</v>
      </c>
      <c r="L138" t="s">
        <v>197</v>
      </c>
      <c r="M138">
        <f>IF(L138="C",E138*COMBIN(Inputs!$B$4,K138),IF(L138="T",(Inputs!$B$4-K138+1)*E138^K138,IF(L138="PT",E138*(Inputs!$B$4-K138+1),IF(AND(L138="E",K138&lt;=E138),Inputs!$B$4*COMBIN(E138,K138),""))))</f>
        <v>5460</v>
      </c>
      <c r="N138">
        <f t="shared" si="34"/>
        <v>2.1747584695149204E-5</v>
      </c>
      <c r="O138">
        <f t="shared" si="35"/>
        <v>2.1747584695149204E-5</v>
      </c>
      <c r="P138">
        <f t="shared" si="36"/>
        <v>2.1747584695149204E-5</v>
      </c>
      <c r="Q138">
        <f t="shared" si="37"/>
        <v>2.1747348218137397E-5</v>
      </c>
      <c r="R138">
        <f t="shared" si="38"/>
        <v>10.736018728867728</v>
      </c>
      <c r="S138">
        <f>IF(M138="","",IF(L138="C",SUMIFS(Marginal_Model!$J:$J,Marginal_Model!$A:$A,B138,Marginal_Model!$C:$C,K138),IF(L138="T",SUMIFS(Marginal_Model!$K:$K,Marginal_Model!$A:$A,B138,Marginal_Model!$C:$C,K138),IF(L138="PT",SUMIFS(Marginal_Model!$L:$L,Marginal_Model!$A:$A,B138,Marginal_Model!$C:$C,K138),SUMIFS(Marginal_Model!$M:$M,Marginal_Model!$A:$A,B138,Marginal_Model!$C:$C,K138)))))</f>
        <v>1.5932296479962801E-8</v>
      </c>
      <c r="T138">
        <f t="shared" si="39"/>
        <v>17.95491756271387</v>
      </c>
      <c r="U138">
        <f>IF(M138="","",Inputs!$B$7*R138+Inputs!$B$8*T138)</f>
        <v>12.179798495636955</v>
      </c>
      <c r="V138">
        <f t="shared" si="40"/>
        <v>5.1331117915367361E-6</v>
      </c>
      <c r="W138">
        <f>Inputs!$B$9</f>
        <v>15</v>
      </c>
      <c r="X138">
        <f t="shared" si="41"/>
        <v>2.1747584695149204E-5</v>
      </c>
      <c r="Y138">
        <f t="shared" si="42"/>
        <v>2.1747348218137397E-5</v>
      </c>
      <c r="Z138">
        <f t="shared" si="43"/>
        <v>10.736018728867728</v>
      </c>
      <c r="AA138">
        <f>IF(M138="","",Inputs!$B$7*Z138+Inputs!$B$8*T138)</f>
        <v>12.179798495636955</v>
      </c>
      <c r="AB138">
        <f t="shared" si="44"/>
        <v>5.1331117915367361E-6</v>
      </c>
    </row>
    <row r="139" spans="1:28">
      <c r="A139" t="s">
        <v>202</v>
      </c>
      <c r="B139">
        <v>1</v>
      </c>
      <c r="C139">
        <v>4</v>
      </c>
      <c r="D139">
        <v>0.2</v>
      </c>
      <c r="E139">
        <f>IF(B139=1,Inputs!$B$5,Inputs!$B$6)</f>
        <v>4</v>
      </c>
      <c r="F139">
        <f>E139*Inputs!$B$4</f>
        <v>60</v>
      </c>
      <c r="G139">
        <f t="shared" si="30"/>
        <v>15</v>
      </c>
      <c r="H139">
        <f t="shared" si="31"/>
        <v>15</v>
      </c>
      <c r="I139">
        <f t="shared" si="32"/>
        <v>15</v>
      </c>
      <c r="J139">
        <f t="shared" si="33"/>
        <v>0</v>
      </c>
      <c r="K139">
        <v>11</v>
      </c>
      <c r="L139" t="s">
        <v>198</v>
      </c>
      <c r="M139">
        <f>IF(L139="C",E139*COMBIN(Inputs!$B$4,K139),IF(L139="T",(Inputs!$B$4-K139+1)*E139^K139,IF(L139="PT",E139*(Inputs!$B$4-K139+1),IF(AND(L139="E",K139&lt;=E139),Inputs!$B$4*COMBIN(E139,K139),""))))</f>
        <v>20971520</v>
      </c>
      <c r="N139">
        <f t="shared" si="34"/>
        <v>8.3531118568867302E-2</v>
      </c>
      <c r="O139">
        <f t="shared" si="35"/>
        <v>8.3531118568867302E-2</v>
      </c>
      <c r="P139">
        <f t="shared" si="36"/>
        <v>8.3531118568867302E-2</v>
      </c>
      <c r="Q139">
        <f t="shared" si="37"/>
        <v>8.0137538577503831E-2</v>
      </c>
      <c r="R139">
        <f t="shared" si="38"/>
        <v>2.5240108882774708</v>
      </c>
      <c r="S139">
        <f>IF(M139="","",IF(L139="C",SUMIFS(Marginal_Model!$J:$J,Marginal_Model!$A:$A,B139,Marginal_Model!$C:$C,K139),IF(L139="T",SUMIFS(Marginal_Model!$K:$K,Marginal_Model!$A:$A,B139,Marginal_Model!$C:$C,K139),IF(L139="PT",SUMIFS(Marginal_Model!$L:$L,Marginal_Model!$A:$A,B139,Marginal_Model!$C:$C,K139),SUMIFS(Marginal_Model!$M:$M,Marginal_Model!$A:$A,B139,Marginal_Model!$C:$C,K139)))))</f>
        <v>2.3547843639638631E-9</v>
      </c>
      <c r="T139">
        <f t="shared" si="39"/>
        <v>19.86681667886619</v>
      </c>
      <c r="U139">
        <f>IF(M139="","",Inputs!$B$7*R139+Inputs!$B$8*T139)</f>
        <v>5.9925720463952139</v>
      </c>
      <c r="V139">
        <f t="shared" si="40"/>
        <v>2.4972327844094123E-3</v>
      </c>
      <c r="W139">
        <f>Inputs!$B$9</f>
        <v>15</v>
      </c>
      <c r="X139">
        <f t="shared" si="41"/>
        <v>8.3531118568867302E-2</v>
      </c>
      <c r="Y139">
        <f t="shared" si="42"/>
        <v>8.0137538577503831E-2</v>
      </c>
      <c r="Z139">
        <f t="shared" si="43"/>
        <v>2.5240108882774708</v>
      </c>
      <c r="AA139">
        <f>IF(M139="","",Inputs!$B$7*Z139+Inputs!$B$8*T139)</f>
        <v>5.9925720463952139</v>
      </c>
      <c r="AB139">
        <f t="shared" si="44"/>
        <v>2.4972327844094123E-3</v>
      </c>
    </row>
    <row r="140" spans="1:28">
      <c r="A140" t="s">
        <v>202</v>
      </c>
      <c r="B140">
        <v>1</v>
      </c>
      <c r="C140">
        <v>4</v>
      </c>
      <c r="D140">
        <v>0.2</v>
      </c>
      <c r="E140">
        <f>IF(B140=1,Inputs!$B$5,Inputs!$B$6)</f>
        <v>4</v>
      </c>
      <c r="F140">
        <f>E140*Inputs!$B$4</f>
        <v>60</v>
      </c>
      <c r="G140">
        <f t="shared" si="30"/>
        <v>15</v>
      </c>
      <c r="H140">
        <f t="shared" si="31"/>
        <v>15</v>
      </c>
      <c r="I140">
        <f t="shared" si="32"/>
        <v>15</v>
      </c>
      <c r="J140">
        <f t="shared" si="33"/>
        <v>0</v>
      </c>
      <c r="K140">
        <v>11</v>
      </c>
      <c r="L140" t="s">
        <v>199</v>
      </c>
      <c r="M140">
        <f>IF(L140="C",E140*COMBIN(Inputs!$B$4,K140),IF(L140="T",(Inputs!$B$4-K140+1)*E140^K140,IF(L140="PT",E140*(Inputs!$B$4-K140+1),IF(AND(L140="E",K140&lt;=E140),Inputs!$B$4*COMBIN(E140,K140),""))))</f>
        <v>20</v>
      </c>
      <c r="N140">
        <f t="shared" si="34"/>
        <v>7.966148239981394E-8</v>
      </c>
      <c r="O140">
        <f t="shared" si="35"/>
        <v>7.966148239981394E-8</v>
      </c>
      <c r="P140">
        <f t="shared" si="36"/>
        <v>7.966148239981394E-8</v>
      </c>
      <c r="Q140">
        <f t="shared" si="37"/>
        <v>7.9661479190917817E-8</v>
      </c>
      <c r="R140">
        <f t="shared" si="38"/>
        <v>16.345479690561422</v>
      </c>
      <c r="S140">
        <f>IF(M140="","",IF(L140="C",SUMIFS(Marginal_Model!$J:$J,Marginal_Model!$A:$A,B140,Marginal_Model!$C:$C,K140),IF(L140="T",SUMIFS(Marginal_Model!$K:$K,Marginal_Model!$A:$A,B140,Marginal_Model!$C:$C,K140),IF(L140="PT",SUMIFS(Marginal_Model!$L:$L,Marginal_Model!$A:$A,B140,Marginal_Model!$C:$C,K140),SUMIFS(Marginal_Model!$M:$M,Marginal_Model!$A:$A,B140,Marginal_Model!$C:$C,K140)))))</f>
        <v>2.2456973685873634E-15</v>
      </c>
      <c r="T140">
        <f t="shared" si="39"/>
        <v>33.729760290065094</v>
      </c>
      <c r="U140">
        <f>IF(M140="","",Inputs!$B$7*R140+Inputs!$B$8*T140)</f>
        <v>19.822335810462157</v>
      </c>
      <c r="V140">
        <f t="shared" si="40"/>
        <v>2.4618916712368652E-9</v>
      </c>
      <c r="W140">
        <f>Inputs!$B$9</f>
        <v>15</v>
      </c>
      <c r="X140">
        <f t="shared" si="41"/>
        <v>7.966148239981394E-8</v>
      </c>
      <c r="Y140">
        <f t="shared" si="42"/>
        <v>7.9661479190917817E-8</v>
      </c>
      <c r="Z140">
        <f t="shared" si="43"/>
        <v>16.345479690561422</v>
      </c>
      <c r="AA140">
        <f>IF(M140="","",Inputs!$B$7*Z140+Inputs!$B$8*T140)</f>
        <v>19.822335810462157</v>
      </c>
      <c r="AB140">
        <f t="shared" si="44"/>
        <v>2.4618916712368652E-9</v>
      </c>
    </row>
    <row r="141" spans="1:28">
      <c r="A141" t="s">
        <v>202</v>
      </c>
      <c r="B141">
        <v>1</v>
      </c>
      <c r="C141">
        <v>4</v>
      </c>
      <c r="D141">
        <v>0.2</v>
      </c>
      <c r="E141">
        <f>IF(B141=1,Inputs!$B$5,Inputs!$B$6)</f>
        <v>4</v>
      </c>
      <c r="F141">
        <f>E141*Inputs!$B$4</f>
        <v>60</v>
      </c>
      <c r="G141">
        <f t="shared" si="30"/>
        <v>15</v>
      </c>
      <c r="H141">
        <f t="shared" si="31"/>
        <v>15</v>
      </c>
      <c r="I141">
        <f t="shared" si="32"/>
        <v>15</v>
      </c>
      <c r="J141">
        <f t="shared" si="33"/>
        <v>0</v>
      </c>
      <c r="K141">
        <v>11</v>
      </c>
      <c r="L141" t="s">
        <v>200</v>
      </c>
      <c r="M141" t="str">
        <f>IF(L141="C",E141*COMBIN(Inputs!$B$4,K141),IF(L141="T",(Inputs!$B$4-K141+1)*E141^K141,IF(L141="PT",E141*(Inputs!$B$4-K141+1),IF(AND(L141="E",K141&lt;=E141),Inputs!$B$4*COMBIN(E141,K141),""))))</f>
        <v/>
      </c>
      <c r="N141" t="str">
        <f t="shared" si="34"/>
        <v/>
      </c>
      <c r="O141" t="str">
        <f t="shared" si="35"/>
        <v/>
      </c>
      <c r="P141" t="str">
        <f t="shared" si="36"/>
        <v/>
      </c>
      <c r="Q141" t="str">
        <f t="shared" si="37"/>
        <v/>
      </c>
      <c r="R141" t="str">
        <f t="shared" si="38"/>
        <v/>
      </c>
      <c r="S141" t="str">
        <f>IF(M141="","",IF(L141="C",SUMIFS(Marginal_Model!$J:$J,Marginal_Model!$A:$A,B141,Marginal_Model!$C:$C,K141),IF(L141="T",SUMIFS(Marginal_Model!$K:$K,Marginal_Model!$A:$A,B141,Marginal_Model!$C:$C,K141),IF(L141="PT",SUMIFS(Marginal_Model!$L:$L,Marginal_Model!$A:$A,B141,Marginal_Model!$C:$C,K141),SUMIFS(Marginal_Model!$M:$M,Marginal_Model!$A:$A,B141,Marginal_Model!$C:$C,K141)))))</f>
        <v/>
      </c>
      <c r="T141" t="str">
        <f t="shared" si="39"/>
        <v/>
      </c>
      <c r="U141" t="str">
        <f>IF(M141="","",Inputs!$B$7*R141+Inputs!$B$8*T141)</f>
        <v/>
      </c>
      <c r="V141" t="str">
        <f t="shared" si="40"/>
        <v/>
      </c>
      <c r="W141">
        <f>Inputs!$B$9</f>
        <v>15</v>
      </c>
      <c r="X141" t="str">
        <f t="shared" si="41"/>
        <v/>
      </c>
      <c r="Y141" t="str">
        <f t="shared" si="42"/>
        <v/>
      </c>
      <c r="Z141" t="str">
        <f t="shared" si="43"/>
        <v/>
      </c>
      <c r="AA141" t="str">
        <f>IF(M141="","",Inputs!$B$7*Z141+Inputs!$B$8*T141)</f>
        <v/>
      </c>
      <c r="AB141" t="str">
        <f t="shared" si="44"/>
        <v/>
      </c>
    </row>
    <row r="142" spans="1:28">
      <c r="A142" t="s">
        <v>202</v>
      </c>
      <c r="B142">
        <v>1</v>
      </c>
      <c r="C142">
        <v>4</v>
      </c>
      <c r="D142">
        <v>0.2</v>
      </c>
      <c r="E142">
        <f>IF(B142=1,Inputs!$B$5,Inputs!$B$6)</f>
        <v>4</v>
      </c>
      <c r="F142">
        <f>E142*Inputs!$B$4</f>
        <v>60</v>
      </c>
      <c r="G142">
        <f t="shared" si="30"/>
        <v>15</v>
      </c>
      <c r="H142">
        <f t="shared" si="31"/>
        <v>15</v>
      </c>
      <c r="I142">
        <f t="shared" si="32"/>
        <v>15</v>
      </c>
      <c r="J142">
        <f t="shared" si="33"/>
        <v>0</v>
      </c>
      <c r="K142">
        <v>12</v>
      </c>
      <c r="L142" t="s">
        <v>197</v>
      </c>
      <c r="M142">
        <f>IF(L142="C",E142*COMBIN(Inputs!$B$4,K142),IF(L142="T",(Inputs!$B$4-K142+1)*E142^K142,IF(L142="PT",E142*(Inputs!$B$4-K142+1),IF(AND(L142="E",K142&lt;=E142),Inputs!$B$4*COMBIN(E142,K142),""))))</f>
        <v>1820.0000000000002</v>
      </c>
      <c r="N142">
        <f t="shared" si="34"/>
        <v>5.9177101211290354E-7</v>
      </c>
      <c r="O142">
        <f t="shared" si="35"/>
        <v>5.9177101211290354E-7</v>
      </c>
      <c r="P142">
        <f t="shared" si="36"/>
        <v>5.9177101211290354E-7</v>
      </c>
      <c r="Q142">
        <f t="shared" si="37"/>
        <v>5.9177083699957223E-7</v>
      </c>
      <c r="R142">
        <f t="shared" si="38"/>
        <v>14.340146376667706</v>
      </c>
      <c r="S142">
        <f>IF(M142="","",IF(L142="C",SUMIFS(Marginal_Model!$J:$J,Marginal_Model!$A:$A,B142,Marginal_Model!$C:$C,K142),IF(L142="T",SUMIFS(Marginal_Model!$K:$K,Marginal_Model!$A:$A,B142,Marginal_Model!$C:$C,K142),IF(L142="PT",SUMIFS(Marginal_Model!$L:$L,Marginal_Model!$A:$A,B142,Marginal_Model!$C:$C,K142),SUMIFS(Marginal_Model!$M:$M,Marginal_Model!$A:$A,B142,Marginal_Model!$C:$C,K142)))))</f>
        <v>1.3005956310173714E-9</v>
      </c>
      <c r="T142">
        <f t="shared" si="39"/>
        <v>20.460443499704606</v>
      </c>
      <c r="U142">
        <f>IF(M142="","",Inputs!$B$7*R142+Inputs!$B$8*T142)</f>
        <v>15.564205801275087</v>
      </c>
      <c r="V142">
        <f t="shared" si="40"/>
        <v>1.740008241454342E-7</v>
      </c>
      <c r="W142">
        <f>Inputs!$B$9</f>
        <v>15</v>
      </c>
      <c r="X142">
        <f t="shared" si="41"/>
        <v>5.9177101211290354E-7</v>
      </c>
      <c r="Y142">
        <f t="shared" si="42"/>
        <v>5.9177083699957223E-7</v>
      </c>
      <c r="Z142">
        <f t="shared" si="43"/>
        <v>14.340146376667706</v>
      </c>
      <c r="AA142">
        <f>IF(M142="","",Inputs!$B$7*Z142+Inputs!$B$8*T142)</f>
        <v>15.564205801275087</v>
      </c>
      <c r="AB142">
        <f t="shared" si="44"/>
        <v>1.740008241454342E-7</v>
      </c>
    </row>
    <row r="143" spans="1:28">
      <c r="A143" t="s">
        <v>202</v>
      </c>
      <c r="B143">
        <v>1</v>
      </c>
      <c r="C143">
        <v>4</v>
      </c>
      <c r="D143">
        <v>0.2</v>
      </c>
      <c r="E143">
        <f>IF(B143=1,Inputs!$B$5,Inputs!$B$6)</f>
        <v>4</v>
      </c>
      <c r="F143">
        <f>E143*Inputs!$B$4</f>
        <v>60</v>
      </c>
      <c r="G143">
        <f t="shared" si="30"/>
        <v>15</v>
      </c>
      <c r="H143">
        <f t="shared" si="31"/>
        <v>15</v>
      </c>
      <c r="I143">
        <f t="shared" si="32"/>
        <v>15</v>
      </c>
      <c r="J143">
        <f t="shared" si="33"/>
        <v>0</v>
      </c>
      <c r="K143">
        <v>12</v>
      </c>
      <c r="L143" t="s">
        <v>198</v>
      </c>
      <c r="M143">
        <f>IF(L143="C",E143*COMBIN(Inputs!$B$4,K143),IF(L143="T",(Inputs!$B$4-K143+1)*E143^K143,IF(L143="PT",E143*(Inputs!$B$4-K143+1),IF(AND(L143="E",K143&lt;=E143),Inputs!$B$4*COMBIN(E143,K143),""))))</f>
        <v>67108864</v>
      </c>
      <c r="N143">
        <f t="shared" si="34"/>
        <v>2.1820373830234722E-2</v>
      </c>
      <c r="O143">
        <f t="shared" si="35"/>
        <v>2.1820373830234722E-2</v>
      </c>
      <c r="P143">
        <f t="shared" si="36"/>
        <v>2.1820373830234722E-2</v>
      </c>
      <c r="Q143">
        <f t="shared" si="37"/>
        <v>2.1584031619577559E-2</v>
      </c>
      <c r="R143">
        <f t="shared" si="38"/>
        <v>3.8358015145633271</v>
      </c>
      <c r="S143">
        <f>IF(M143="","",IF(L143="C",SUMIFS(Marginal_Model!$J:$J,Marginal_Model!$A:$A,B143,Marginal_Model!$C:$C,K143),IF(L143="T",SUMIFS(Marginal_Model!$K:$K,Marginal_Model!$A:$A,B143,Marginal_Model!$C:$C,K143),IF(L143="PT",SUMIFS(Marginal_Model!$L:$L,Marginal_Model!$A:$A,B143,Marginal_Model!$C:$C,K143),SUMIFS(Marginal_Model!$M:$M,Marginal_Model!$A:$A,B143,Marginal_Model!$C:$C,K143)))))</f>
        <v>3.0756367202793319E-10</v>
      </c>
      <c r="T143">
        <f t="shared" si="39"/>
        <v>21.902338986611191</v>
      </c>
      <c r="U143">
        <f>IF(M143="","",Inputs!$B$7*R143+Inputs!$B$8*T143)</f>
        <v>7.4491090089728988</v>
      </c>
      <c r="V143">
        <f t="shared" si="40"/>
        <v>5.819599023146394E-4</v>
      </c>
      <c r="W143">
        <f>Inputs!$B$9</f>
        <v>15</v>
      </c>
      <c r="X143">
        <f t="shared" si="41"/>
        <v>2.1820373830234722E-2</v>
      </c>
      <c r="Y143">
        <f t="shared" si="42"/>
        <v>2.1584031619577559E-2</v>
      </c>
      <c r="Z143">
        <f t="shared" si="43"/>
        <v>3.8358015145633271</v>
      </c>
      <c r="AA143">
        <f>IF(M143="","",Inputs!$B$7*Z143+Inputs!$B$8*T143)</f>
        <v>7.4491090089728988</v>
      </c>
      <c r="AB143">
        <f t="shared" si="44"/>
        <v>5.819599023146394E-4</v>
      </c>
    </row>
    <row r="144" spans="1:28">
      <c r="A144" t="s">
        <v>202</v>
      </c>
      <c r="B144">
        <v>1</v>
      </c>
      <c r="C144">
        <v>4</v>
      </c>
      <c r="D144">
        <v>0.2</v>
      </c>
      <c r="E144">
        <f>IF(B144=1,Inputs!$B$5,Inputs!$B$6)</f>
        <v>4</v>
      </c>
      <c r="F144">
        <f>E144*Inputs!$B$4</f>
        <v>60</v>
      </c>
      <c r="G144">
        <f t="shared" si="30"/>
        <v>15</v>
      </c>
      <c r="H144">
        <f t="shared" si="31"/>
        <v>15</v>
      </c>
      <c r="I144">
        <f t="shared" si="32"/>
        <v>15</v>
      </c>
      <c r="J144">
        <f t="shared" si="33"/>
        <v>0</v>
      </c>
      <c r="K144">
        <v>12</v>
      </c>
      <c r="L144" t="s">
        <v>199</v>
      </c>
      <c r="M144">
        <f>IF(L144="C",E144*COMBIN(Inputs!$B$4,K144),IF(L144="T",(Inputs!$B$4-K144+1)*E144^K144,IF(L144="PT",E144*(Inputs!$B$4-K144+1),IF(AND(L144="E",K144&lt;=E144),Inputs!$B$4*COMBIN(E144,K144),""))))</f>
        <v>16</v>
      </c>
      <c r="N144">
        <f t="shared" si="34"/>
        <v>5.2023825240694813E-9</v>
      </c>
      <c r="O144">
        <f t="shared" si="35"/>
        <v>5.2023825240694813E-9</v>
      </c>
      <c r="P144">
        <f t="shared" si="36"/>
        <v>5.2023825240694813E-9</v>
      </c>
      <c r="Q144">
        <f t="shared" si="37"/>
        <v>5.2023825247715649E-9</v>
      </c>
      <c r="R144">
        <f t="shared" si="38"/>
        <v>19.074149138449762</v>
      </c>
      <c r="S144">
        <f>IF(M144="","",IF(L144="C",SUMIFS(Marginal_Model!$J:$J,Marginal_Model!$A:$A,B144,Marginal_Model!$C:$C,K144),IF(L144="T",SUMIFS(Marginal_Model!$K:$K,Marginal_Model!$A:$A,B144,Marginal_Model!$C:$C,K144),IF(L144="PT",SUMIFS(Marginal_Model!$L:$L,Marginal_Model!$A:$A,B144,Marginal_Model!$C:$C,K144),SUMIFS(Marginal_Model!$M:$M,Marginal_Model!$A:$A,B144,Marginal_Model!$C:$C,K144)))))</f>
        <v>7.3328893668158814E-17</v>
      </c>
      <c r="T144">
        <f t="shared" si="39"/>
        <v>37.151576958929986</v>
      </c>
      <c r="U144">
        <f>IF(M144="","",Inputs!$B$7*R144+Inputs!$B$8*T144)</f>
        <v>22.689634702545806</v>
      </c>
      <c r="V144">
        <f t="shared" si="40"/>
        <v>1.3996416329574047E-10</v>
      </c>
      <c r="W144">
        <f>Inputs!$B$9</f>
        <v>15</v>
      </c>
      <c r="X144">
        <f t="shared" si="41"/>
        <v>5.2023825240694813E-9</v>
      </c>
      <c r="Y144">
        <f t="shared" si="42"/>
        <v>5.2023825247715649E-9</v>
      </c>
      <c r="Z144">
        <f t="shared" si="43"/>
        <v>19.074149138449762</v>
      </c>
      <c r="AA144">
        <f>IF(M144="","",Inputs!$B$7*Z144+Inputs!$B$8*T144)</f>
        <v>22.689634702545806</v>
      </c>
      <c r="AB144">
        <f t="shared" si="44"/>
        <v>1.3996416329574047E-10</v>
      </c>
    </row>
    <row r="145" spans="1:28">
      <c r="A145" t="s">
        <v>202</v>
      </c>
      <c r="B145">
        <v>1</v>
      </c>
      <c r="C145">
        <v>4</v>
      </c>
      <c r="D145">
        <v>0.2</v>
      </c>
      <c r="E145">
        <f>IF(B145=1,Inputs!$B$5,Inputs!$B$6)</f>
        <v>4</v>
      </c>
      <c r="F145">
        <f>E145*Inputs!$B$4</f>
        <v>60</v>
      </c>
      <c r="G145">
        <f t="shared" si="30"/>
        <v>15</v>
      </c>
      <c r="H145">
        <f t="shared" si="31"/>
        <v>15</v>
      </c>
      <c r="I145">
        <f t="shared" si="32"/>
        <v>15</v>
      </c>
      <c r="J145">
        <f t="shared" si="33"/>
        <v>0</v>
      </c>
      <c r="K145">
        <v>12</v>
      </c>
      <c r="L145" t="s">
        <v>200</v>
      </c>
      <c r="M145" t="str">
        <f>IF(L145="C",E145*COMBIN(Inputs!$B$4,K145),IF(L145="T",(Inputs!$B$4-K145+1)*E145^K145,IF(L145="PT",E145*(Inputs!$B$4-K145+1),IF(AND(L145="E",K145&lt;=E145),Inputs!$B$4*COMBIN(E145,K145),""))))</f>
        <v/>
      </c>
      <c r="N145" t="str">
        <f t="shared" si="34"/>
        <v/>
      </c>
      <c r="O145" t="str">
        <f t="shared" si="35"/>
        <v/>
      </c>
      <c r="P145" t="str">
        <f t="shared" si="36"/>
        <v/>
      </c>
      <c r="Q145" t="str">
        <f t="shared" si="37"/>
        <v/>
      </c>
      <c r="R145" t="str">
        <f t="shared" si="38"/>
        <v/>
      </c>
      <c r="S145" t="str">
        <f>IF(M145="","",IF(L145="C",SUMIFS(Marginal_Model!$J:$J,Marginal_Model!$A:$A,B145,Marginal_Model!$C:$C,K145),IF(L145="T",SUMIFS(Marginal_Model!$K:$K,Marginal_Model!$A:$A,B145,Marginal_Model!$C:$C,K145),IF(L145="PT",SUMIFS(Marginal_Model!$L:$L,Marginal_Model!$A:$A,B145,Marginal_Model!$C:$C,K145),SUMIFS(Marginal_Model!$M:$M,Marginal_Model!$A:$A,B145,Marginal_Model!$C:$C,K145)))))</f>
        <v/>
      </c>
      <c r="T145" t="str">
        <f t="shared" si="39"/>
        <v/>
      </c>
      <c r="U145" t="str">
        <f>IF(M145="","",Inputs!$B$7*R145+Inputs!$B$8*T145)</f>
        <v/>
      </c>
      <c r="V145" t="str">
        <f t="shared" si="40"/>
        <v/>
      </c>
      <c r="W145">
        <f>Inputs!$B$9</f>
        <v>15</v>
      </c>
      <c r="X145" t="str">
        <f t="shared" si="41"/>
        <v/>
      </c>
      <c r="Y145" t="str">
        <f t="shared" si="42"/>
        <v/>
      </c>
      <c r="Z145" t="str">
        <f t="shared" si="43"/>
        <v/>
      </c>
      <c r="AA145" t="str">
        <f>IF(M145="","",Inputs!$B$7*Z145+Inputs!$B$8*T145)</f>
        <v/>
      </c>
      <c r="AB145" t="str">
        <f t="shared" si="44"/>
        <v/>
      </c>
    </row>
    <row r="146" spans="1:28">
      <c r="A146" t="s">
        <v>202</v>
      </c>
      <c r="B146">
        <v>1</v>
      </c>
      <c r="C146">
        <v>4</v>
      </c>
      <c r="D146">
        <v>0.2</v>
      </c>
      <c r="E146">
        <f>IF(B146=1,Inputs!$B$5,Inputs!$B$6)</f>
        <v>4</v>
      </c>
      <c r="F146">
        <f>E146*Inputs!$B$4</f>
        <v>60</v>
      </c>
      <c r="G146">
        <f t="shared" si="30"/>
        <v>15</v>
      </c>
      <c r="H146">
        <f t="shared" si="31"/>
        <v>15</v>
      </c>
      <c r="I146">
        <f t="shared" si="32"/>
        <v>15</v>
      </c>
      <c r="J146">
        <f t="shared" si="33"/>
        <v>0</v>
      </c>
      <c r="K146">
        <v>13</v>
      </c>
      <c r="L146" t="s">
        <v>197</v>
      </c>
      <c r="M146">
        <f>IF(L146="C",E146*COMBIN(Inputs!$B$4,K146),IF(L146="T",(Inputs!$B$4-K146+1)*E146^K146,IF(L146="PT",E146*(Inputs!$B$4-K146+1),IF(AND(L146="E",K146&lt;=E146),Inputs!$B$4*COMBIN(E146,K146),""))))</f>
        <v>420</v>
      </c>
      <c r="N146">
        <f t="shared" si="34"/>
        <v>8.5351588285514931E-9</v>
      </c>
      <c r="O146">
        <f t="shared" si="35"/>
        <v>8.5351588285514931E-9</v>
      </c>
      <c r="P146">
        <f t="shared" si="36"/>
        <v>8.5351588285514931E-9</v>
      </c>
      <c r="Q146">
        <f t="shared" si="37"/>
        <v>8.5351588019477731E-9</v>
      </c>
      <c r="R146">
        <f t="shared" si="38"/>
        <v>18.579071874903821</v>
      </c>
      <c r="S146">
        <f>IF(M146="","",IF(L146="C",SUMIFS(Marginal_Model!$J:$J,Marginal_Model!$A:$A,B146,Marginal_Model!$C:$C,K146),IF(L146="T",SUMIFS(Marginal_Model!$K:$K,Marginal_Model!$A:$A,B146,Marginal_Model!$C:$C,K146),IF(L146="PT",SUMIFS(Marginal_Model!$L:$L,Marginal_Model!$A:$A,B146,Marginal_Model!$C:$C,K146),SUMIFS(Marginal_Model!$M:$M,Marginal_Model!$A:$A,B146,Marginal_Model!$C:$C,K146)))))</f>
        <v>8.128722693858571E-11</v>
      </c>
      <c r="T146">
        <f t="shared" si="39"/>
        <v>23.233032221944384</v>
      </c>
      <c r="U146">
        <f>IF(M146="","",Inputs!$B$7*R146+Inputs!$B$8*T146)</f>
        <v>19.509863944311935</v>
      </c>
      <c r="V146">
        <f t="shared" si="40"/>
        <v>3.3649122740381813E-9</v>
      </c>
      <c r="W146">
        <f>Inputs!$B$9</f>
        <v>15</v>
      </c>
      <c r="X146">
        <f t="shared" si="41"/>
        <v>8.5351588285514931E-9</v>
      </c>
      <c r="Y146">
        <f t="shared" si="42"/>
        <v>8.5351588019477731E-9</v>
      </c>
      <c r="Z146">
        <f t="shared" si="43"/>
        <v>18.579071874903821</v>
      </c>
      <c r="AA146">
        <f>IF(M146="","",Inputs!$B$7*Z146+Inputs!$B$8*T146)</f>
        <v>19.509863944311935</v>
      </c>
      <c r="AB146">
        <f t="shared" si="44"/>
        <v>3.3649122740381813E-9</v>
      </c>
    </row>
    <row r="147" spans="1:28">
      <c r="A147" t="s">
        <v>202</v>
      </c>
      <c r="B147">
        <v>1</v>
      </c>
      <c r="C147">
        <v>4</v>
      </c>
      <c r="D147">
        <v>0.2</v>
      </c>
      <c r="E147">
        <f>IF(B147=1,Inputs!$B$5,Inputs!$B$6)</f>
        <v>4</v>
      </c>
      <c r="F147">
        <f>E147*Inputs!$B$4</f>
        <v>60</v>
      </c>
      <c r="G147">
        <f t="shared" si="30"/>
        <v>15</v>
      </c>
      <c r="H147">
        <f t="shared" si="31"/>
        <v>15</v>
      </c>
      <c r="I147">
        <f t="shared" si="32"/>
        <v>15</v>
      </c>
      <c r="J147">
        <f t="shared" si="33"/>
        <v>0</v>
      </c>
      <c r="K147">
        <v>13</v>
      </c>
      <c r="L147" t="s">
        <v>198</v>
      </c>
      <c r="M147">
        <f>IF(L147="C",E147*COMBIN(Inputs!$B$4,K147),IF(L147="T",(Inputs!$B$4-K147+1)*E147^K147,IF(L147="PT",E147*(Inputs!$B$4-K147+1),IF(AND(L147="E",K147&lt;=E147),Inputs!$B$4*COMBIN(E147,K147),""))))</f>
        <v>201326592</v>
      </c>
      <c r="N147">
        <f t="shared" si="34"/>
        <v>4.0913200931690106E-3</v>
      </c>
      <c r="O147">
        <f t="shared" si="35"/>
        <v>4.0913200931690106E-3</v>
      </c>
      <c r="P147">
        <f t="shared" si="36"/>
        <v>4.0913200931690106E-3</v>
      </c>
      <c r="Q147">
        <f t="shared" si="37"/>
        <v>4.0829620454846394E-3</v>
      </c>
      <c r="R147">
        <f t="shared" si="38"/>
        <v>5.5009325624300933</v>
      </c>
      <c r="S147">
        <f>IF(M147="","",IF(L147="C",SUMIFS(Marginal_Model!$J:$J,Marginal_Model!$A:$A,B147,Marginal_Model!$C:$C,K147),IF(L147="T",SUMIFS(Marginal_Model!$K:$K,Marginal_Model!$A:$A,B147,Marginal_Model!$C:$C,K147),IF(L147="PT",SUMIFS(Marginal_Model!$L:$L,Marginal_Model!$A:$A,B147,Marginal_Model!$C:$C,K147),SUMIFS(Marginal_Model!$M:$M,Marginal_Model!$A:$A,B147,Marginal_Model!$C:$C,K147)))))</f>
        <v>3.8445459003491648E-11</v>
      </c>
      <c r="T147">
        <f t="shared" si="39"/>
        <v>23.981780528291026</v>
      </c>
      <c r="U147">
        <f>IF(M147="","",Inputs!$B$7*R147+Inputs!$B$8*T147)</f>
        <v>9.1971021556022787</v>
      </c>
      <c r="V147">
        <f t="shared" si="40"/>
        <v>1.0133262295104354E-4</v>
      </c>
      <c r="W147">
        <f>Inputs!$B$9</f>
        <v>15</v>
      </c>
      <c r="X147">
        <f t="shared" si="41"/>
        <v>4.0913200931690106E-3</v>
      </c>
      <c r="Y147">
        <f t="shared" si="42"/>
        <v>4.0829620454846394E-3</v>
      </c>
      <c r="Z147">
        <f t="shared" si="43"/>
        <v>5.5009325624300933</v>
      </c>
      <c r="AA147">
        <f>IF(M147="","",Inputs!$B$7*Z147+Inputs!$B$8*T147)</f>
        <v>9.1971021556022787</v>
      </c>
      <c r="AB147">
        <f t="shared" si="44"/>
        <v>1.0133262295104354E-4</v>
      </c>
    </row>
    <row r="148" spans="1:28">
      <c r="A148" t="s">
        <v>202</v>
      </c>
      <c r="B148">
        <v>1</v>
      </c>
      <c r="C148">
        <v>4</v>
      </c>
      <c r="D148">
        <v>0.2</v>
      </c>
      <c r="E148">
        <f>IF(B148=1,Inputs!$B$5,Inputs!$B$6)</f>
        <v>4</v>
      </c>
      <c r="F148">
        <f>E148*Inputs!$B$4</f>
        <v>60</v>
      </c>
      <c r="G148">
        <f t="shared" si="30"/>
        <v>15</v>
      </c>
      <c r="H148">
        <f t="shared" si="31"/>
        <v>15</v>
      </c>
      <c r="I148">
        <f t="shared" si="32"/>
        <v>15</v>
      </c>
      <c r="J148">
        <f t="shared" si="33"/>
        <v>0</v>
      </c>
      <c r="K148">
        <v>13</v>
      </c>
      <c r="L148" t="s">
        <v>199</v>
      </c>
      <c r="M148">
        <f>IF(L148="C",E148*COMBIN(Inputs!$B$4,K148),IF(L148="T",(Inputs!$B$4-K148+1)*E148^K148,IF(L148="PT",E148*(Inputs!$B$4-K148+1),IF(AND(L148="E",K148&lt;=E148),Inputs!$B$4*COMBIN(E148,K148),""))))</f>
        <v>12</v>
      </c>
      <c r="N148">
        <f t="shared" si="34"/>
        <v>2.4386168081575695E-10</v>
      </c>
      <c r="O148">
        <f t="shared" si="35"/>
        <v>2.4386168081575695E-10</v>
      </c>
      <c r="P148">
        <f t="shared" si="36"/>
        <v>2.4386168081575695E-10</v>
      </c>
      <c r="Q148">
        <f t="shared" si="37"/>
        <v>2.4386170860424272E-10</v>
      </c>
      <c r="R148">
        <f t="shared" si="38"/>
        <v>22.134419819324449</v>
      </c>
      <c r="S148">
        <f>IF(M148="","",IF(L148="C",SUMIFS(Marginal_Model!$J:$J,Marginal_Model!$A:$A,B148,Marginal_Model!$C:$C,K148),IF(L148="T",SUMIFS(Marginal_Model!$K:$K,Marginal_Model!$A:$A,B148,Marginal_Model!$C:$C,K148),IF(L148="PT",SUMIFS(Marginal_Model!$L:$L,Marginal_Model!$A:$A,B148,Marginal_Model!$C:$C,K148),SUMIFS(Marginal_Model!$M:$M,Marginal_Model!$A:$A,B148,Marginal_Model!$C:$C,K148)))))</f>
        <v>2.2915279271299629E-18</v>
      </c>
      <c r="T148">
        <f t="shared" si="39"/>
        <v>40.617312861729715</v>
      </c>
      <c r="U148">
        <f>IF(M148="","",Inputs!$B$7*R148+Inputs!$B$8*T148)</f>
        <v>25.830998427805504</v>
      </c>
      <c r="V148">
        <f t="shared" si="40"/>
        <v>6.0497847211160352E-12</v>
      </c>
      <c r="W148">
        <f>Inputs!$B$9</f>
        <v>15</v>
      </c>
      <c r="X148">
        <f t="shared" si="41"/>
        <v>2.4386168081575695E-10</v>
      </c>
      <c r="Y148">
        <f t="shared" si="42"/>
        <v>2.4386170860424272E-10</v>
      </c>
      <c r="Z148">
        <f t="shared" si="43"/>
        <v>22.134419819324449</v>
      </c>
      <c r="AA148">
        <f>IF(M148="","",Inputs!$B$7*Z148+Inputs!$B$8*T148)</f>
        <v>25.830998427805504</v>
      </c>
      <c r="AB148">
        <f t="shared" si="44"/>
        <v>6.0497847211160352E-12</v>
      </c>
    </row>
    <row r="149" spans="1:28">
      <c r="A149" t="s">
        <v>202</v>
      </c>
      <c r="B149">
        <v>1</v>
      </c>
      <c r="C149">
        <v>4</v>
      </c>
      <c r="D149">
        <v>0.2</v>
      </c>
      <c r="E149">
        <f>IF(B149=1,Inputs!$B$5,Inputs!$B$6)</f>
        <v>4</v>
      </c>
      <c r="F149">
        <f>E149*Inputs!$B$4</f>
        <v>60</v>
      </c>
      <c r="G149">
        <f t="shared" si="30"/>
        <v>15</v>
      </c>
      <c r="H149">
        <f t="shared" si="31"/>
        <v>15</v>
      </c>
      <c r="I149">
        <f t="shared" si="32"/>
        <v>15</v>
      </c>
      <c r="J149">
        <f t="shared" si="33"/>
        <v>0</v>
      </c>
      <c r="K149">
        <v>13</v>
      </c>
      <c r="L149" t="s">
        <v>200</v>
      </c>
      <c r="M149" t="str">
        <f>IF(L149="C",E149*COMBIN(Inputs!$B$4,K149),IF(L149="T",(Inputs!$B$4-K149+1)*E149^K149,IF(L149="PT",E149*(Inputs!$B$4-K149+1),IF(AND(L149="E",K149&lt;=E149),Inputs!$B$4*COMBIN(E149,K149),""))))</f>
        <v/>
      </c>
      <c r="N149" t="str">
        <f t="shared" si="34"/>
        <v/>
      </c>
      <c r="O149" t="str">
        <f t="shared" si="35"/>
        <v/>
      </c>
      <c r="P149" t="str">
        <f t="shared" si="36"/>
        <v/>
      </c>
      <c r="Q149" t="str">
        <f t="shared" si="37"/>
        <v/>
      </c>
      <c r="R149" t="str">
        <f t="shared" si="38"/>
        <v/>
      </c>
      <c r="S149" t="str">
        <f>IF(M149="","",IF(L149="C",SUMIFS(Marginal_Model!$J:$J,Marginal_Model!$A:$A,B149,Marginal_Model!$C:$C,K149),IF(L149="T",SUMIFS(Marginal_Model!$K:$K,Marginal_Model!$A:$A,B149,Marginal_Model!$C:$C,K149),IF(L149="PT",SUMIFS(Marginal_Model!$L:$L,Marginal_Model!$A:$A,B149,Marginal_Model!$C:$C,K149),SUMIFS(Marginal_Model!$M:$M,Marginal_Model!$A:$A,B149,Marginal_Model!$C:$C,K149)))))</f>
        <v/>
      </c>
      <c r="T149" t="str">
        <f t="shared" si="39"/>
        <v/>
      </c>
      <c r="U149" t="str">
        <f>IF(M149="","",Inputs!$B$7*R149+Inputs!$B$8*T149)</f>
        <v/>
      </c>
      <c r="V149" t="str">
        <f t="shared" si="40"/>
        <v/>
      </c>
      <c r="W149">
        <f>Inputs!$B$9</f>
        <v>15</v>
      </c>
      <c r="X149" t="str">
        <f t="shared" si="41"/>
        <v/>
      </c>
      <c r="Y149" t="str">
        <f t="shared" si="42"/>
        <v/>
      </c>
      <c r="Z149" t="str">
        <f t="shared" si="43"/>
        <v/>
      </c>
      <c r="AA149" t="str">
        <f>IF(M149="","",Inputs!$B$7*Z149+Inputs!$B$8*T149)</f>
        <v/>
      </c>
      <c r="AB149" t="str">
        <f t="shared" si="44"/>
        <v/>
      </c>
    </row>
    <row r="150" spans="1:28">
      <c r="A150" t="s">
        <v>202</v>
      </c>
      <c r="B150">
        <v>1</v>
      </c>
      <c r="C150">
        <v>4</v>
      </c>
      <c r="D150">
        <v>0.2</v>
      </c>
      <c r="E150">
        <f>IF(B150=1,Inputs!$B$5,Inputs!$B$6)</f>
        <v>4</v>
      </c>
      <c r="F150">
        <f>E150*Inputs!$B$4</f>
        <v>60</v>
      </c>
      <c r="G150">
        <f t="shared" si="30"/>
        <v>15</v>
      </c>
      <c r="H150">
        <f t="shared" si="31"/>
        <v>15</v>
      </c>
      <c r="I150">
        <f t="shared" si="32"/>
        <v>15</v>
      </c>
      <c r="J150">
        <f t="shared" si="33"/>
        <v>0</v>
      </c>
      <c r="K150">
        <v>14</v>
      </c>
      <c r="L150" t="s">
        <v>197</v>
      </c>
      <c r="M150">
        <f>IF(L150="C",E150*COMBIN(Inputs!$B$4,K150),IF(L150="T",(Inputs!$B$4-K150+1)*E150^K150,IF(L150="PT",E150*(Inputs!$B$4-K150+1),IF(AND(L150="E",K150&lt;=E150),Inputs!$B$4*COMBIN(E150,K150),""))))</f>
        <v>60</v>
      </c>
      <c r="N150">
        <f t="shared" si="34"/>
        <v>5.1885464003352544E-11</v>
      </c>
      <c r="O150">
        <f t="shared" si="35"/>
        <v>5.1885464003352544E-11</v>
      </c>
      <c r="P150">
        <f t="shared" si="36"/>
        <v>5.1885464003352544E-11</v>
      </c>
      <c r="Q150">
        <f t="shared" si="37"/>
        <v>5.1885495899739453E-11</v>
      </c>
      <c r="R150">
        <f t="shared" si="38"/>
        <v>23.681981827246375</v>
      </c>
      <c r="S150">
        <f>IF(M150="","",IF(L150="C",SUMIFS(Marginal_Model!$J:$J,Marginal_Model!$A:$A,B150,Marginal_Model!$C:$C,K150),IF(L150="T",SUMIFS(Marginal_Model!$K:$K,Marginal_Model!$A:$A,B150,Marginal_Model!$C:$C,K150),IF(L150="PT",SUMIFS(Marginal_Model!$L:$L,Marginal_Model!$A:$A,B150,Marginal_Model!$C:$C,K150),SUMIFS(Marginal_Model!$M:$M,Marginal_Model!$A:$A,B150,Marginal_Model!$C:$C,K150)))))</f>
        <v>3.4590309335568387E-12</v>
      </c>
      <c r="T150">
        <f t="shared" si="39"/>
        <v>26.3900326430945</v>
      </c>
      <c r="U150">
        <f>IF(M150="","",Inputs!$B$7*R150+Inputs!$B$8*T150)</f>
        <v>24.223591990416001</v>
      </c>
      <c r="V150">
        <f t="shared" si="40"/>
        <v>3.0187536046907907E-11</v>
      </c>
      <c r="W150">
        <f>Inputs!$B$9</f>
        <v>15</v>
      </c>
      <c r="X150">
        <f t="shared" si="41"/>
        <v>5.1885464003352544E-11</v>
      </c>
      <c r="Y150">
        <f t="shared" si="42"/>
        <v>5.1885495899739453E-11</v>
      </c>
      <c r="Z150">
        <f t="shared" si="43"/>
        <v>23.681981827246375</v>
      </c>
      <c r="AA150">
        <f>IF(M150="","",Inputs!$B$7*Z150+Inputs!$B$8*T150)</f>
        <v>24.223591990416001</v>
      </c>
      <c r="AB150">
        <f t="shared" si="44"/>
        <v>3.0187536046907907E-11</v>
      </c>
    </row>
    <row r="151" spans="1:28">
      <c r="A151" t="s">
        <v>202</v>
      </c>
      <c r="B151">
        <v>1</v>
      </c>
      <c r="C151">
        <v>4</v>
      </c>
      <c r="D151">
        <v>0.2</v>
      </c>
      <c r="E151">
        <f>IF(B151=1,Inputs!$B$5,Inputs!$B$6)</f>
        <v>4</v>
      </c>
      <c r="F151">
        <f>E151*Inputs!$B$4</f>
        <v>60</v>
      </c>
      <c r="G151">
        <f t="shared" si="30"/>
        <v>15</v>
      </c>
      <c r="H151">
        <f t="shared" si="31"/>
        <v>15</v>
      </c>
      <c r="I151">
        <f t="shared" si="32"/>
        <v>15</v>
      </c>
      <c r="J151">
        <f t="shared" si="33"/>
        <v>0</v>
      </c>
      <c r="K151">
        <v>14</v>
      </c>
      <c r="L151" t="s">
        <v>198</v>
      </c>
      <c r="M151">
        <f>IF(L151="C",E151*COMBIN(Inputs!$B$4,K151),IF(L151="T",(Inputs!$B$4-K151+1)*E151^K151,IF(L151="PT",E151*(Inputs!$B$4-K151+1),IF(AND(L151="E",K151&lt;=E151),Inputs!$B$4*COMBIN(E151,K151),""))))</f>
        <v>536870912</v>
      </c>
      <c r="N151">
        <f t="shared" si="34"/>
        <v>4.6426327298371747E-4</v>
      </c>
      <c r="O151">
        <f t="shared" si="35"/>
        <v>4.6426327298371747E-4</v>
      </c>
      <c r="P151">
        <f t="shared" si="36"/>
        <v>4.6426327298371747E-4</v>
      </c>
      <c r="Q151">
        <f t="shared" si="37"/>
        <v>4.6415551946632494E-4</v>
      </c>
      <c r="R151">
        <f t="shared" si="38"/>
        <v>7.6752908906317279</v>
      </c>
      <c r="S151">
        <f>IF(M151="","",IF(L151="C",SUMIFS(Marginal_Model!$J:$J,Marginal_Model!$A:$A,B151,Marginal_Model!$C:$C,K151),IF(L151="T",SUMIFS(Marginal_Model!$K:$K,Marginal_Model!$A:$A,B151,Marginal_Model!$C:$C,K151),IF(L151="PT",SUMIFS(Marginal_Model!$L:$L,Marginal_Model!$A:$A,B151,Marginal_Model!$C:$C,K151),SUMIFS(Marginal_Model!$M:$M,Marginal_Model!$A:$A,B151,Marginal_Model!$C:$C,K151)))))</f>
        <v>4.3626052769919598E-12</v>
      </c>
      <c r="T151">
        <f t="shared" si="39"/>
        <v>26.157951696429414</v>
      </c>
      <c r="U151">
        <f>IF(M151="","",Inputs!$B$7*R151+Inputs!$B$8*T151)</f>
        <v>11.371823051791264</v>
      </c>
      <c r="V151">
        <f t="shared" si="40"/>
        <v>1.1515425750818239E-5</v>
      </c>
      <c r="W151">
        <f>Inputs!$B$9</f>
        <v>15</v>
      </c>
      <c r="X151">
        <f t="shared" si="41"/>
        <v>4.6426327298371747E-4</v>
      </c>
      <c r="Y151">
        <f t="shared" si="42"/>
        <v>4.6415551946632494E-4</v>
      </c>
      <c r="Z151">
        <f t="shared" si="43"/>
        <v>7.6752908906317279</v>
      </c>
      <c r="AA151">
        <f>IF(M151="","",Inputs!$B$7*Z151+Inputs!$B$8*T151)</f>
        <v>11.371823051791264</v>
      </c>
      <c r="AB151">
        <f t="shared" si="44"/>
        <v>1.1515425750818239E-5</v>
      </c>
    </row>
    <row r="152" spans="1:28">
      <c r="A152" t="s">
        <v>202</v>
      </c>
      <c r="B152">
        <v>1</v>
      </c>
      <c r="C152">
        <v>4</v>
      </c>
      <c r="D152">
        <v>0.2</v>
      </c>
      <c r="E152">
        <f>IF(B152=1,Inputs!$B$5,Inputs!$B$6)</f>
        <v>4</v>
      </c>
      <c r="F152">
        <f>E152*Inputs!$B$4</f>
        <v>60</v>
      </c>
      <c r="G152">
        <f t="shared" si="30"/>
        <v>15</v>
      </c>
      <c r="H152">
        <f t="shared" si="31"/>
        <v>15</v>
      </c>
      <c r="I152">
        <f t="shared" si="32"/>
        <v>15</v>
      </c>
      <c r="J152">
        <f t="shared" si="33"/>
        <v>0</v>
      </c>
      <c r="K152">
        <v>14</v>
      </c>
      <c r="L152" t="s">
        <v>199</v>
      </c>
      <c r="M152">
        <f>IF(L152="C",E152*COMBIN(Inputs!$B$4,K152),IF(L152="T",(Inputs!$B$4-K152+1)*E152^K152,IF(L152="PT",E152*(Inputs!$B$4-K152+1),IF(AND(L152="E",K152&lt;=E152),Inputs!$B$4*COMBIN(E152,K152),""))))</f>
        <v>8</v>
      </c>
      <c r="N152">
        <f t="shared" si="34"/>
        <v>6.9180618671136717E-12</v>
      </c>
      <c r="O152">
        <f t="shared" si="35"/>
        <v>6.9180618671136717E-12</v>
      </c>
      <c r="P152">
        <f t="shared" si="36"/>
        <v>6.9180618671136717E-12</v>
      </c>
      <c r="Q152">
        <f t="shared" si="37"/>
        <v>6.9180217110442754E-12</v>
      </c>
      <c r="R152">
        <f t="shared" si="38"/>
        <v>25.696891267077316</v>
      </c>
      <c r="S152">
        <f>IF(M152="","",IF(L152="C",SUMIFS(Marginal_Model!$J:$J,Marginal_Model!$A:$A,B152,Marginal_Model!$C:$C,K152),IF(L152="T",SUMIFS(Marginal_Model!$K:$K,Marginal_Model!$A:$A,B152,Marginal_Model!$C:$C,K152),IF(L152="PT",SUMIFS(Marginal_Model!$L:$L,Marginal_Model!$A:$A,B152,Marginal_Model!$C:$C,K152),SUMIFS(Marginal_Model!$M:$M,Marginal_Model!$A:$A,B152,Marginal_Model!$C:$C,K152)))))</f>
        <v>6.5007884457587597E-20</v>
      </c>
      <c r="T152">
        <f t="shared" si="39"/>
        <v>44.179778390987991</v>
      </c>
      <c r="U152">
        <f>IF(M152="","",Inputs!$B$7*R152+Inputs!$B$8*T152)</f>
        <v>29.39346869185945</v>
      </c>
      <c r="V152">
        <f t="shared" si="40"/>
        <v>1.7162428586352782E-13</v>
      </c>
      <c r="W152">
        <f>Inputs!$B$9</f>
        <v>15</v>
      </c>
      <c r="X152">
        <f t="shared" si="41"/>
        <v>6.9180618671136717E-12</v>
      </c>
      <c r="Y152">
        <f t="shared" si="42"/>
        <v>6.9180217110442754E-12</v>
      </c>
      <c r="Z152">
        <f t="shared" si="43"/>
        <v>25.696891267077316</v>
      </c>
      <c r="AA152">
        <f>IF(M152="","",Inputs!$B$7*Z152+Inputs!$B$8*T152)</f>
        <v>29.39346869185945</v>
      </c>
      <c r="AB152">
        <f t="shared" si="44"/>
        <v>1.7162428586352782E-13</v>
      </c>
    </row>
    <row r="153" spans="1:28">
      <c r="A153" t="s">
        <v>202</v>
      </c>
      <c r="B153">
        <v>1</v>
      </c>
      <c r="C153">
        <v>4</v>
      </c>
      <c r="D153">
        <v>0.2</v>
      </c>
      <c r="E153">
        <f>IF(B153=1,Inputs!$B$5,Inputs!$B$6)</f>
        <v>4</v>
      </c>
      <c r="F153">
        <f>E153*Inputs!$B$4</f>
        <v>60</v>
      </c>
      <c r="G153">
        <f t="shared" si="30"/>
        <v>15</v>
      </c>
      <c r="H153">
        <f t="shared" si="31"/>
        <v>15</v>
      </c>
      <c r="I153">
        <f t="shared" si="32"/>
        <v>15</v>
      </c>
      <c r="J153">
        <f t="shared" si="33"/>
        <v>0</v>
      </c>
      <c r="K153">
        <v>14</v>
      </c>
      <c r="L153" t="s">
        <v>200</v>
      </c>
      <c r="M153" t="str">
        <f>IF(L153="C",E153*COMBIN(Inputs!$B$4,K153),IF(L153="T",(Inputs!$B$4-K153+1)*E153^K153,IF(L153="PT",E153*(Inputs!$B$4-K153+1),IF(AND(L153="E",K153&lt;=E153),Inputs!$B$4*COMBIN(E153,K153),""))))</f>
        <v/>
      </c>
      <c r="N153" t="str">
        <f t="shared" si="34"/>
        <v/>
      </c>
      <c r="O153" t="str">
        <f t="shared" si="35"/>
        <v/>
      </c>
      <c r="P153" t="str">
        <f t="shared" si="36"/>
        <v/>
      </c>
      <c r="Q153" t="str">
        <f t="shared" si="37"/>
        <v/>
      </c>
      <c r="R153" t="str">
        <f t="shared" si="38"/>
        <v/>
      </c>
      <c r="S153" t="str">
        <f>IF(M153="","",IF(L153="C",SUMIFS(Marginal_Model!$J:$J,Marginal_Model!$A:$A,B153,Marginal_Model!$C:$C,K153),IF(L153="T",SUMIFS(Marginal_Model!$K:$K,Marginal_Model!$A:$A,B153,Marginal_Model!$C:$C,K153),IF(L153="PT",SUMIFS(Marginal_Model!$L:$L,Marginal_Model!$A:$A,B153,Marginal_Model!$C:$C,K153),SUMIFS(Marginal_Model!$M:$M,Marginal_Model!$A:$A,B153,Marginal_Model!$C:$C,K153)))))</f>
        <v/>
      </c>
      <c r="T153" t="str">
        <f t="shared" si="39"/>
        <v/>
      </c>
      <c r="U153" t="str">
        <f>IF(M153="","",Inputs!$B$7*R153+Inputs!$B$8*T153)</f>
        <v/>
      </c>
      <c r="V153" t="str">
        <f t="shared" si="40"/>
        <v/>
      </c>
      <c r="W153">
        <f>Inputs!$B$9</f>
        <v>15</v>
      </c>
      <c r="X153" t="str">
        <f t="shared" si="41"/>
        <v/>
      </c>
      <c r="Y153" t="str">
        <f t="shared" si="42"/>
        <v/>
      </c>
      <c r="Z153" t="str">
        <f t="shared" si="43"/>
        <v/>
      </c>
      <c r="AA153" t="str">
        <f>IF(M153="","",Inputs!$B$7*Z153+Inputs!$B$8*T153)</f>
        <v/>
      </c>
      <c r="AB153" t="str">
        <f t="shared" si="44"/>
        <v/>
      </c>
    </row>
    <row r="154" spans="1:28">
      <c r="A154" t="s">
        <v>202</v>
      </c>
      <c r="B154">
        <v>1</v>
      </c>
      <c r="C154">
        <v>4</v>
      </c>
      <c r="D154">
        <v>0.2</v>
      </c>
      <c r="E154">
        <f>IF(B154=1,Inputs!$B$5,Inputs!$B$6)</f>
        <v>4</v>
      </c>
      <c r="F154">
        <f>E154*Inputs!$B$4</f>
        <v>60</v>
      </c>
      <c r="G154">
        <f t="shared" si="30"/>
        <v>15</v>
      </c>
      <c r="H154">
        <f t="shared" si="31"/>
        <v>15</v>
      </c>
      <c r="I154">
        <f t="shared" si="32"/>
        <v>15</v>
      </c>
      <c r="J154">
        <f t="shared" si="33"/>
        <v>0</v>
      </c>
      <c r="K154">
        <v>15</v>
      </c>
      <c r="L154" t="s">
        <v>197</v>
      </c>
      <c r="M154">
        <f>IF(L154="C",E154*COMBIN(Inputs!$B$4,K154),IF(L154="T",(Inputs!$B$4-K154+1)*E154^K154,IF(L154="PT",E154*(Inputs!$B$4-K154+1),IF(AND(L154="E",K154&lt;=E154),Inputs!$B$4*COMBIN(E154,K154),""))))</f>
        <v>4</v>
      </c>
      <c r="N154">
        <f t="shared" si="34"/>
        <v>7.5196324642539908E-14</v>
      </c>
      <c r="O154">
        <f t="shared" si="35"/>
        <v>7.5196324642539908E-14</v>
      </c>
      <c r="P154">
        <f t="shared" si="36"/>
        <v>7.5196324642539908E-14</v>
      </c>
      <c r="Q154">
        <f t="shared" si="37"/>
        <v>7.5162098767123098E-14</v>
      </c>
      <c r="R154">
        <f t="shared" si="38"/>
        <v>30.219129296764827</v>
      </c>
      <c r="S154">
        <f>IF(M154="","",IF(L154="C",SUMIFS(Marginal_Model!$J:$J,Marginal_Model!$A:$A,B154,Marginal_Model!$C:$C,K154),IF(L154="T",SUMIFS(Marginal_Model!$K:$K,Marginal_Model!$A:$A,B154,Marginal_Model!$C:$C,K154),IF(L154="PT",SUMIFS(Marginal_Model!$L:$L,Marginal_Model!$A:$A,B154,Marginal_Model!$C:$C,K154),SUMIFS(Marginal_Model!$M:$M,Marginal_Model!$A:$A,B154,Marginal_Model!$C:$C,K154)))))</f>
        <v>7.5196324642539971E-14</v>
      </c>
      <c r="T154">
        <f t="shared" si="39"/>
        <v>30.218674039583593</v>
      </c>
      <c r="U154">
        <f>IF(M154="","",Inputs!$B$7*R154+Inputs!$B$8*T154)</f>
        <v>30.21903824532858</v>
      </c>
      <c r="V154">
        <f t="shared" si="40"/>
        <v>7.5168942695737173E-14</v>
      </c>
      <c r="W154">
        <f>Inputs!$B$9</f>
        <v>15</v>
      </c>
      <c r="X154">
        <f t="shared" si="41"/>
        <v>7.5196324642539908E-14</v>
      </c>
      <c r="Y154">
        <f t="shared" si="42"/>
        <v>7.5162098767123098E-14</v>
      </c>
      <c r="Z154">
        <f t="shared" si="43"/>
        <v>30.219129296764827</v>
      </c>
      <c r="AA154">
        <f>IF(M154="","",Inputs!$B$7*Z154+Inputs!$B$8*T154)</f>
        <v>30.21903824532858</v>
      </c>
      <c r="AB154">
        <f t="shared" si="44"/>
        <v>7.5168942695737173E-14</v>
      </c>
    </row>
    <row r="155" spans="1:28">
      <c r="A155" t="s">
        <v>202</v>
      </c>
      <c r="B155">
        <v>1</v>
      </c>
      <c r="C155">
        <v>4</v>
      </c>
      <c r="D155">
        <v>0.2</v>
      </c>
      <c r="E155">
        <f>IF(B155=1,Inputs!$B$5,Inputs!$B$6)</f>
        <v>4</v>
      </c>
      <c r="F155">
        <f>E155*Inputs!$B$4</f>
        <v>60</v>
      </c>
      <c r="G155">
        <f t="shared" si="30"/>
        <v>15</v>
      </c>
      <c r="H155">
        <f t="shared" si="31"/>
        <v>15</v>
      </c>
      <c r="I155">
        <f t="shared" si="32"/>
        <v>15</v>
      </c>
      <c r="J155">
        <f t="shared" si="33"/>
        <v>0</v>
      </c>
      <c r="K155">
        <v>15</v>
      </c>
      <c r="L155" t="s">
        <v>198</v>
      </c>
      <c r="M155">
        <f>IF(L155="C",E155*COMBIN(Inputs!$B$4,K155),IF(L155="T",(Inputs!$B$4-K155+1)*E155^K155,IF(L155="PT",E155*(Inputs!$B$4-K155+1),IF(AND(L155="E",K155&lt;=E155),Inputs!$B$4*COMBIN(E155,K155),""))))</f>
        <v>1073741824</v>
      </c>
      <c r="N155">
        <f t="shared" si="34"/>
        <v>2.0185359694944237E-5</v>
      </c>
      <c r="O155">
        <f t="shared" si="35"/>
        <v>2.0185359694944237E-5</v>
      </c>
      <c r="P155">
        <f t="shared" si="36"/>
        <v>2.0185359694944237E-5</v>
      </c>
      <c r="Q155">
        <f t="shared" si="37"/>
        <v>2.0185155971907953E-5</v>
      </c>
      <c r="R155">
        <f t="shared" si="38"/>
        <v>10.810563076569682</v>
      </c>
      <c r="S155">
        <f>IF(M155="","",IF(L155="C",SUMIFS(Marginal_Model!$J:$J,Marginal_Model!$A:$A,B155,Marginal_Model!$C:$C,K155),IF(L155="T",SUMIFS(Marginal_Model!$K:$K,Marginal_Model!$A:$A,B155,Marginal_Model!$C:$C,K155),IF(L155="PT",SUMIFS(Marginal_Model!$L:$L,Marginal_Model!$A:$A,B155,Marginal_Model!$C:$C,K155),SUMIFS(Marginal_Model!$M:$M,Marginal_Model!$A:$A,B155,Marginal_Model!$C:$C,K155)))))</f>
        <v>3.7935698060799651E-13</v>
      </c>
      <c r="T155">
        <f t="shared" si="39"/>
        <v>28.600298731798617</v>
      </c>
      <c r="U155">
        <f>IF(M155="","",Inputs!$B$7*R155+Inputs!$B$8*T155)</f>
        <v>14.368510207615468</v>
      </c>
      <c r="V155">
        <f t="shared" si="40"/>
        <v>5.7522175615738375E-7</v>
      </c>
      <c r="W155">
        <f>Inputs!$B$9</f>
        <v>15</v>
      </c>
      <c r="X155">
        <f t="shared" si="41"/>
        <v>2.0185359694944237E-5</v>
      </c>
      <c r="Y155">
        <f t="shared" si="42"/>
        <v>2.0185155971907953E-5</v>
      </c>
      <c r="Z155">
        <f t="shared" si="43"/>
        <v>10.810563076569682</v>
      </c>
      <c r="AA155">
        <f>IF(M155="","",Inputs!$B$7*Z155+Inputs!$B$8*T155)</f>
        <v>14.368510207615468</v>
      </c>
      <c r="AB155">
        <f t="shared" si="44"/>
        <v>5.7522175615738375E-7</v>
      </c>
    </row>
    <row r="156" spans="1:28">
      <c r="A156" t="s">
        <v>202</v>
      </c>
      <c r="B156">
        <v>1</v>
      </c>
      <c r="C156">
        <v>4</v>
      </c>
      <c r="D156">
        <v>0.2</v>
      </c>
      <c r="E156">
        <f>IF(B156=1,Inputs!$B$5,Inputs!$B$6)</f>
        <v>4</v>
      </c>
      <c r="F156">
        <f>E156*Inputs!$B$4</f>
        <v>60</v>
      </c>
      <c r="G156">
        <f t="shared" si="30"/>
        <v>15</v>
      </c>
      <c r="H156">
        <f t="shared" si="31"/>
        <v>15</v>
      </c>
      <c r="I156">
        <f t="shared" si="32"/>
        <v>15</v>
      </c>
      <c r="J156">
        <f t="shared" si="33"/>
        <v>0</v>
      </c>
      <c r="K156">
        <v>15</v>
      </c>
      <c r="L156" t="s">
        <v>199</v>
      </c>
      <c r="M156">
        <f>IF(L156="C",E156*COMBIN(Inputs!$B$4,K156),IF(L156="T",(Inputs!$B$4-K156+1)*E156^K156,IF(L156="PT",E156*(Inputs!$B$4-K156+1),IF(AND(L156="E",K156&lt;=E156),Inputs!$B$4*COMBIN(E156,K156),""))))</f>
        <v>4</v>
      </c>
      <c r="N156">
        <f t="shared" si="34"/>
        <v>7.5196324642539908E-14</v>
      </c>
      <c r="O156">
        <f t="shared" si="35"/>
        <v>7.5196324642539908E-14</v>
      </c>
      <c r="P156">
        <f t="shared" si="36"/>
        <v>7.5196324642539908E-14</v>
      </c>
      <c r="Q156">
        <f t="shared" si="37"/>
        <v>7.5162098767123098E-14</v>
      </c>
      <c r="R156">
        <f t="shared" si="38"/>
        <v>30.219129296764827</v>
      </c>
      <c r="S156">
        <f>IF(M156="","",IF(L156="C",SUMIFS(Marginal_Model!$J:$J,Marginal_Model!$A:$A,B156,Marginal_Model!$C:$C,K156),IF(L156="T",SUMIFS(Marginal_Model!$K:$K,Marginal_Model!$A:$A,B156,Marginal_Model!$C:$C,K156),IF(L156="PT",SUMIFS(Marginal_Model!$L:$L,Marginal_Model!$A:$A,B156,Marginal_Model!$C:$C,K156),SUMIFS(Marginal_Model!$M:$M,Marginal_Model!$A:$A,B156,Marginal_Model!$C:$C,K156)))))</f>
        <v>1.4132148795127738E-21</v>
      </c>
      <c r="T156">
        <f t="shared" si="39"/>
        <v>48.008419787477088</v>
      </c>
      <c r="U156">
        <f>IF(M156="","",Inputs!$B$7*R156+Inputs!$B$8*T156)</f>
        <v>33.77698739490728</v>
      </c>
      <c r="V156">
        <f t="shared" si="40"/>
        <v>2.1421050205030007E-15</v>
      </c>
      <c r="W156">
        <f>Inputs!$B$9</f>
        <v>15</v>
      </c>
      <c r="X156">
        <f t="shared" si="41"/>
        <v>7.5196324642539908E-14</v>
      </c>
      <c r="Y156">
        <f t="shared" si="42"/>
        <v>7.5162098767123098E-14</v>
      </c>
      <c r="Z156">
        <f t="shared" si="43"/>
        <v>30.219129296764827</v>
      </c>
      <c r="AA156">
        <f>IF(M156="","",Inputs!$B$7*Z156+Inputs!$B$8*T156)</f>
        <v>33.77698739490728</v>
      </c>
      <c r="AB156">
        <f t="shared" si="44"/>
        <v>2.1421050205030007E-15</v>
      </c>
    </row>
    <row r="157" spans="1:28">
      <c r="A157" t="s">
        <v>202</v>
      </c>
      <c r="B157">
        <v>1</v>
      </c>
      <c r="C157">
        <v>4</v>
      </c>
      <c r="D157">
        <v>0.2</v>
      </c>
      <c r="E157">
        <f>IF(B157=1,Inputs!$B$5,Inputs!$B$6)</f>
        <v>4</v>
      </c>
      <c r="F157">
        <f>E157*Inputs!$B$4</f>
        <v>60</v>
      </c>
      <c r="G157">
        <f t="shared" si="30"/>
        <v>15</v>
      </c>
      <c r="H157">
        <f t="shared" si="31"/>
        <v>15</v>
      </c>
      <c r="I157">
        <f t="shared" si="32"/>
        <v>15</v>
      </c>
      <c r="J157">
        <f t="shared" si="33"/>
        <v>0</v>
      </c>
      <c r="K157">
        <v>15</v>
      </c>
      <c r="L157" t="s">
        <v>200</v>
      </c>
      <c r="M157" t="str">
        <f>IF(L157="C",E157*COMBIN(Inputs!$B$4,K157),IF(L157="T",(Inputs!$B$4-K157+1)*E157^K157,IF(L157="PT",E157*(Inputs!$B$4-K157+1),IF(AND(L157="E",K157&lt;=E157),Inputs!$B$4*COMBIN(E157,K157),""))))</f>
        <v/>
      </c>
      <c r="N157" t="str">
        <f t="shared" si="34"/>
        <v/>
      </c>
      <c r="O157" t="str">
        <f t="shared" si="35"/>
        <v/>
      </c>
      <c r="P157" t="str">
        <f t="shared" si="36"/>
        <v/>
      </c>
      <c r="Q157" t="str">
        <f t="shared" si="37"/>
        <v/>
      </c>
      <c r="R157" t="str">
        <f t="shared" si="38"/>
        <v/>
      </c>
      <c r="S157" t="str">
        <f>IF(M157="","",IF(L157="C",SUMIFS(Marginal_Model!$J:$J,Marginal_Model!$A:$A,B157,Marginal_Model!$C:$C,K157),IF(L157="T",SUMIFS(Marginal_Model!$K:$K,Marginal_Model!$A:$A,B157,Marginal_Model!$C:$C,K157),IF(L157="PT",SUMIFS(Marginal_Model!$L:$L,Marginal_Model!$A:$A,B157,Marginal_Model!$C:$C,K157),SUMIFS(Marginal_Model!$M:$M,Marginal_Model!$A:$A,B157,Marginal_Model!$C:$C,K157)))))</f>
        <v/>
      </c>
      <c r="T157" t="str">
        <f t="shared" si="39"/>
        <v/>
      </c>
      <c r="U157" t="str">
        <f>IF(M157="","",Inputs!$B$7*R157+Inputs!$B$8*T157)</f>
        <v/>
      </c>
      <c r="V157" t="str">
        <f t="shared" si="40"/>
        <v/>
      </c>
      <c r="W157">
        <f>Inputs!$B$9</f>
        <v>15</v>
      </c>
      <c r="X157" t="str">
        <f t="shared" si="41"/>
        <v/>
      </c>
      <c r="Y157" t="str">
        <f t="shared" si="42"/>
        <v/>
      </c>
      <c r="Z157" t="str">
        <f t="shared" si="43"/>
        <v/>
      </c>
      <c r="AA157" t="str">
        <f>IF(M157="","",Inputs!$B$7*Z157+Inputs!$B$8*T157)</f>
        <v/>
      </c>
      <c r="AB157" t="str">
        <f t="shared" si="44"/>
        <v/>
      </c>
    </row>
    <row r="158" spans="1:28">
      <c r="A158" t="s">
        <v>203</v>
      </c>
      <c r="B158">
        <v>2</v>
      </c>
      <c r="C158">
        <v>5</v>
      </c>
      <c r="D158">
        <v>0.2</v>
      </c>
      <c r="E158">
        <f>IF(B158=1,Inputs!$B$5,Inputs!$B$6)</f>
        <v>5</v>
      </c>
      <c r="F158">
        <f>E158*Inputs!$B$4</f>
        <v>75</v>
      </c>
      <c r="G158">
        <f t="shared" si="30"/>
        <v>15</v>
      </c>
      <c r="H158">
        <f t="shared" si="31"/>
        <v>15</v>
      </c>
      <c r="I158">
        <f t="shared" si="32"/>
        <v>15</v>
      </c>
      <c r="J158">
        <f t="shared" si="33"/>
        <v>0</v>
      </c>
      <c r="K158">
        <v>3</v>
      </c>
      <c r="L158" t="s">
        <v>197</v>
      </c>
      <c r="M158">
        <f>IF(L158="C",E158*COMBIN(Inputs!$B$4,K158),IF(L158="T",(Inputs!$B$4-K158+1)*E158^K158,IF(L158="PT",E158*(Inputs!$B$4-K158+1),IF(AND(L158="E",K158&lt;=E158),Inputs!$B$4*COMBIN(E158,K158),""))))</f>
        <v>2275.0000000000005</v>
      </c>
      <c r="N158">
        <f t="shared" si="34"/>
        <v>15.329507589781565</v>
      </c>
      <c r="O158">
        <f t="shared" si="35"/>
        <v>15.329507589781565</v>
      </c>
      <c r="P158">
        <f t="shared" si="36"/>
        <v>15.329507589781565</v>
      </c>
      <c r="Q158">
        <f t="shared" si="37"/>
        <v>0.9999997799712439</v>
      </c>
      <c r="R158">
        <f t="shared" si="38"/>
        <v>2.2002878031015974E-7</v>
      </c>
      <c r="S158">
        <f>IF(M158="","",IF(L158="C",SUMIFS(Marginal_Model!$J:$J,Marginal_Model!$A:$A,B158,Marginal_Model!$C:$C,K158),IF(L158="T",SUMIFS(Marginal_Model!$K:$K,Marginal_Model!$A:$A,B158,Marginal_Model!$C:$C,K158),IF(L158="PT",SUMIFS(Marginal_Model!$L:$L,Marginal_Model!$A:$A,B158,Marginal_Model!$C:$C,K158),SUMIFS(Marginal_Model!$M:$M,Marginal_Model!$A:$A,B158,Marginal_Model!$C:$C,K158)))))</f>
        <v>3.3691225472047399E-2</v>
      </c>
      <c r="T158">
        <f t="shared" si="39"/>
        <v>3.3905178472757651</v>
      </c>
      <c r="U158">
        <f>IF(M158="","",Inputs!$B$7*R158+Inputs!$B$8*T158)</f>
        <v>0.67810374547817709</v>
      </c>
      <c r="V158">
        <f t="shared" si="40"/>
        <v>0.50757857854612887</v>
      </c>
      <c r="W158">
        <f>Inputs!$B$9</f>
        <v>15</v>
      </c>
      <c r="X158">
        <f t="shared" si="41"/>
        <v>15.329507589781565</v>
      </c>
      <c r="Y158">
        <f t="shared" si="42"/>
        <v>0.9999997799712439</v>
      </c>
      <c r="Z158">
        <f t="shared" si="43"/>
        <v>2.2002878031015974E-7</v>
      </c>
      <c r="AA158">
        <f>IF(M158="","",Inputs!$B$7*Z158+Inputs!$B$8*T158)</f>
        <v>0.67810374547817709</v>
      </c>
      <c r="AB158">
        <f t="shared" si="44"/>
        <v>0.50757857854612887</v>
      </c>
    </row>
    <row r="159" spans="1:28">
      <c r="A159" t="s">
        <v>203</v>
      </c>
      <c r="B159">
        <v>2</v>
      </c>
      <c r="C159">
        <v>5</v>
      </c>
      <c r="D159">
        <v>0.2</v>
      </c>
      <c r="E159">
        <f>IF(B159=1,Inputs!$B$5,Inputs!$B$6)</f>
        <v>5</v>
      </c>
      <c r="F159">
        <f>E159*Inputs!$B$4</f>
        <v>75</v>
      </c>
      <c r="G159">
        <f t="shared" si="30"/>
        <v>15</v>
      </c>
      <c r="H159">
        <f t="shared" si="31"/>
        <v>15</v>
      </c>
      <c r="I159">
        <f t="shared" si="32"/>
        <v>15</v>
      </c>
      <c r="J159">
        <f t="shared" si="33"/>
        <v>0</v>
      </c>
      <c r="K159">
        <v>3</v>
      </c>
      <c r="L159" t="s">
        <v>198</v>
      </c>
      <c r="M159">
        <f>IF(L159="C",E159*COMBIN(Inputs!$B$4,K159),IF(L159="T",(Inputs!$B$4-K159+1)*E159^K159,IF(L159="PT",E159*(Inputs!$B$4-K159+1),IF(AND(L159="E",K159&lt;=E159),Inputs!$B$4*COMBIN(E159,K159),""))))</f>
        <v>1625</v>
      </c>
      <c r="N159">
        <f t="shared" si="34"/>
        <v>10.949648278415403</v>
      </c>
      <c r="O159">
        <f t="shared" si="35"/>
        <v>10.949648278415403</v>
      </c>
      <c r="P159">
        <f t="shared" si="36"/>
        <v>10.949648278415403</v>
      </c>
      <c r="Q159">
        <f t="shared" si="37"/>
        <v>0.99998243580807977</v>
      </c>
      <c r="R159">
        <f t="shared" si="38"/>
        <v>1.756434617245252E-5</v>
      </c>
      <c r="S159">
        <f>IF(M159="","",IF(L159="C",SUMIFS(Marginal_Model!$J:$J,Marginal_Model!$A:$A,B159,Marginal_Model!$C:$C,K159),IF(L159="T",SUMIFS(Marginal_Model!$K:$K,Marginal_Model!$A:$A,B159,Marginal_Model!$C:$C,K159),IF(L159="PT",SUMIFS(Marginal_Model!$L:$L,Marginal_Model!$A:$A,B159,Marginal_Model!$C:$C,K159),SUMIFS(Marginal_Model!$M:$M,Marginal_Model!$A:$A,B159,Marginal_Model!$C:$C,K159)))))</f>
        <v>2.4065161051462423E-2</v>
      </c>
      <c r="T159">
        <f t="shared" si="39"/>
        <v>3.7269900838969785</v>
      </c>
      <c r="U159">
        <f>IF(M159="","",Inputs!$B$7*R159+Inputs!$B$8*T159)</f>
        <v>0.74541206825633355</v>
      </c>
      <c r="V159">
        <f t="shared" si="40"/>
        <v>0.47453871730417979</v>
      </c>
      <c r="W159">
        <f>Inputs!$B$9</f>
        <v>15</v>
      </c>
      <c r="X159">
        <f t="shared" si="41"/>
        <v>10.949648278415403</v>
      </c>
      <c r="Y159">
        <f t="shared" si="42"/>
        <v>0.99998243580807977</v>
      </c>
      <c r="Z159">
        <f t="shared" si="43"/>
        <v>1.756434617245252E-5</v>
      </c>
      <c r="AA159">
        <f>IF(M159="","",Inputs!$B$7*Z159+Inputs!$B$8*T159)</f>
        <v>0.74541206825633355</v>
      </c>
      <c r="AB159">
        <f t="shared" si="44"/>
        <v>0.47453871730417979</v>
      </c>
    </row>
    <row r="160" spans="1:28">
      <c r="A160" t="s">
        <v>203</v>
      </c>
      <c r="B160">
        <v>2</v>
      </c>
      <c r="C160">
        <v>5</v>
      </c>
      <c r="D160">
        <v>0.2</v>
      </c>
      <c r="E160">
        <f>IF(B160=1,Inputs!$B$5,Inputs!$B$6)</f>
        <v>5</v>
      </c>
      <c r="F160">
        <f>E160*Inputs!$B$4</f>
        <v>75</v>
      </c>
      <c r="G160">
        <f t="shared" si="30"/>
        <v>15</v>
      </c>
      <c r="H160">
        <f t="shared" si="31"/>
        <v>15</v>
      </c>
      <c r="I160">
        <f t="shared" si="32"/>
        <v>15</v>
      </c>
      <c r="J160">
        <f t="shared" si="33"/>
        <v>0</v>
      </c>
      <c r="K160">
        <v>3</v>
      </c>
      <c r="L160" t="s">
        <v>199</v>
      </c>
      <c r="M160">
        <f>IF(L160="C",E160*COMBIN(Inputs!$B$4,K160),IF(L160="T",(Inputs!$B$4-K160+1)*E160^K160,IF(L160="PT",E160*(Inputs!$B$4-K160+1),IF(AND(L160="E",K160&lt;=E160),Inputs!$B$4*COMBIN(E160,K160),""))))</f>
        <v>65</v>
      </c>
      <c r="N160">
        <f t="shared" si="34"/>
        <v>0.4379859311366161</v>
      </c>
      <c r="O160">
        <f t="shared" si="35"/>
        <v>0.4379859311366161</v>
      </c>
      <c r="P160">
        <f t="shared" si="36"/>
        <v>0.4379859311366161</v>
      </c>
      <c r="Q160">
        <f t="shared" si="37"/>
        <v>0.35466513807856237</v>
      </c>
      <c r="R160">
        <f t="shared" si="38"/>
        <v>1.0365812076868104</v>
      </c>
      <c r="S160">
        <f>IF(M160="","",IF(L160="C",SUMIFS(Marginal_Model!$J:$J,Marginal_Model!$A:$A,B160,Marginal_Model!$C:$C,K160),IF(L160="T",SUMIFS(Marginal_Model!$K:$K,Marginal_Model!$A:$A,B160,Marginal_Model!$C:$C,K160),IF(L160="PT",SUMIFS(Marginal_Model!$L:$L,Marginal_Model!$A:$A,B160,Marginal_Model!$C:$C,K160),SUMIFS(Marginal_Model!$M:$M,Marginal_Model!$A:$A,B160,Marginal_Model!$C:$C,K160)))))</f>
        <v>9.6260644205849687E-4</v>
      </c>
      <c r="T160">
        <f t="shared" si="39"/>
        <v>6.9458659087651791</v>
      </c>
      <c r="U160">
        <f>IF(M160="","",Inputs!$B$7*R160+Inputs!$B$8*T160)</f>
        <v>2.2184381479024839</v>
      </c>
      <c r="V160">
        <f t="shared" si="40"/>
        <v>0.10877887272792965</v>
      </c>
      <c r="W160">
        <f>Inputs!$B$9</f>
        <v>15</v>
      </c>
      <c r="X160">
        <f t="shared" si="41"/>
        <v>0.4379859311366161</v>
      </c>
      <c r="Y160">
        <f t="shared" si="42"/>
        <v>0.35466513807856237</v>
      </c>
      <c r="Z160">
        <f t="shared" si="43"/>
        <v>1.0365812076868104</v>
      </c>
      <c r="AA160">
        <f>IF(M160="","",Inputs!$B$7*Z160+Inputs!$B$8*T160)</f>
        <v>2.2184381479024839</v>
      </c>
      <c r="AB160">
        <f t="shared" si="44"/>
        <v>0.10877887272792965</v>
      </c>
    </row>
    <row r="161" spans="1:28">
      <c r="A161" t="s">
        <v>203</v>
      </c>
      <c r="B161">
        <v>2</v>
      </c>
      <c r="C161">
        <v>5</v>
      </c>
      <c r="D161">
        <v>0.2</v>
      </c>
      <c r="E161">
        <f>IF(B161=1,Inputs!$B$5,Inputs!$B$6)</f>
        <v>5</v>
      </c>
      <c r="F161">
        <f>E161*Inputs!$B$4</f>
        <v>75</v>
      </c>
      <c r="G161">
        <f t="shared" si="30"/>
        <v>15</v>
      </c>
      <c r="H161">
        <f t="shared" si="31"/>
        <v>15</v>
      </c>
      <c r="I161">
        <f t="shared" si="32"/>
        <v>15</v>
      </c>
      <c r="J161">
        <f t="shared" si="33"/>
        <v>0</v>
      </c>
      <c r="K161">
        <v>3</v>
      </c>
      <c r="L161" t="s">
        <v>200</v>
      </c>
      <c r="M161">
        <f>IF(L161="C",E161*COMBIN(Inputs!$B$4,K161),IF(L161="T",(Inputs!$B$4-K161+1)*E161^K161,IF(L161="PT",E161*(Inputs!$B$4-K161+1),IF(AND(L161="E",K161&lt;=E161),Inputs!$B$4*COMBIN(E161,K161),""))))</f>
        <v>150</v>
      </c>
      <c r="N161">
        <f t="shared" si="34"/>
        <v>1.0107367641614218</v>
      </c>
      <c r="O161">
        <f t="shared" si="35"/>
        <v>1.0107367641614218</v>
      </c>
      <c r="P161">
        <f t="shared" si="36"/>
        <v>1.0107367641614218</v>
      </c>
      <c r="Q161">
        <f t="shared" si="37"/>
        <v>0.63604926509087356</v>
      </c>
      <c r="R161">
        <f t="shared" si="38"/>
        <v>0.45247925780724357</v>
      </c>
      <c r="S161">
        <f>IF(M161="","",IF(L161="C",SUMIFS(Marginal_Model!$J:$J,Marginal_Model!$A:$A,B161,Marginal_Model!$C:$C,K161),IF(L161="T",SUMIFS(Marginal_Model!$K:$K,Marginal_Model!$A:$A,B161,Marginal_Model!$C:$C,K161),IF(L161="PT",SUMIFS(Marginal_Model!$L:$L,Marginal_Model!$A:$A,B161,Marginal_Model!$C:$C,K161),SUMIFS(Marginal_Model!$M:$M,Marginal_Model!$A:$A,B161,Marginal_Model!$C:$C,K161)))))</f>
        <v>2.2213994816734544E-3</v>
      </c>
      <c r="T161">
        <f t="shared" si="39"/>
        <v>6.1096178845645603</v>
      </c>
      <c r="U161">
        <f>IF(M161="","",Inputs!$B$7*R161+Inputs!$B$8*T161)</f>
        <v>1.5839069831587067</v>
      </c>
      <c r="V161">
        <f t="shared" si="40"/>
        <v>0.2051719269749866</v>
      </c>
      <c r="W161">
        <f>Inputs!$B$9</f>
        <v>15</v>
      </c>
      <c r="X161">
        <f t="shared" si="41"/>
        <v>1.0107367641614218</v>
      </c>
      <c r="Y161">
        <f t="shared" si="42"/>
        <v>0.63604926509087356</v>
      </c>
      <c r="Z161">
        <f t="shared" si="43"/>
        <v>0.45247925780724357</v>
      </c>
      <c r="AA161">
        <f>IF(M161="","",Inputs!$B$7*Z161+Inputs!$B$8*T161)</f>
        <v>1.5839069831587067</v>
      </c>
      <c r="AB161">
        <f t="shared" si="44"/>
        <v>0.2051719269749866</v>
      </c>
    </row>
    <row r="162" spans="1:28">
      <c r="A162" t="s">
        <v>203</v>
      </c>
      <c r="B162">
        <v>2</v>
      </c>
      <c r="C162">
        <v>5</v>
      </c>
      <c r="D162">
        <v>0.2</v>
      </c>
      <c r="E162">
        <f>IF(B162=1,Inputs!$B$5,Inputs!$B$6)</f>
        <v>5</v>
      </c>
      <c r="F162">
        <f>E162*Inputs!$B$4</f>
        <v>75</v>
      </c>
      <c r="G162">
        <f t="shared" si="30"/>
        <v>15</v>
      </c>
      <c r="H162">
        <f t="shared" si="31"/>
        <v>15</v>
      </c>
      <c r="I162">
        <f t="shared" si="32"/>
        <v>15</v>
      </c>
      <c r="J162">
        <f t="shared" si="33"/>
        <v>0</v>
      </c>
      <c r="K162">
        <v>4</v>
      </c>
      <c r="L162" t="s">
        <v>197</v>
      </c>
      <c r="M162">
        <f>IF(L162="C",E162*COMBIN(Inputs!$B$4,K162),IF(L162="T",(Inputs!$B$4-K162+1)*E162^K162,IF(L162="PT",E162*(Inputs!$B$4-K162+1),IF(AND(L162="E",K162&lt;=E162),Inputs!$B$4*COMBIN(E162,K162),""))))</f>
        <v>6825</v>
      </c>
      <c r="N162">
        <f t="shared" si="34"/>
        <v>7.6647537948907809</v>
      </c>
      <c r="O162">
        <f t="shared" si="35"/>
        <v>7.6647537948907809</v>
      </c>
      <c r="P162">
        <f t="shared" si="36"/>
        <v>7.6647537948907809</v>
      </c>
      <c r="Q162">
        <f t="shared" si="37"/>
        <v>0.99953092777095853</v>
      </c>
      <c r="R162">
        <f t="shared" si="38"/>
        <v>4.6918227783473033E-4</v>
      </c>
      <c r="S162">
        <f>IF(M162="","",IF(L162="C",SUMIFS(Marginal_Model!$J:$J,Marginal_Model!$A:$A,B162,Marginal_Model!$C:$C,K162),IF(L162="T",SUMIFS(Marginal_Model!$K:$K,Marginal_Model!$A:$A,B162,Marginal_Model!$C:$C,K162),IF(L162="PT",SUMIFS(Marginal_Model!$L:$L,Marginal_Model!$A:$A,B162,Marginal_Model!$C:$C,K162),SUMIFS(Marginal_Model!$M:$M,Marginal_Model!$A:$A,B162,Marginal_Model!$C:$C,K162)))))</f>
        <v>5.6152042453412329E-3</v>
      </c>
      <c r="T162">
        <f t="shared" si="39"/>
        <v>5.1822773165038205</v>
      </c>
      <c r="U162">
        <f>IF(M162="","",Inputs!$B$7*R162+Inputs!$B$8*T162)</f>
        <v>1.0368308091230316</v>
      </c>
      <c r="V162">
        <f t="shared" si="40"/>
        <v>0.35457662419777575</v>
      </c>
      <c r="W162">
        <f>Inputs!$B$9</f>
        <v>15</v>
      </c>
      <c r="X162">
        <f t="shared" si="41"/>
        <v>7.6647537948907809</v>
      </c>
      <c r="Y162">
        <f t="shared" si="42"/>
        <v>0.99953092777095853</v>
      </c>
      <c r="Z162">
        <f t="shared" si="43"/>
        <v>4.6918227783473033E-4</v>
      </c>
      <c r="AA162">
        <f>IF(M162="","",Inputs!$B$7*Z162+Inputs!$B$8*T162)</f>
        <v>1.0368308091230316</v>
      </c>
      <c r="AB162">
        <f t="shared" si="44"/>
        <v>0.35457662419777575</v>
      </c>
    </row>
    <row r="163" spans="1:28">
      <c r="A163" t="s">
        <v>203</v>
      </c>
      <c r="B163">
        <v>2</v>
      </c>
      <c r="C163">
        <v>5</v>
      </c>
      <c r="D163">
        <v>0.2</v>
      </c>
      <c r="E163">
        <f>IF(B163=1,Inputs!$B$5,Inputs!$B$6)</f>
        <v>5</v>
      </c>
      <c r="F163">
        <f>E163*Inputs!$B$4</f>
        <v>75</v>
      </c>
      <c r="G163">
        <f t="shared" si="30"/>
        <v>15</v>
      </c>
      <c r="H163">
        <f t="shared" si="31"/>
        <v>15</v>
      </c>
      <c r="I163">
        <f t="shared" si="32"/>
        <v>15</v>
      </c>
      <c r="J163">
        <f t="shared" si="33"/>
        <v>0</v>
      </c>
      <c r="K163">
        <v>4</v>
      </c>
      <c r="L163" t="s">
        <v>198</v>
      </c>
      <c r="M163">
        <f>IF(L163="C",E163*COMBIN(Inputs!$B$4,K163),IF(L163="T",(Inputs!$B$4-K163+1)*E163^K163,IF(L163="PT",E163*(Inputs!$B$4-K163+1),IF(AND(L163="E",K163&lt;=E163),Inputs!$B$4*COMBIN(E163,K163),""))))</f>
        <v>7500</v>
      </c>
      <c r="N163">
        <f t="shared" si="34"/>
        <v>8.4228063680118481</v>
      </c>
      <c r="O163">
        <f t="shared" si="35"/>
        <v>8.4228063680118481</v>
      </c>
      <c r="P163">
        <f t="shared" si="36"/>
        <v>8.4228063680118481</v>
      </c>
      <c r="Q163">
        <f t="shared" si="37"/>
        <v>0.99978020304465232</v>
      </c>
      <c r="R163">
        <f t="shared" si="38"/>
        <v>2.1982111423857285E-4</v>
      </c>
      <c r="S163">
        <f>IF(M163="","",IF(L163="C",SUMIFS(Marginal_Model!$J:$J,Marginal_Model!$A:$A,B163,Marginal_Model!$C:$C,K163),IF(L163="T",SUMIFS(Marginal_Model!$K:$K,Marginal_Model!$A:$A,B163,Marginal_Model!$C:$C,K163),IF(L163="PT",SUMIFS(Marginal_Model!$L:$L,Marginal_Model!$A:$A,B163,Marginal_Model!$C:$C,K163),SUMIFS(Marginal_Model!$M:$M,Marginal_Model!$A:$A,B163,Marginal_Model!$C:$C,K163)))))</f>
        <v>3.0852770578797973E-3</v>
      </c>
      <c r="T163">
        <f t="shared" si="39"/>
        <v>5.7811138175925247</v>
      </c>
      <c r="U163">
        <f>IF(M163="","",Inputs!$B$7*R163+Inputs!$B$8*T163)</f>
        <v>1.1563986204098955</v>
      </c>
      <c r="V163">
        <f t="shared" si="40"/>
        <v>0.31461719900657387</v>
      </c>
      <c r="W163">
        <f>Inputs!$B$9</f>
        <v>15</v>
      </c>
      <c r="X163">
        <f t="shared" si="41"/>
        <v>8.4228063680118481</v>
      </c>
      <c r="Y163">
        <f t="shared" si="42"/>
        <v>0.99978020304465232</v>
      </c>
      <c r="Z163">
        <f t="shared" si="43"/>
        <v>2.1982111423857285E-4</v>
      </c>
      <c r="AA163">
        <f>IF(M163="","",Inputs!$B$7*Z163+Inputs!$B$8*T163)</f>
        <v>1.1563986204098955</v>
      </c>
      <c r="AB163">
        <f t="shared" si="44"/>
        <v>0.31461719900657387</v>
      </c>
    </row>
    <row r="164" spans="1:28">
      <c r="A164" t="s">
        <v>203</v>
      </c>
      <c r="B164">
        <v>2</v>
      </c>
      <c r="C164">
        <v>5</v>
      </c>
      <c r="D164">
        <v>0.2</v>
      </c>
      <c r="E164">
        <f>IF(B164=1,Inputs!$B$5,Inputs!$B$6)</f>
        <v>5</v>
      </c>
      <c r="F164">
        <f>E164*Inputs!$B$4</f>
        <v>75</v>
      </c>
      <c r="G164">
        <f t="shared" si="30"/>
        <v>15</v>
      </c>
      <c r="H164">
        <f t="shared" si="31"/>
        <v>15</v>
      </c>
      <c r="I164">
        <f t="shared" si="32"/>
        <v>15</v>
      </c>
      <c r="J164">
        <f t="shared" si="33"/>
        <v>0</v>
      </c>
      <c r="K164">
        <v>4</v>
      </c>
      <c r="L164" t="s">
        <v>199</v>
      </c>
      <c r="M164">
        <f>IF(L164="C",E164*COMBIN(Inputs!$B$4,K164),IF(L164="T",(Inputs!$B$4-K164+1)*E164^K164,IF(L164="PT",E164*(Inputs!$B$4-K164+1),IF(AND(L164="E",K164&lt;=E164),Inputs!$B$4*COMBIN(E164,K164),""))))</f>
        <v>60</v>
      </c>
      <c r="N164">
        <f t="shared" si="34"/>
        <v>6.7382450944094785E-2</v>
      </c>
      <c r="O164">
        <f t="shared" si="35"/>
        <v>6.7382450944094785E-2</v>
      </c>
      <c r="P164">
        <f t="shared" si="36"/>
        <v>6.7382450944094785E-2</v>
      </c>
      <c r="Q164">
        <f t="shared" si="37"/>
        <v>6.5162396564701353E-2</v>
      </c>
      <c r="R164">
        <f t="shared" si="38"/>
        <v>2.7308727162330997</v>
      </c>
      <c r="S164">
        <f>IF(M164="","",IF(L164="C",SUMIFS(Marginal_Model!$J:$J,Marginal_Model!$A:$A,B164,Marginal_Model!$C:$C,K164),IF(L164="T",SUMIFS(Marginal_Model!$K:$K,Marginal_Model!$A:$A,B164,Marginal_Model!$C:$C,K164),IF(L164="PT",SUMIFS(Marginal_Model!$L:$L,Marginal_Model!$A:$A,B164,Marginal_Model!$C:$C,K164),SUMIFS(Marginal_Model!$M:$M,Marginal_Model!$A:$A,B164,Marginal_Model!$C:$C,K164)))))</f>
        <v>2.468221646303838E-5</v>
      </c>
      <c r="T164">
        <f t="shared" si="39"/>
        <v>10.609427554894825</v>
      </c>
      <c r="U164">
        <f>IF(M164="","",Inputs!$B$7*R164+Inputs!$B$8*T164)</f>
        <v>4.3065836839654441</v>
      </c>
      <c r="V164">
        <f t="shared" si="40"/>
        <v>1.3479521327397525E-2</v>
      </c>
      <c r="W164">
        <f>Inputs!$B$9</f>
        <v>15</v>
      </c>
      <c r="X164">
        <f t="shared" si="41"/>
        <v>6.7382450944094785E-2</v>
      </c>
      <c r="Y164">
        <f t="shared" si="42"/>
        <v>6.5162396564701353E-2</v>
      </c>
      <c r="Z164">
        <f t="shared" si="43"/>
        <v>2.7308727162330997</v>
      </c>
      <c r="AA164">
        <f>IF(M164="","",Inputs!$B$7*Z164+Inputs!$B$8*T164)</f>
        <v>4.3065836839654441</v>
      </c>
      <c r="AB164">
        <f t="shared" si="44"/>
        <v>1.3479521327397525E-2</v>
      </c>
    </row>
    <row r="165" spans="1:28">
      <c r="A165" t="s">
        <v>203</v>
      </c>
      <c r="B165">
        <v>2</v>
      </c>
      <c r="C165">
        <v>5</v>
      </c>
      <c r="D165">
        <v>0.2</v>
      </c>
      <c r="E165">
        <f>IF(B165=1,Inputs!$B$5,Inputs!$B$6)</f>
        <v>5</v>
      </c>
      <c r="F165">
        <f>E165*Inputs!$B$4</f>
        <v>75</v>
      </c>
      <c r="G165">
        <f t="shared" si="30"/>
        <v>15</v>
      </c>
      <c r="H165">
        <f t="shared" si="31"/>
        <v>15</v>
      </c>
      <c r="I165">
        <f t="shared" si="32"/>
        <v>15</v>
      </c>
      <c r="J165">
        <f t="shared" si="33"/>
        <v>0</v>
      </c>
      <c r="K165">
        <v>4</v>
      </c>
      <c r="L165" t="s">
        <v>200</v>
      </c>
      <c r="M165">
        <f>IF(L165="C",E165*COMBIN(Inputs!$B$4,K165),IF(L165="T",(Inputs!$B$4-K165+1)*E165^K165,IF(L165="PT",E165*(Inputs!$B$4-K165+1),IF(AND(L165="E",K165&lt;=E165),Inputs!$B$4*COMBIN(E165,K165),""))))</f>
        <v>75</v>
      </c>
      <c r="N165">
        <f t="shared" si="34"/>
        <v>8.4228063680118467E-2</v>
      </c>
      <c r="O165">
        <f t="shared" si="35"/>
        <v>8.4228063680118467E-2</v>
      </c>
      <c r="P165">
        <f t="shared" si="36"/>
        <v>8.4228063680118467E-2</v>
      </c>
      <c r="Q165">
        <f t="shared" si="37"/>
        <v>8.077840887136567E-2</v>
      </c>
      <c r="R165">
        <f t="shared" si="38"/>
        <v>2.5160455661024388</v>
      </c>
      <c r="S165">
        <f>IF(M165="","",IF(L165="C",SUMIFS(Marginal_Model!$J:$J,Marginal_Model!$A:$A,B165,Marginal_Model!$C:$C,K165),IF(L165="T",SUMIFS(Marginal_Model!$K:$K,Marginal_Model!$A:$A,B165,Marginal_Model!$C:$C,K165),IF(L165="PT",SUMIFS(Marginal_Model!$L:$L,Marginal_Model!$A:$A,B165,Marginal_Model!$C:$C,K165),SUMIFS(Marginal_Model!$M:$M,Marginal_Model!$A:$A,B165,Marginal_Model!$C:$C,K165)))))</f>
        <v>6.1705541157595955E-5</v>
      </c>
      <c r="T165">
        <f t="shared" si="39"/>
        <v>9.6931368230206711</v>
      </c>
      <c r="U165">
        <f>IF(M165="","",Inputs!$B$7*R165+Inputs!$B$8*T165)</f>
        <v>3.951463817486085</v>
      </c>
      <c r="V165">
        <f t="shared" si="40"/>
        <v>1.9226537025294796E-2</v>
      </c>
      <c r="W165">
        <f>Inputs!$B$9</f>
        <v>15</v>
      </c>
      <c r="X165">
        <f t="shared" si="41"/>
        <v>8.4228063680118467E-2</v>
      </c>
      <c r="Y165">
        <f t="shared" si="42"/>
        <v>8.077840887136567E-2</v>
      </c>
      <c r="Z165">
        <f t="shared" si="43"/>
        <v>2.5160455661024388</v>
      </c>
      <c r="AA165">
        <f>IF(M165="","",Inputs!$B$7*Z165+Inputs!$B$8*T165)</f>
        <v>3.951463817486085</v>
      </c>
      <c r="AB165">
        <f t="shared" si="44"/>
        <v>1.9226537025294796E-2</v>
      </c>
    </row>
    <row r="166" spans="1:28">
      <c r="A166" t="s">
        <v>203</v>
      </c>
      <c r="B166">
        <v>2</v>
      </c>
      <c r="C166">
        <v>5</v>
      </c>
      <c r="D166">
        <v>0.2</v>
      </c>
      <c r="E166">
        <f>IF(B166=1,Inputs!$B$5,Inputs!$B$6)</f>
        <v>5</v>
      </c>
      <c r="F166">
        <f>E166*Inputs!$B$4</f>
        <v>75</v>
      </c>
      <c r="G166">
        <f t="shared" si="30"/>
        <v>15</v>
      </c>
      <c r="H166">
        <f t="shared" si="31"/>
        <v>15</v>
      </c>
      <c r="I166">
        <f t="shared" si="32"/>
        <v>15</v>
      </c>
      <c r="J166">
        <f t="shared" si="33"/>
        <v>0</v>
      </c>
      <c r="K166">
        <v>5</v>
      </c>
      <c r="L166" t="s">
        <v>197</v>
      </c>
      <c r="M166">
        <f>IF(L166="C",E166*COMBIN(Inputs!$B$4,K166),IF(L166="T",(Inputs!$B$4-K166+1)*E166^K166,IF(L166="PT",E166*(Inputs!$B$4-K166+1),IF(AND(L166="E",K166&lt;=E166),Inputs!$B$4*COMBIN(E166,K166),""))))</f>
        <v>15015</v>
      </c>
      <c r="N166">
        <f t="shared" si="34"/>
        <v>2.6124935469909421</v>
      </c>
      <c r="O166">
        <f t="shared" si="35"/>
        <v>2.6124935469909421</v>
      </c>
      <c r="P166">
        <f t="shared" si="36"/>
        <v>2.6124935469909421</v>
      </c>
      <c r="Q166">
        <f t="shared" si="37"/>
        <v>0.92664858965648977</v>
      </c>
      <c r="R166">
        <f t="shared" si="38"/>
        <v>7.6180868720778103E-2</v>
      </c>
      <c r="S166">
        <f>IF(M166="","",IF(L166="C",SUMIFS(Marginal_Model!$J:$J,Marginal_Model!$A:$A,B166,Marginal_Model!$C:$C,K166),IF(L166="T",SUMIFS(Marginal_Model!$K:$K,Marginal_Model!$A:$A,B166,Marginal_Model!$C:$C,K166),IF(L166="PT",SUMIFS(Marginal_Model!$L:$L,Marginal_Model!$A:$A,B166,Marginal_Model!$C:$C,K166),SUMIFS(Marginal_Model!$M:$M,Marginal_Model!$A:$A,B166,Marginal_Model!$C:$C,K166)))))</f>
        <v>8.6996122110920499E-4</v>
      </c>
      <c r="T166">
        <f t="shared" si="39"/>
        <v>7.0470619207467653</v>
      </c>
      <c r="U166">
        <f>IF(M166="","",Inputs!$B$7*R166+Inputs!$B$8*T166)</f>
        <v>1.4703570791259752</v>
      </c>
      <c r="V166">
        <f t="shared" si="40"/>
        <v>0.22984339825207159</v>
      </c>
      <c r="W166">
        <f>Inputs!$B$9</f>
        <v>15</v>
      </c>
      <c r="X166">
        <f t="shared" si="41"/>
        <v>2.6124935469909421</v>
      </c>
      <c r="Y166">
        <f t="shared" si="42"/>
        <v>0.92664858965648977</v>
      </c>
      <c r="Z166">
        <f t="shared" si="43"/>
        <v>7.6180868720778103E-2</v>
      </c>
      <c r="AA166">
        <f>IF(M166="","",Inputs!$B$7*Z166+Inputs!$B$8*T166)</f>
        <v>1.4703570791259752</v>
      </c>
      <c r="AB166">
        <f t="shared" si="44"/>
        <v>0.22984339825207159</v>
      </c>
    </row>
    <row r="167" spans="1:28">
      <c r="A167" t="s">
        <v>203</v>
      </c>
      <c r="B167">
        <v>2</v>
      </c>
      <c r="C167">
        <v>5</v>
      </c>
      <c r="D167">
        <v>0.2</v>
      </c>
      <c r="E167">
        <f>IF(B167=1,Inputs!$B$5,Inputs!$B$6)</f>
        <v>5</v>
      </c>
      <c r="F167">
        <f>E167*Inputs!$B$4</f>
        <v>75</v>
      </c>
      <c r="G167">
        <f t="shared" si="30"/>
        <v>15</v>
      </c>
      <c r="H167">
        <f t="shared" si="31"/>
        <v>15</v>
      </c>
      <c r="I167">
        <f t="shared" si="32"/>
        <v>15</v>
      </c>
      <c r="J167">
        <f t="shared" si="33"/>
        <v>0</v>
      </c>
      <c r="K167">
        <v>5</v>
      </c>
      <c r="L167" t="s">
        <v>198</v>
      </c>
      <c r="M167">
        <f>IF(L167="C",E167*COMBIN(Inputs!$B$4,K167),IF(L167="T",(Inputs!$B$4-K167+1)*E167^K167,IF(L167="PT",E167*(Inputs!$B$4-K167+1),IF(AND(L167="E",K167&lt;=E167),Inputs!$B$4*COMBIN(E167,K167),""))))</f>
        <v>34375</v>
      </c>
      <c r="N167">
        <f t="shared" si="34"/>
        <v>5.9809833951257829</v>
      </c>
      <c r="O167">
        <f t="shared" si="35"/>
        <v>5.9809833951257829</v>
      </c>
      <c r="P167">
        <f t="shared" si="36"/>
        <v>5.9809833951257829</v>
      </c>
      <c r="Q167">
        <f t="shared" si="37"/>
        <v>0.9974736593208503</v>
      </c>
      <c r="R167">
        <f t="shared" si="38"/>
        <v>2.5295372626708825E-3</v>
      </c>
      <c r="S167">
        <f>IF(M167="","",IF(L167="C",SUMIFS(Marginal_Model!$J:$J,Marginal_Model!$A:$A,B167,Marginal_Model!$C:$C,K167),IF(L167="T",SUMIFS(Marginal_Model!$K:$K,Marginal_Model!$A:$A,B167,Marginal_Model!$C:$C,K167),IF(L167="PT",SUMIFS(Marginal_Model!$L:$L,Marginal_Model!$A:$A,B167,Marginal_Model!$C:$C,K167),SUMIFS(Marginal_Model!$M:$M,Marginal_Model!$A:$A,B167,Marginal_Model!$C:$C,K167)))))</f>
        <v>3.9833389244926961E-4</v>
      </c>
      <c r="T167">
        <f t="shared" si="39"/>
        <v>7.8282199786294244</v>
      </c>
      <c r="U167">
        <f>IF(M167="","",Inputs!$B$7*R167+Inputs!$B$8*T167)</f>
        <v>1.5676676255360211</v>
      </c>
      <c r="V167">
        <f t="shared" si="40"/>
        <v>0.2085309879477503</v>
      </c>
      <c r="W167">
        <f>Inputs!$B$9</f>
        <v>15</v>
      </c>
      <c r="X167">
        <f t="shared" si="41"/>
        <v>5.9809833951257829</v>
      </c>
      <c r="Y167">
        <f t="shared" si="42"/>
        <v>0.9974736593208503</v>
      </c>
      <c r="Z167">
        <f t="shared" si="43"/>
        <v>2.5295372626708825E-3</v>
      </c>
      <c r="AA167">
        <f>IF(M167="","",Inputs!$B$7*Z167+Inputs!$B$8*T167)</f>
        <v>1.5676676255360211</v>
      </c>
      <c r="AB167">
        <f t="shared" si="44"/>
        <v>0.2085309879477503</v>
      </c>
    </row>
    <row r="168" spans="1:28">
      <c r="A168" t="s">
        <v>203</v>
      </c>
      <c r="B168">
        <v>2</v>
      </c>
      <c r="C168">
        <v>5</v>
      </c>
      <c r="D168">
        <v>0.2</v>
      </c>
      <c r="E168">
        <f>IF(B168=1,Inputs!$B$5,Inputs!$B$6)</f>
        <v>5</v>
      </c>
      <c r="F168">
        <f>E168*Inputs!$B$4</f>
        <v>75</v>
      </c>
      <c r="G168">
        <f t="shared" si="30"/>
        <v>15</v>
      </c>
      <c r="H168">
        <f t="shared" si="31"/>
        <v>15</v>
      </c>
      <c r="I168">
        <f t="shared" si="32"/>
        <v>15</v>
      </c>
      <c r="J168">
        <f t="shared" si="33"/>
        <v>0</v>
      </c>
      <c r="K168">
        <v>5</v>
      </c>
      <c r="L168" t="s">
        <v>199</v>
      </c>
      <c r="M168">
        <f>IF(L168="C",E168*COMBIN(Inputs!$B$4,K168),IF(L168="T",(Inputs!$B$4-K168+1)*E168^K168,IF(L168="PT",E168*(Inputs!$B$4-K168+1),IF(AND(L168="E",K168&lt;=E168),Inputs!$B$4*COMBIN(E168,K168),""))))</f>
        <v>55</v>
      </c>
      <c r="N168">
        <f t="shared" si="34"/>
        <v>9.5695734322012536E-3</v>
      </c>
      <c r="O168">
        <f t="shared" si="35"/>
        <v>9.5695734322012536E-3</v>
      </c>
      <c r="P168">
        <f t="shared" si="36"/>
        <v>9.5695734322012536E-3</v>
      </c>
      <c r="Q168">
        <f t="shared" si="37"/>
        <v>9.5239307739855006E-3</v>
      </c>
      <c r="R168">
        <f t="shared" si="38"/>
        <v>4.6539476189700881</v>
      </c>
      <c r="S168">
        <f>IF(M168="","",IF(L168="C",SUMIFS(Marginal_Model!$J:$J,Marginal_Model!$A:$A,B168,Marginal_Model!$C:$C,K168),IF(L168="T",SUMIFS(Marginal_Model!$K:$K,Marginal_Model!$A:$A,B168,Marginal_Model!$C:$C,K168),IF(L168="PT",SUMIFS(Marginal_Model!$L:$L,Marginal_Model!$A:$A,B168,Marginal_Model!$C:$C,K168),SUMIFS(Marginal_Model!$M:$M,Marginal_Model!$A:$A,B168,Marginal_Model!$C:$C,K168)))))</f>
        <v>6.3733422791883147E-7</v>
      </c>
      <c r="T168">
        <f t="shared" si="39"/>
        <v>14.265971628365826</v>
      </c>
      <c r="U168">
        <f>IF(M168="","",Inputs!$B$7*R168+Inputs!$B$8*T168)</f>
        <v>6.5763524208492354</v>
      </c>
      <c r="V168">
        <f t="shared" si="40"/>
        <v>1.392920828775915E-3</v>
      </c>
      <c r="W168">
        <f>Inputs!$B$9</f>
        <v>15</v>
      </c>
      <c r="X168">
        <f t="shared" si="41"/>
        <v>9.5695734322012536E-3</v>
      </c>
      <c r="Y168">
        <f t="shared" si="42"/>
        <v>9.5239307739855006E-3</v>
      </c>
      <c r="Z168">
        <f t="shared" si="43"/>
        <v>4.6539476189700881</v>
      </c>
      <c r="AA168">
        <f>IF(M168="","",Inputs!$B$7*Z168+Inputs!$B$8*T168)</f>
        <v>6.5763524208492354</v>
      </c>
      <c r="AB168">
        <f t="shared" si="44"/>
        <v>1.392920828775915E-3</v>
      </c>
    </row>
    <row r="169" spans="1:28">
      <c r="A169" t="s">
        <v>203</v>
      </c>
      <c r="B169">
        <v>2</v>
      </c>
      <c r="C169">
        <v>5</v>
      </c>
      <c r="D169">
        <v>0.2</v>
      </c>
      <c r="E169">
        <f>IF(B169=1,Inputs!$B$5,Inputs!$B$6)</f>
        <v>5</v>
      </c>
      <c r="F169">
        <f>E169*Inputs!$B$4</f>
        <v>75</v>
      </c>
      <c r="G169">
        <f t="shared" si="30"/>
        <v>15</v>
      </c>
      <c r="H169">
        <f t="shared" si="31"/>
        <v>15</v>
      </c>
      <c r="I169">
        <f t="shared" si="32"/>
        <v>15</v>
      </c>
      <c r="J169">
        <f t="shared" si="33"/>
        <v>0</v>
      </c>
      <c r="K169">
        <v>5</v>
      </c>
      <c r="L169" t="s">
        <v>200</v>
      </c>
      <c r="M169">
        <f>IF(L169="C",E169*COMBIN(Inputs!$B$4,K169),IF(L169="T",(Inputs!$B$4-K169+1)*E169^K169,IF(L169="PT",E169*(Inputs!$B$4-K169+1),IF(AND(L169="E",K169&lt;=E169),Inputs!$B$4*COMBIN(E169,K169),""))))</f>
        <v>15</v>
      </c>
      <c r="N169">
        <f t="shared" si="34"/>
        <v>2.6098836633276145E-3</v>
      </c>
      <c r="O169">
        <f t="shared" si="35"/>
        <v>2.6098836633276145E-3</v>
      </c>
      <c r="P169">
        <f t="shared" si="36"/>
        <v>2.6098836633276145E-3</v>
      </c>
      <c r="Q169">
        <f t="shared" si="37"/>
        <v>2.6064808778946125E-3</v>
      </c>
      <c r="R169">
        <f t="shared" si="38"/>
        <v>5.9497542900981548</v>
      </c>
      <c r="S169">
        <f>IF(M169="","",IF(L169="C",SUMIFS(Marginal_Model!$J:$J,Marginal_Model!$A:$A,B169,Marginal_Model!$C:$C,K169),IF(L169="T",SUMIFS(Marginal_Model!$K:$K,Marginal_Model!$A:$A,B169,Marginal_Model!$C:$C,K169),IF(L169="PT",SUMIFS(Marginal_Model!$L:$L,Marginal_Model!$A:$A,B169,Marginal_Model!$C:$C,K169),SUMIFS(Marginal_Model!$M:$M,Marginal_Model!$A:$A,B169,Marginal_Model!$C:$C,K169)))))</f>
        <v>8.6909212898022475E-7</v>
      </c>
      <c r="T169">
        <f t="shared" si="39"/>
        <v>13.955816700061986</v>
      </c>
      <c r="U169">
        <f>IF(M169="","",Inputs!$B$7*R169+Inputs!$B$8*T169)</f>
        <v>7.5509667720909199</v>
      </c>
      <c r="V169">
        <f t="shared" si="40"/>
        <v>5.2560174431316676E-4</v>
      </c>
      <c r="W169">
        <f>Inputs!$B$9</f>
        <v>15</v>
      </c>
      <c r="X169">
        <f t="shared" si="41"/>
        <v>2.6098836633276145E-3</v>
      </c>
      <c r="Y169">
        <f t="shared" si="42"/>
        <v>2.6064808778946125E-3</v>
      </c>
      <c r="Z169">
        <f t="shared" si="43"/>
        <v>5.9497542900981548</v>
      </c>
      <c r="AA169">
        <f>IF(M169="","",Inputs!$B$7*Z169+Inputs!$B$8*T169)</f>
        <v>7.5509667720909199</v>
      </c>
      <c r="AB169">
        <f t="shared" si="44"/>
        <v>5.2560174431316676E-4</v>
      </c>
    </row>
    <row r="170" spans="1:28">
      <c r="A170" t="s">
        <v>203</v>
      </c>
      <c r="B170">
        <v>2</v>
      </c>
      <c r="C170">
        <v>5</v>
      </c>
      <c r="D170">
        <v>0.2</v>
      </c>
      <c r="E170">
        <f>IF(B170=1,Inputs!$B$5,Inputs!$B$6)</f>
        <v>5</v>
      </c>
      <c r="F170">
        <f>E170*Inputs!$B$4</f>
        <v>75</v>
      </c>
      <c r="G170">
        <f t="shared" si="30"/>
        <v>15</v>
      </c>
      <c r="H170">
        <f t="shared" si="31"/>
        <v>15</v>
      </c>
      <c r="I170">
        <f t="shared" si="32"/>
        <v>15</v>
      </c>
      <c r="J170">
        <f t="shared" si="33"/>
        <v>0</v>
      </c>
      <c r="K170">
        <v>6</v>
      </c>
      <c r="L170" t="s">
        <v>197</v>
      </c>
      <c r="M170">
        <f>IF(L170="C",E170*COMBIN(Inputs!$B$4,K170),IF(L170="T",(Inputs!$B$4-K170+1)*E170^K170,IF(L170="PT",E170*(Inputs!$B$4-K170+1),IF(AND(L170="E",K170&lt;=E170),Inputs!$B$4*COMBIN(E170,K170),""))))</f>
        <v>25025</v>
      </c>
      <c r="N170">
        <f t="shared" si="34"/>
        <v>0.62202227309308145</v>
      </c>
      <c r="O170">
        <f t="shared" si="35"/>
        <v>0.62202227309308145</v>
      </c>
      <c r="P170">
        <f t="shared" si="36"/>
        <v>0.62202227309308145</v>
      </c>
      <c r="Q170">
        <f t="shared" si="37"/>
        <v>0.46314233372247893</v>
      </c>
      <c r="R170">
        <f t="shared" si="38"/>
        <v>0.76972085589134098</v>
      </c>
      <c r="S170">
        <f>IF(M170="","",IF(L170="C",SUMIFS(Marginal_Model!$J:$J,Marginal_Model!$A:$A,B170,Marginal_Model!$C:$C,K170),IF(L170="T",SUMIFS(Marginal_Model!$K:$K,Marginal_Model!$A:$A,B170,Marginal_Model!$C:$C,K170),IF(L170="PT",SUMIFS(Marginal_Model!$L:$L,Marginal_Model!$A:$A,B170,Marginal_Model!$C:$C,K170),SUMIFS(Marginal_Model!$M:$M,Marginal_Model!$A:$A,B170,Marginal_Model!$C:$C,K170)))))</f>
        <v>1.2428017444417213E-4</v>
      </c>
      <c r="T170">
        <f t="shared" si="39"/>
        <v>8.9929720698020787</v>
      </c>
      <c r="U170">
        <f>IF(M170="","",Inputs!$B$7*R170+Inputs!$B$8*T170)</f>
        <v>2.4143710986734881</v>
      </c>
      <c r="V170">
        <f t="shared" si="40"/>
        <v>8.9423559836598859E-2</v>
      </c>
      <c r="W170">
        <f>Inputs!$B$9</f>
        <v>15</v>
      </c>
      <c r="X170">
        <f t="shared" si="41"/>
        <v>0.62202227309308145</v>
      </c>
      <c r="Y170">
        <f t="shared" si="42"/>
        <v>0.46314233372247893</v>
      </c>
      <c r="Z170">
        <f t="shared" si="43"/>
        <v>0.76972085589134098</v>
      </c>
      <c r="AA170">
        <f>IF(M170="","",Inputs!$B$7*Z170+Inputs!$B$8*T170)</f>
        <v>2.4143710986734881</v>
      </c>
      <c r="AB170">
        <f t="shared" si="44"/>
        <v>8.9423559836598859E-2</v>
      </c>
    </row>
    <row r="171" spans="1:28">
      <c r="A171" t="s">
        <v>203</v>
      </c>
      <c r="B171">
        <v>2</v>
      </c>
      <c r="C171">
        <v>5</v>
      </c>
      <c r="D171">
        <v>0.2</v>
      </c>
      <c r="E171">
        <f>IF(B171=1,Inputs!$B$5,Inputs!$B$6)</f>
        <v>5</v>
      </c>
      <c r="F171">
        <f>E171*Inputs!$B$4</f>
        <v>75</v>
      </c>
      <c r="G171">
        <f t="shared" si="30"/>
        <v>15</v>
      </c>
      <c r="H171">
        <f t="shared" si="31"/>
        <v>15</v>
      </c>
      <c r="I171">
        <f t="shared" si="32"/>
        <v>15</v>
      </c>
      <c r="J171">
        <f t="shared" si="33"/>
        <v>0</v>
      </c>
      <c r="K171">
        <v>6</v>
      </c>
      <c r="L171" t="s">
        <v>198</v>
      </c>
      <c r="M171">
        <f>IF(L171="C",E171*COMBIN(Inputs!$B$4,K171),IF(L171="T",(Inputs!$B$4-K171+1)*E171^K171,IF(L171="PT",E171*(Inputs!$B$4-K171+1),IF(AND(L171="E",K171&lt;=E171),Inputs!$B$4*COMBIN(E171,K171),""))))</f>
        <v>156250</v>
      </c>
      <c r="N171">
        <f t="shared" si="34"/>
        <v>3.8837554513803787</v>
      </c>
      <c r="O171">
        <f t="shared" si="35"/>
        <v>3.8837554513803787</v>
      </c>
      <c r="P171">
        <f t="shared" si="36"/>
        <v>3.8837554513803787</v>
      </c>
      <c r="Q171">
        <f t="shared" si="37"/>
        <v>0.97942658254676562</v>
      </c>
      <c r="R171">
        <f t="shared" si="38"/>
        <v>2.0787998417182398E-2</v>
      </c>
      <c r="S171">
        <f>IF(M171="","",IF(L171="C",SUMIFS(Marginal_Model!$J:$J,Marginal_Model!$A:$A,B171,Marginal_Model!$C:$C,K171),IF(L171="T",SUMIFS(Marginal_Model!$K:$K,Marginal_Model!$A:$A,B171,Marginal_Model!$C:$C,K171),IF(L171="PT",SUMIFS(Marginal_Model!$L:$L,Marginal_Model!$A:$A,B171,Marginal_Model!$C:$C,K171),SUMIFS(Marginal_Model!$M:$M,Marginal_Model!$A:$A,B171,Marginal_Model!$C:$C,K171)))))</f>
        <v>5.1731674344060982E-5</v>
      </c>
      <c r="T171">
        <f t="shared" si="39"/>
        <v>9.8694403074890626</v>
      </c>
      <c r="U171">
        <f>IF(M171="","",Inputs!$B$7*R171+Inputs!$B$8*T171)</f>
        <v>1.990518460231558</v>
      </c>
      <c r="V171">
        <f t="shared" si="40"/>
        <v>0.13662457267235414</v>
      </c>
      <c r="W171">
        <f>Inputs!$B$9</f>
        <v>15</v>
      </c>
      <c r="X171">
        <f t="shared" si="41"/>
        <v>3.8837554513803787</v>
      </c>
      <c r="Y171">
        <f t="shared" si="42"/>
        <v>0.97942658254676562</v>
      </c>
      <c r="Z171">
        <f t="shared" si="43"/>
        <v>2.0787998417182398E-2</v>
      </c>
      <c r="AA171">
        <f>IF(M171="","",Inputs!$B$7*Z171+Inputs!$B$8*T171)</f>
        <v>1.990518460231558</v>
      </c>
      <c r="AB171">
        <f t="shared" si="44"/>
        <v>0.13662457267235414</v>
      </c>
    </row>
    <row r="172" spans="1:28">
      <c r="A172" t="s">
        <v>203</v>
      </c>
      <c r="B172">
        <v>2</v>
      </c>
      <c r="C172">
        <v>5</v>
      </c>
      <c r="D172">
        <v>0.2</v>
      </c>
      <c r="E172">
        <f>IF(B172=1,Inputs!$B$5,Inputs!$B$6)</f>
        <v>5</v>
      </c>
      <c r="F172">
        <f>E172*Inputs!$B$4</f>
        <v>75</v>
      </c>
      <c r="G172">
        <f t="shared" si="30"/>
        <v>15</v>
      </c>
      <c r="H172">
        <f t="shared" si="31"/>
        <v>15</v>
      </c>
      <c r="I172">
        <f t="shared" si="32"/>
        <v>15</v>
      </c>
      <c r="J172">
        <f t="shared" si="33"/>
        <v>0</v>
      </c>
      <c r="K172">
        <v>6</v>
      </c>
      <c r="L172" t="s">
        <v>199</v>
      </c>
      <c r="M172">
        <f>IF(L172="C",E172*COMBIN(Inputs!$B$4,K172),IF(L172="T",(Inputs!$B$4-K172+1)*E172^K172,IF(L172="PT",E172*(Inputs!$B$4-K172+1),IF(AND(L172="E",K172&lt;=E172),Inputs!$B$4*COMBIN(E172,K172),""))))</f>
        <v>50</v>
      </c>
      <c r="N172">
        <f t="shared" si="34"/>
        <v>1.2428017444417211E-3</v>
      </c>
      <c r="O172">
        <f t="shared" si="35"/>
        <v>1.2428017444417211E-3</v>
      </c>
      <c r="P172">
        <f t="shared" si="36"/>
        <v>1.2428017444417211E-3</v>
      </c>
      <c r="Q172">
        <f t="shared" si="37"/>
        <v>1.2420297861838181E-3</v>
      </c>
      <c r="R172">
        <f t="shared" si="38"/>
        <v>6.6910083133237874</v>
      </c>
      <c r="S172">
        <f>IF(M172="","",IF(L172="C",SUMIFS(Marginal_Model!$J:$J,Marginal_Model!$A:$A,B172,Marginal_Model!$C:$C,K172),IF(L172="T",SUMIFS(Marginal_Model!$K:$K,Marginal_Model!$A:$A,B172,Marginal_Model!$C:$C,K172),IF(L172="PT",SUMIFS(Marginal_Model!$L:$L,Marginal_Model!$A:$A,B172,Marginal_Model!$C:$C,K172),SUMIFS(Marginal_Model!$M:$M,Marginal_Model!$A:$A,B172,Marginal_Model!$C:$C,K172)))))</f>
        <v>1.6554135790099519E-8</v>
      </c>
      <c r="T172">
        <f t="shared" si="39"/>
        <v>17.916629869659563</v>
      </c>
      <c r="U172">
        <f>IF(M172="","",Inputs!$B$7*R172+Inputs!$B$8*T172)</f>
        <v>8.9361326245909414</v>
      </c>
      <c r="V172">
        <f t="shared" si="40"/>
        <v>1.3154880630585479E-4</v>
      </c>
      <c r="W172">
        <f>Inputs!$B$9</f>
        <v>15</v>
      </c>
      <c r="X172">
        <f t="shared" si="41"/>
        <v>1.2428017444417211E-3</v>
      </c>
      <c r="Y172">
        <f t="shared" si="42"/>
        <v>1.2420297861838181E-3</v>
      </c>
      <c r="Z172">
        <f t="shared" si="43"/>
        <v>6.6910083133237874</v>
      </c>
      <c r="AA172">
        <f>IF(M172="","",Inputs!$B$7*Z172+Inputs!$B$8*T172)</f>
        <v>8.9361326245909414</v>
      </c>
      <c r="AB172">
        <f t="shared" si="44"/>
        <v>1.3154880630585479E-4</v>
      </c>
    </row>
    <row r="173" spans="1:28">
      <c r="A173" t="s">
        <v>203</v>
      </c>
      <c r="B173">
        <v>2</v>
      </c>
      <c r="C173">
        <v>5</v>
      </c>
      <c r="D173">
        <v>0.2</v>
      </c>
      <c r="E173">
        <f>IF(B173=1,Inputs!$B$5,Inputs!$B$6)</f>
        <v>5</v>
      </c>
      <c r="F173">
        <f>E173*Inputs!$B$4</f>
        <v>75</v>
      </c>
      <c r="G173">
        <f t="shared" si="30"/>
        <v>15</v>
      </c>
      <c r="H173">
        <f t="shared" si="31"/>
        <v>15</v>
      </c>
      <c r="I173">
        <f t="shared" si="32"/>
        <v>15</v>
      </c>
      <c r="J173">
        <f t="shared" si="33"/>
        <v>0</v>
      </c>
      <c r="K173">
        <v>6</v>
      </c>
      <c r="L173" t="s">
        <v>200</v>
      </c>
      <c r="M173" t="str">
        <f>IF(L173="C",E173*COMBIN(Inputs!$B$4,K173),IF(L173="T",(Inputs!$B$4-K173+1)*E173^K173,IF(L173="PT",E173*(Inputs!$B$4-K173+1),IF(AND(L173="E",K173&lt;=E173),Inputs!$B$4*COMBIN(E173,K173),""))))</f>
        <v/>
      </c>
      <c r="N173" t="str">
        <f t="shared" si="34"/>
        <v/>
      </c>
      <c r="O173" t="str">
        <f t="shared" si="35"/>
        <v/>
      </c>
      <c r="P173" t="str">
        <f t="shared" si="36"/>
        <v/>
      </c>
      <c r="Q173" t="str">
        <f t="shared" si="37"/>
        <v/>
      </c>
      <c r="R173" t="str">
        <f t="shared" si="38"/>
        <v/>
      </c>
      <c r="S173" t="str">
        <f>IF(M173="","",IF(L173="C",SUMIFS(Marginal_Model!$J:$J,Marginal_Model!$A:$A,B173,Marginal_Model!$C:$C,K173),IF(L173="T",SUMIFS(Marginal_Model!$K:$K,Marginal_Model!$A:$A,B173,Marginal_Model!$C:$C,K173),IF(L173="PT",SUMIFS(Marginal_Model!$L:$L,Marginal_Model!$A:$A,B173,Marginal_Model!$C:$C,K173),SUMIFS(Marginal_Model!$M:$M,Marginal_Model!$A:$A,B173,Marginal_Model!$C:$C,K173)))))</f>
        <v/>
      </c>
      <c r="T173" t="str">
        <f t="shared" si="39"/>
        <v/>
      </c>
      <c r="U173" t="str">
        <f>IF(M173="","",Inputs!$B$7*R173+Inputs!$B$8*T173)</f>
        <v/>
      </c>
      <c r="V173" t="str">
        <f t="shared" si="40"/>
        <v/>
      </c>
      <c r="W173">
        <f>Inputs!$B$9</f>
        <v>15</v>
      </c>
      <c r="X173" t="str">
        <f t="shared" si="41"/>
        <v/>
      </c>
      <c r="Y173" t="str">
        <f t="shared" si="42"/>
        <v/>
      </c>
      <c r="Z173" t="str">
        <f t="shared" si="43"/>
        <v/>
      </c>
      <c r="AA173" t="str">
        <f>IF(M173="","",Inputs!$B$7*Z173+Inputs!$B$8*T173)</f>
        <v/>
      </c>
      <c r="AB173" t="str">
        <f t="shared" si="44"/>
        <v/>
      </c>
    </row>
    <row r="174" spans="1:28">
      <c r="A174" t="s">
        <v>203</v>
      </c>
      <c r="B174">
        <v>2</v>
      </c>
      <c r="C174">
        <v>5</v>
      </c>
      <c r="D174">
        <v>0.2</v>
      </c>
      <c r="E174">
        <f>IF(B174=1,Inputs!$B$5,Inputs!$B$6)</f>
        <v>5</v>
      </c>
      <c r="F174">
        <f>E174*Inputs!$B$4</f>
        <v>75</v>
      </c>
      <c r="G174">
        <f t="shared" si="30"/>
        <v>15</v>
      </c>
      <c r="H174">
        <f t="shared" si="31"/>
        <v>15</v>
      </c>
      <c r="I174">
        <f t="shared" si="32"/>
        <v>15</v>
      </c>
      <c r="J174">
        <f t="shared" si="33"/>
        <v>0</v>
      </c>
      <c r="K174">
        <v>7</v>
      </c>
      <c r="L174" t="s">
        <v>197</v>
      </c>
      <c r="M174">
        <f>IF(L174="C",E174*COMBIN(Inputs!$B$4,K174),IF(L174="T",(Inputs!$B$4-K174+1)*E174^K174,IF(L174="PT",E174*(Inputs!$B$4-K174+1),IF(AND(L174="E",K174&lt;=E174),Inputs!$B$4*COMBIN(E174,K174),""))))</f>
        <v>32174.999999999996</v>
      </c>
      <c r="N174">
        <f t="shared" si="34"/>
        <v>0.10431429424542359</v>
      </c>
      <c r="O174">
        <f t="shared" si="35"/>
        <v>0.10431429424542359</v>
      </c>
      <c r="P174">
        <f t="shared" si="36"/>
        <v>0.10431429424542359</v>
      </c>
      <c r="Q174">
        <f t="shared" si="37"/>
        <v>9.9057907996357053E-2</v>
      </c>
      <c r="R174">
        <f t="shared" si="38"/>
        <v>2.3120506705958523</v>
      </c>
      <c r="S174">
        <f>IF(M174="","",IF(L174="C",SUMIFS(Marginal_Model!$J:$J,Marginal_Model!$A:$A,B174,Marginal_Model!$C:$C,K174),IF(L174="T",SUMIFS(Marginal_Model!$K:$K,Marginal_Model!$A:$A,B174,Marginal_Model!$C:$C,K174),IF(L174="PT",SUMIFS(Marginal_Model!$L:$L,Marginal_Model!$A:$A,B174,Marginal_Model!$C:$C,K174),SUMIFS(Marginal_Model!$M:$M,Marginal_Model!$A:$A,B174,Marginal_Model!$C:$C,K174)))))</f>
        <v>1.6210457536196364E-5</v>
      </c>
      <c r="T174">
        <f t="shared" si="39"/>
        <v>11.029853997063119</v>
      </c>
      <c r="U174">
        <f>IF(M174="","",Inputs!$B$7*R174+Inputs!$B$8*T174)</f>
        <v>4.0556113358893056</v>
      </c>
      <c r="V174">
        <f t="shared" si="40"/>
        <v>1.7324885621019744E-2</v>
      </c>
      <c r="W174">
        <f>Inputs!$B$9</f>
        <v>15</v>
      </c>
      <c r="X174">
        <f t="shared" si="41"/>
        <v>0.10431429424542359</v>
      </c>
      <c r="Y174">
        <f t="shared" si="42"/>
        <v>9.9057907996357053E-2</v>
      </c>
      <c r="Z174">
        <f t="shared" si="43"/>
        <v>2.3120506705958523</v>
      </c>
      <c r="AA174">
        <f>IF(M174="","",Inputs!$B$7*Z174+Inputs!$B$8*T174)</f>
        <v>4.0556113358893056</v>
      </c>
      <c r="AB174">
        <f t="shared" si="44"/>
        <v>1.7324885621019744E-2</v>
      </c>
    </row>
    <row r="175" spans="1:28">
      <c r="A175" t="s">
        <v>203</v>
      </c>
      <c r="B175">
        <v>2</v>
      </c>
      <c r="C175">
        <v>5</v>
      </c>
      <c r="D175">
        <v>0.2</v>
      </c>
      <c r="E175">
        <f>IF(B175=1,Inputs!$B$5,Inputs!$B$6)</f>
        <v>5</v>
      </c>
      <c r="F175">
        <f>E175*Inputs!$B$4</f>
        <v>75</v>
      </c>
      <c r="G175">
        <f t="shared" si="30"/>
        <v>15</v>
      </c>
      <c r="H175">
        <f t="shared" si="31"/>
        <v>15</v>
      </c>
      <c r="I175">
        <f t="shared" si="32"/>
        <v>15</v>
      </c>
      <c r="J175">
        <f t="shared" si="33"/>
        <v>0</v>
      </c>
      <c r="K175">
        <v>7</v>
      </c>
      <c r="L175" t="s">
        <v>198</v>
      </c>
      <c r="M175">
        <f>IF(L175="C",E175*COMBIN(Inputs!$B$4,K175),IF(L175="T",(Inputs!$B$4-K175+1)*E175^K175,IF(L175="PT",E175*(Inputs!$B$4-K175+1),IF(AND(L175="E",K175&lt;=E175),Inputs!$B$4*COMBIN(E175,K175),""))))</f>
        <v>703125</v>
      </c>
      <c r="N175">
        <f t="shared" si="34"/>
        <v>2.2795955910276136</v>
      </c>
      <c r="O175">
        <f t="shared" si="35"/>
        <v>2.2795955910276136</v>
      </c>
      <c r="P175">
        <f t="shared" si="36"/>
        <v>2.2795955910276136</v>
      </c>
      <c r="Q175">
        <f t="shared" si="37"/>
        <v>0.8976744202682877</v>
      </c>
      <c r="R175">
        <f t="shared" si="38"/>
        <v>0.10794783736950339</v>
      </c>
      <c r="S175">
        <f>IF(M175="","",IF(L175="C",SUMIFS(Marginal_Model!$J:$J,Marginal_Model!$A:$A,B175,Marginal_Model!$C:$C,K175),IF(L175="T",SUMIFS(Marginal_Model!$K:$K,Marginal_Model!$A:$A,B175,Marginal_Model!$C:$C,K175),IF(L175="PT",SUMIFS(Marginal_Model!$L:$L,Marginal_Model!$A:$A,B175,Marginal_Model!$C:$C,K175),SUMIFS(Marginal_Model!$M:$M,Marginal_Model!$A:$A,B175,Marginal_Model!$C:$C,K175)))))</f>
        <v>6.7476096970514322E-6</v>
      </c>
      <c r="T175">
        <f t="shared" si="39"/>
        <v>11.906322234750103</v>
      </c>
      <c r="U175">
        <f>IF(M175="","",Inputs!$B$7*R175+Inputs!$B$8*T175)</f>
        <v>2.4676227168456228</v>
      </c>
      <c r="V175">
        <f t="shared" si="40"/>
        <v>8.4786180366115224E-2</v>
      </c>
      <c r="W175">
        <f>Inputs!$B$9</f>
        <v>15</v>
      </c>
      <c r="X175">
        <f t="shared" si="41"/>
        <v>2.2795955910276136</v>
      </c>
      <c r="Y175">
        <f t="shared" si="42"/>
        <v>0.8976744202682877</v>
      </c>
      <c r="Z175">
        <f t="shared" si="43"/>
        <v>0.10794783736950339</v>
      </c>
      <c r="AA175">
        <f>IF(M175="","",Inputs!$B$7*Z175+Inputs!$B$8*T175)</f>
        <v>2.4676227168456228</v>
      </c>
      <c r="AB175">
        <f t="shared" si="44"/>
        <v>8.4786180366115224E-2</v>
      </c>
    </row>
    <row r="176" spans="1:28">
      <c r="A176" t="s">
        <v>203</v>
      </c>
      <c r="B176">
        <v>2</v>
      </c>
      <c r="C176">
        <v>5</v>
      </c>
      <c r="D176">
        <v>0.2</v>
      </c>
      <c r="E176">
        <f>IF(B176=1,Inputs!$B$5,Inputs!$B$6)</f>
        <v>5</v>
      </c>
      <c r="F176">
        <f>E176*Inputs!$B$4</f>
        <v>75</v>
      </c>
      <c r="G176">
        <f t="shared" si="30"/>
        <v>15</v>
      </c>
      <c r="H176">
        <f t="shared" si="31"/>
        <v>15</v>
      </c>
      <c r="I176">
        <f t="shared" si="32"/>
        <v>15</v>
      </c>
      <c r="J176">
        <f t="shared" si="33"/>
        <v>0</v>
      </c>
      <c r="K176">
        <v>7</v>
      </c>
      <c r="L176" t="s">
        <v>199</v>
      </c>
      <c r="M176">
        <f>IF(L176="C",E176*COMBIN(Inputs!$B$4,K176),IF(L176="T",(Inputs!$B$4-K176+1)*E176^K176,IF(L176="PT",E176*(Inputs!$B$4-K176+1),IF(AND(L176="E",K176&lt;=E176),Inputs!$B$4*COMBIN(E176,K176),""))))</f>
        <v>45</v>
      </c>
      <c r="N176">
        <f t="shared" si="34"/>
        <v>1.4589411782576727E-4</v>
      </c>
      <c r="O176">
        <f t="shared" si="35"/>
        <v>1.4589411782576727E-4</v>
      </c>
      <c r="P176">
        <f t="shared" si="36"/>
        <v>1.4589411782576727E-4</v>
      </c>
      <c r="Q176">
        <f t="shared" si="37"/>
        <v>1.458834757964711E-4</v>
      </c>
      <c r="R176">
        <f t="shared" si="38"/>
        <v>8.832702365899145</v>
      </c>
      <c r="S176">
        <f>IF(M176="","",IF(L176="C",SUMIFS(Marginal_Model!$J:$J,Marginal_Model!$A:$A,B176,Marginal_Model!$C:$C,K176),IF(L176="T",SUMIFS(Marginal_Model!$K:$K,Marginal_Model!$A:$A,B176,Marginal_Model!$C:$C,K176),IF(L176="PT",SUMIFS(Marginal_Model!$L:$L,Marginal_Model!$A:$A,B176,Marginal_Model!$C:$C,K176),SUMIFS(Marginal_Model!$M:$M,Marginal_Model!$A:$A,B176,Marginal_Model!$C:$C,K176)))))</f>
        <v>4.3184702061129177E-10</v>
      </c>
      <c r="T176">
        <f t="shared" si="39"/>
        <v>21.562949709354704</v>
      </c>
      <c r="U176">
        <f>IF(M176="","",Inputs!$B$7*R176+Inputs!$B$8*T176)</f>
        <v>11.378751834590258</v>
      </c>
      <c r="V176">
        <f t="shared" si="40"/>
        <v>1.1435913646105979E-5</v>
      </c>
      <c r="W176">
        <f>Inputs!$B$9</f>
        <v>15</v>
      </c>
      <c r="X176">
        <f t="shared" si="41"/>
        <v>1.4589411782576727E-4</v>
      </c>
      <c r="Y176">
        <f t="shared" si="42"/>
        <v>1.458834757964711E-4</v>
      </c>
      <c r="Z176">
        <f t="shared" si="43"/>
        <v>8.832702365899145</v>
      </c>
      <c r="AA176">
        <f>IF(M176="","",Inputs!$B$7*Z176+Inputs!$B$8*T176)</f>
        <v>11.378751834590258</v>
      </c>
      <c r="AB176">
        <f t="shared" si="44"/>
        <v>1.1435913646105979E-5</v>
      </c>
    </row>
    <row r="177" spans="1:28">
      <c r="A177" t="s">
        <v>203</v>
      </c>
      <c r="B177">
        <v>2</v>
      </c>
      <c r="C177">
        <v>5</v>
      </c>
      <c r="D177">
        <v>0.2</v>
      </c>
      <c r="E177">
        <f>IF(B177=1,Inputs!$B$5,Inputs!$B$6)</f>
        <v>5</v>
      </c>
      <c r="F177">
        <f>E177*Inputs!$B$4</f>
        <v>75</v>
      </c>
      <c r="G177">
        <f t="shared" si="30"/>
        <v>15</v>
      </c>
      <c r="H177">
        <f t="shared" si="31"/>
        <v>15</v>
      </c>
      <c r="I177">
        <f t="shared" si="32"/>
        <v>15</v>
      </c>
      <c r="J177">
        <f t="shared" si="33"/>
        <v>0</v>
      </c>
      <c r="K177">
        <v>7</v>
      </c>
      <c r="L177" t="s">
        <v>200</v>
      </c>
      <c r="M177" t="str">
        <f>IF(L177="C",E177*COMBIN(Inputs!$B$4,K177),IF(L177="T",(Inputs!$B$4-K177+1)*E177^K177,IF(L177="PT",E177*(Inputs!$B$4-K177+1),IF(AND(L177="E",K177&lt;=E177),Inputs!$B$4*COMBIN(E177,K177),""))))</f>
        <v/>
      </c>
      <c r="N177" t="str">
        <f t="shared" si="34"/>
        <v/>
      </c>
      <c r="O177" t="str">
        <f t="shared" si="35"/>
        <v/>
      </c>
      <c r="P177" t="str">
        <f t="shared" si="36"/>
        <v/>
      </c>
      <c r="Q177" t="str">
        <f t="shared" si="37"/>
        <v/>
      </c>
      <c r="R177" t="str">
        <f t="shared" si="38"/>
        <v/>
      </c>
      <c r="S177" t="str">
        <f>IF(M177="","",IF(L177="C",SUMIFS(Marginal_Model!$J:$J,Marginal_Model!$A:$A,B177,Marginal_Model!$C:$C,K177),IF(L177="T",SUMIFS(Marginal_Model!$K:$K,Marginal_Model!$A:$A,B177,Marginal_Model!$C:$C,K177),IF(L177="PT",SUMIFS(Marginal_Model!$L:$L,Marginal_Model!$A:$A,B177,Marginal_Model!$C:$C,K177),SUMIFS(Marginal_Model!$M:$M,Marginal_Model!$A:$A,B177,Marginal_Model!$C:$C,K177)))))</f>
        <v/>
      </c>
      <c r="T177" t="str">
        <f t="shared" si="39"/>
        <v/>
      </c>
      <c r="U177" t="str">
        <f>IF(M177="","",Inputs!$B$7*R177+Inputs!$B$8*T177)</f>
        <v/>
      </c>
      <c r="V177" t="str">
        <f t="shared" si="40"/>
        <v/>
      </c>
      <c r="W177">
        <f>Inputs!$B$9</f>
        <v>15</v>
      </c>
      <c r="X177" t="str">
        <f t="shared" si="41"/>
        <v/>
      </c>
      <c r="Y177" t="str">
        <f t="shared" si="42"/>
        <v/>
      </c>
      <c r="Z177" t="str">
        <f t="shared" si="43"/>
        <v/>
      </c>
      <c r="AA177" t="str">
        <f>IF(M177="","",Inputs!$B$7*Z177+Inputs!$B$8*T177)</f>
        <v/>
      </c>
      <c r="AB177" t="str">
        <f t="shared" si="44"/>
        <v/>
      </c>
    </row>
    <row r="178" spans="1:28">
      <c r="A178" t="s">
        <v>203</v>
      </c>
      <c r="B178">
        <v>2</v>
      </c>
      <c r="C178">
        <v>5</v>
      </c>
      <c r="D178">
        <v>0.2</v>
      </c>
      <c r="E178">
        <f>IF(B178=1,Inputs!$B$5,Inputs!$B$6)</f>
        <v>5</v>
      </c>
      <c r="F178">
        <f>E178*Inputs!$B$4</f>
        <v>75</v>
      </c>
      <c r="G178">
        <f t="shared" si="30"/>
        <v>15</v>
      </c>
      <c r="H178">
        <f t="shared" si="31"/>
        <v>15</v>
      </c>
      <c r="I178">
        <f t="shared" si="32"/>
        <v>15</v>
      </c>
      <c r="J178">
        <f t="shared" si="33"/>
        <v>0</v>
      </c>
      <c r="K178">
        <v>8</v>
      </c>
      <c r="L178" t="s">
        <v>197</v>
      </c>
      <c r="M178">
        <f>IF(L178="C",E178*COMBIN(Inputs!$B$4,K178),IF(L178="T",(Inputs!$B$4-K178+1)*E178^K178,IF(L178="PT",E178*(Inputs!$B$4-K178+1),IF(AND(L178="E",K178&lt;=E178),Inputs!$B$4*COMBIN(E178,K178),""))))</f>
        <v>32174.999999999996</v>
      </c>
      <c r="N178">
        <f t="shared" si="34"/>
        <v>1.2272269911226303E-2</v>
      </c>
      <c r="O178">
        <f t="shared" si="35"/>
        <v>1.2272269911226303E-2</v>
      </c>
      <c r="P178">
        <f t="shared" si="36"/>
        <v>1.2272269911226303E-2</v>
      </c>
      <c r="Q178">
        <f t="shared" si="37"/>
        <v>1.2197272715614216E-2</v>
      </c>
      <c r="R178">
        <f t="shared" si="38"/>
        <v>4.4065429001339567</v>
      </c>
      <c r="S178">
        <f>IF(M178="","",IF(L178="C",SUMIFS(Marginal_Model!$J:$J,Marginal_Model!$A:$A,B178,Marginal_Model!$C:$C,K178),IF(L178="T",SUMIFS(Marginal_Model!$K:$K,Marginal_Model!$A:$A,B178,Marginal_Model!$C:$C,K178),IF(L178="PT",SUMIFS(Marginal_Model!$L:$L,Marginal_Model!$A:$A,B178,Marginal_Model!$C:$C,K178),SUMIFS(Marginal_Model!$M:$M,Marginal_Model!$A:$A,B178,Marginal_Model!$C:$C,K178)))))</f>
        <v>1.9071126513172193E-6</v>
      </c>
      <c r="T178">
        <f t="shared" si="39"/>
        <v>13.169920160559389</v>
      </c>
      <c r="U178">
        <f>IF(M178="","",Inputs!$B$7*R178+Inputs!$B$8*T178)</f>
        <v>6.1592183522190425</v>
      </c>
      <c r="V178">
        <f t="shared" si="40"/>
        <v>2.1139049552486677E-3</v>
      </c>
      <c r="W178">
        <f>Inputs!$B$9</f>
        <v>15</v>
      </c>
      <c r="X178">
        <f t="shared" si="41"/>
        <v>1.2272269911226303E-2</v>
      </c>
      <c r="Y178">
        <f t="shared" si="42"/>
        <v>1.2197272715614216E-2</v>
      </c>
      <c r="Z178">
        <f t="shared" si="43"/>
        <v>4.4065429001339567</v>
      </c>
      <c r="AA178">
        <f>IF(M178="","",Inputs!$B$7*Z178+Inputs!$B$8*T178)</f>
        <v>6.1592183522190425</v>
      </c>
      <c r="AB178">
        <f t="shared" si="44"/>
        <v>2.1139049552486677E-3</v>
      </c>
    </row>
    <row r="179" spans="1:28">
      <c r="A179" t="s">
        <v>203</v>
      </c>
      <c r="B179">
        <v>2</v>
      </c>
      <c r="C179">
        <v>5</v>
      </c>
      <c r="D179">
        <v>0.2</v>
      </c>
      <c r="E179">
        <f>IF(B179=1,Inputs!$B$5,Inputs!$B$6)</f>
        <v>5</v>
      </c>
      <c r="F179">
        <f>E179*Inputs!$B$4</f>
        <v>75</v>
      </c>
      <c r="G179">
        <f t="shared" si="30"/>
        <v>15</v>
      </c>
      <c r="H179">
        <f t="shared" si="31"/>
        <v>15</v>
      </c>
      <c r="I179">
        <f t="shared" si="32"/>
        <v>15</v>
      </c>
      <c r="J179">
        <f t="shared" si="33"/>
        <v>0</v>
      </c>
      <c r="K179">
        <v>8</v>
      </c>
      <c r="L179" t="s">
        <v>198</v>
      </c>
      <c r="M179">
        <f>IF(L179="C",E179*COMBIN(Inputs!$B$4,K179),IF(L179="T",(Inputs!$B$4-K179+1)*E179^K179,IF(L179="PT",E179*(Inputs!$B$4-K179+1),IF(AND(L179="E",K179&lt;=E179),Inputs!$B$4*COMBIN(E179,K179),""))))</f>
        <v>3125000</v>
      </c>
      <c r="N179">
        <f t="shared" si="34"/>
        <v>1.191945407073262</v>
      </c>
      <c r="O179">
        <f t="shared" si="35"/>
        <v>1.191945407073262</v>
      </c>
      <c r="P179">
        <f t="shared" si="36"/>
        <v>1.191945407073262</v>
      </c>
      <c r="Q179">
        <f t="shared" si="37"/>
        <v>0.69636999482615825</v>
      </c>
      <c r="R179">
        <f t="shared" si="38"/>
        <v>0.36187415813615531</v>
      </c>
      <c r="S179">
        <f>IF(M179="","",IF(L179="C",SUMIFS(Marginal_Model!$J:$J,Marginal_Model!$A:$A,B179,Marginal_Model!$C:$C,K179),IF(L179="T",SUMIFS(Marginal_Model!$K:$K,Marginal_Model!$A:$A,B179,Marginal_Model!$C:$C,K179),IF(L179="PT",SUMIFS(Marginal_Model!$L:$L,Marginal_Model!$A:$A,B179,Marginal_Model!$C:$C,K179),SUMIFS(Marginal_Model!$M:$M,Marginal_Model!$A:$A,B179,Marginal_Model!$C:$C,K179)))))</f>
        <v>8.8204048327469711E-7</v>
      </c>
      <c r="T179">
        <f t="shared" si="39"/>
        <v>13.941027882588546</v>
      </c>
      <c r="U179">
        <f>IF(M179="","",Inputs!$B$7*R179+Inputs!$B$8*T179)</f>
        <v>3.0777049030266328</v>
      </c>
      <c r="V179">
        <f t="shared" si="40"/>
        <v>4.6064858737039256E-2</v>
      </c>
      <c r="W179">
        <f>Inputs!$B$9</f>
        <v>15</v>
      </c>
      <c r="X179">
        <f t="shared" si="41"/>
        <v>1.191945407073262</v>
      </c>
      <c r="Y179">
        <f t="shared" si="42"/>
        <v>0.69636999482615825</v>
      </c>
      <c r="Z179">
        <f t="shared" si="43"/>
        <v>0.36187415813615531</v>
      </c>
      <c r="AA179">
        <f>IF(M179="","",Inputs!$B$7*Z179+Inputs!$B$8*T179)</f>
        <v>3.0777049030266328</v>
      </c>
      <c r="AB179">
        <f t="shared" si="44"/>
        <v>4.6064858737039256E-2</v>
      </c>
    </row>
    <row r="180" spans="1:28">
      <c r="A180" t="s">
        <v>203</v>
      </c>
      <c r="B180">
        <v>2</v>
      </c>
      <c r="C180">
        <v>5</v>
      </c>
      <c r="D180">
        <v>0.2</v>
      </c>
      <c r="E180">
        <f>IF(B180=1,Inputs!$B$5,Inputs!$B$6)</f>
        <v>5</v>
      </c>
      <c r="F180">
        <f>E180*Inputs!$B$4</f>
        <v>75</v>
      </c>
      <c r="G180">
        <f t="shared" si="30"/>
        <v>15</v>
      </c>
      <c r="H180">
        <f t="shared" si="31"/>
        <v>15</v>
      </c>
      <c r="I180">
        <f t="shared" si="32"/>
        <v>15</v>
      </c>
      <c r="J180">
        <f t="shared" si="33"/>
        <v>0</v>
      </c>
      <c r="K180">
        <v>8</v>
      </c>
      <c r="L180" t="s">
        <v>199</v>
      </c>
      <c r="M180">
        <f>IF(L180="C",E180*COMBIN(Inputs!$B$4,K180),IF(L180="T",(Inputs!$B$4-K180+1)*E180^K180,IF(L180="PT",E180*(Inputs!$B$4-K180+1),IF(AND(L180="E",K180&lt;=E180),Inputs!$B$4*COMBIN(E180,K180),""))))</f>
        <v>40</v>
      </c>
      <c r="N180">
        <f t="shared" si="34"/>
        <v>1.5256901210537754E-5</v>
      </c>
      <c r="O180">
        <f t="shared" si="35"/>
        <v>1.5256901210537754E-5</v>
      </c>
      <c r="P180">
        <f t="shared" si="36"/>
        <v>1.5256901210537754E-5</v>
      </c>
      <c r="Q180">
        <f t="shared" si="37"/>
        <v>1.5256784824613234E-5</v>
      </c>
      <c r="R180">
        <f t="shared" si="38"/>
        <v>11.090486247320404</v>
      </c>
      <c r="S180">
        <f>IF(M180="","",IF(L180="C",SUMIFS(Marginal_Model!$J:$J,Marginal_Model!$A:$A,B180,Marginal_Model!$C:$C,K180),IF(L180="T",SUMIFS(Marginal_Model!$K:$K,Marginal_Model!$A:$A,B180,Marginal_Model!$C:$C,K180),IF(L180="PT",SUMIFS(Marginal_Model!$L:$L,Marginal_Model!$A:$A,B180,Marginal_Model!$C:$C,K180),SUMIFS(Marginal_Model!$M:$M,Marginal_Model!$A:$A,B180,Marginal_Model!$C:$C,K180)))))</f>
        <v>1.1290118185916125E-11</v>
      </c>
      <c r="T180">
        <f t="shared" si="39"/>
        <v>25.207093269627251</v>
      </c>
      <c r="U180">
        <f>IF(M180="","",Inputs!$B$7*R180+Inputs!$B$8*T180)</f>
        <v>13.913807651781774</v>
      </c>
      <c r="V180">
        <f t="shared" si="40"/>
        <v>9.0637958397857385E-7</v>
      </c>
      <c r="W180">
        <f>Inputs!$B$9</f>
        <v>15</v>
      </c>
      <c r="X180">
        <f t="shared" si="41"/>
        <v>1.5256901210537754E-5</v>
      </c>
      <c r="Y180">
        <f t="shared" si="42"/>
        <v>1.5256784824613234E-5</v>
      </c>
      <c r="Z180">
        <f t="shared" si="43"/>
        <v>11.090486247320404</v>
      </c>
      <c r="AA180">
        <f>IF(M180="","",Inputs!$B$7*Z180+Inputs!$B$8*T180)</f>
        <v>13.913807651781774</v>
      </c>
      <c r="AB180">
        <f t="shared" si="44"/>
        <v>9.0637958397857385E-7</v>
      </c>
    </row>
    <row r="181" spans="1:28">
      <c r="A181" t="s">
        <v>203</v>
      </c>
      <c r="B181">
        <v>2</v>
      </c>
      <c r="C181">
        <v>5</v>
      </c>
      <c r="D181">
        <v>0.2</v>
      </c>
      <c r="E181">
        <f>IF(B181=1,Inputs!$B$5,Inputs!$B$6)</f>
        <v>5</v>
      </c>
      <c r="F181">
        <f>E181*Inputs!$B$4</f>
        <v>75</v>
      </c>
      <c r="G181">
        <f t="shared" si="30"/>
        <v>15</v>
      </c>
      <c r="H181">
        <f t="shared" si="31"/>
        <v>15</v>
      </c>
      <c r="I181">
        <f t="shared" si="32"/>
        <v>15</v>
      </c>
      <c r="J181">
        <f t="shared" si="33"/>
        <v>0</v>
      </c>
      <c r="K181">
        <v>8</v>
      </c>
      <c r="L181" t="s">
        <v>200</v>
      </c>
      <c r="M181" t="str">
        <f>IF(L181="C",E181*COMBIN(Inputs!$B$4,K181),IF(L181="T",(Inputs!$B$4-K181+1)*E181^K181,IF(L181="PT",E181*(Inputs!$B$4-K181+1),IF(AND(L181="E",K181&lt;=E181),Inputs!$B$4*COMBIN(E181,K181),""))))</f>
        <v/>
      </c>
      <c r="N181" t="str">
        <f t="shared" si="34"/>
        <v/>
      </c>
      <c r="O181" t="str">
        <f t="shared" si="35"/>
        <v/>
      </c>
      <c r="P181" t="str">
        <f t="shared" si="36"/>
        <v/>
      </c>
      <c r="Q181" t="str">
        <f t="shared" si="37"/>
        <v/>
      </c>
      <c r="R181" t="str">
        <f t="shared" si="38"/>
        <v/>
      </c>
      <c r="S181" t="str">
        <f>IF(M181="","",IF(L181="C",SUMIFS(Marginal_Model!$J:$J,Marginal_Model!$A:$A,B181,Marginal_Model!$C:$C,K181),IF(L181="T",SUMIFS(Marginal_Model!$K:$K,Marginal_Model!$A:$A,B181,Marginal_Model!$C:$C,K181),IF(L181="PT",SUMIFS(Marginal_Model!$L:$L,Marginal_Model!$A:$A,B181,Marginal_Model!$C:$C,K181),SUMIFS(Marginal_Model!$M:$M,Marginal_Model!$A:$A,B181,Marginal_Model!$C:$C,K181)))))</f>
        <v/>
      </c>
      <c r="T181" t="str">
        <f t="shared" si="39"/>
        <v/>
      </c>
      <c r="U181" t="str">
        <f>IF(M181="","",Inputs!$B$7*R181+Inputs!$B$8*T181)</f>
        <v/>
      </c>
      <c r="V181" t="str">
        <f t="shared" si="40"/>
        <v/>
      </c>
      <c r="W181">
        <f>Inputs!$B$9</f>
        <v>15</v>
      </c>
      <c r="X181" t="str">
        <f t="shared" si="41"/>
        <v/>
      </c>
      <c r="Y181" t="str">
        <f t="shared" si="42"/>
        <v/>
      </c>
      <c r="Z181" t="str">
        <f t="shared" si="43"/>
        <v/>
      </c>
      <c r="AA181" t="str">
        <f>IF(M181="","",Inputs!$B$7*Z181+Inputs!$B$8*T181)</f>
        <v/>
      </c>
      <c r="AB181" t="str">
        <f t="shared" si="44"/>
        <v/>
      </c>
    </row>
    <row r="182" spans="1:28">
      <c r="A182" t="s">
        <v>203</v>
      </c>
      <c r="B182">
        <v>2</v>
      </c>
      <c r="C182">
        <v>5</v>
      </c>
      <c r="D182">
        <v>0.2</v>
      </c>
      <c r="E182">
        <f>IF(B182=1,Inputs!$B$5,Inputs!$B$6)</f>
        <v>5</v>
      </c>
      <c r="F182">
        <f>E182*Inputs!$B$4</f>
        <v>75</v>
      </c>
      <c r="G182">
        <f t="shared" si="30"/>
        <v>15</v>
      </c>
      <c r="H182">
        <f t="shared" si="31"/>
        <v>15</v>
      </c>
      <c r="I182">
        <f t="shared" si="32"/>
        <v>15</v>
      </c>
      <c r="J182">
        <f t="shared" si="33"/>
        <v>0</v>
      </c>
      <c r="K182">
        <v>9</v>
      </c>
      <c r="L182" t="s">
        <v>197</v>
      </c>
      <c r="M182">
        <f>IF(L182="C",E182*COMBIN(Inputs!$B$4,K182),IF(L182="T",(Inputs!$B$4-K182+1)*E182^K182,IF(L182="PT",E182*(Inputs!$B$4-K182+1),IF(AND(L182="E",K182&lt;=E182),Inputs!$B$4*COMBIN(E182,K182),""))))</f>
        <v>25025</v>
      </c>
      <c r="N182">
        <f t="shared" si="34"/>
        <v>9.9724913043132499E-4</v>
      </c>
      <c r="O182">
        <f t="shared" si="35"/>
        <v>9.9724913043132499E-4</v>
      </c>
      <c r="P182">
        <f t="shared" si="36"/>
        <v>9.9724913043132499E-4</v>
      </c>
      <c r="Q182">
        <f t="shared" si="37"/>
        <v>9.9675204277105411E-4</v>
      </c>
      <c r="R182">
        <f t="shared" si="38"/>
        <v>6.9110085222732023</v>
      </c>
      <c r="S182">
        <f>IF(M182="","",IF(L182="C",SUMIFS(Marginal_Model!$J:$J,Marginal_Model!$A:$A,B182,Marginal_Model!$C:$C,K182),IF(L182="T",SUMIFS(Marginal_Model!$K:$K,Marginal_Model!$A:$A,B182,Marginal_Model!$C:$C,K182),IF(L182="PT",SUMIFS(Marginal_Model!$L:$L,Marginal_Model!$A:$A,B182,Marginal_Model!$C:$C,K182),SUMIFS(Marginal_Model!$M:$M,Marginal_Model!$A:$A,B182,Marginal_Model!$C:$C,K182)))))</f>
        <v>1.9925057551075426E-7</v>
      </c>
      <c r="T182">
        <f t="shared" si="39"/>
        <v>15.428702630895042</v>
      </c>
      <c r="U182">
        <f>IF(M182="","",Inputs!$B$7*R182+Inputs!$B$8*T182)</f>
        <v>8.6145473439975699</v>
      </c>
      <c r="V182">
        <f t="shared" si="40"/>
        <v>1.8144692994779077E-4</v>
      </c>
      <c r="W182">
        <f>Inputs!$B$9</f>
        <v>15</v>
      </c>
      <c r="X182">
        <f t="shared" si="41"/>
        <v>9.9724913043132499E-4</v>
      </c>
      <c r="Y182">
        <f t="shared" si="42"/>
        <v>9.9675204277105411E-4</v>
      </c>
      <c r="Z182">
        <f t="shared" si="43"/>
        <v>6.9110085222732023</v>
      </c>
      <c r="AA182">
        <f>IF(M182="","",Inputs!$B$7*Z182+Inputs!$B$8*T182)</f>
        <v>8.6145473439975699</v>
      </c>
      <c r="AB182">
        <f t="shared" si="44"/>
        <v>1.8144692994779077E-4</v>
      </c>
    </row>
    <row r="183" spans="1:28">
      <c r="A183" t="s">
        <v>203</v>
      </c>
      <c r="B183">
        <v>2</v>
      </c>
      <c r="C183">
        <v>5</v>
      </c>
      <c r="D183">
        <v>0.2</v>
      </c>
      <c r="E183">
        <f>IF(B183=1,Inputs!$B$5,Inputs!$B$6)</f>
        <v>5</v>
      </c>
      <c r="F183">
        <f>E183*Inputs!$B$4</f>
        <v>75</v>
      </c>
      <c r="G183">
        <f t="shared" si="30"/>
        <v>15</v>
      </c>
      <c r="H183">
        <f t="shared" si="31"/>
        <v>15</v>
      </c>
      <c r="I183">
        <f t="shared" si="32"/>
        <v>15</v>
      </c>
      <c r="J183">
        <f t="shared" si="33"/>
        <v>0</v>
      </c>
      <c r="K183">
        <v>9</v>
      </c>
      <c r="L183" t="s">
        <v>198</v>
      </c>
      <c r="M183">
        <f>IF(L183="C",E183*COMBIN(Inputs!$B$4,K183),IF(L183="T",(Inputs!$B$4-K183+1)*E183^K183,IF(L183="PT",E183*(Inputs!$B$4-K183+1),IF(AND(L183="E",K183&lt;=E183),Inputs!$B$4*COMBIN(E183,K183),""))))</f>
        <v>13671875</v>
      </c>
      <c r="N183">
        <f t="shared" si="34"/>
        <v>0.54482579241221862</v>
      </c>
      <c r="O183">
        <f t="shared" si="35"/>
        <v>0.54482579241221862</v>
      </c>
      <c r="P183">
        <f t="shared" si="36"/>
        <v>0.54482579241221862</v>
      </c>
      <c r="Q183">
        <f t="shared" si="37"/>
        <v>0.42005719502267069</v>
      </c>
      <c r="R183">
        <f t="shared" si="38"/>
        <v>0.86736439835078394</v>
      </c>
      <c r="S183">
        <f>IF(M183="","",IF(L183="C",SUMIFS(Marginal_Model!$J:$J,Marginal_Model!$A:$A,B183,Marginal_Model!$C:$C,K183),IF(L183="T",SUMIFS(Marginal_Model!$K:$K,Marginal_Model!$A:$A,B183,Marginal_Model!$C:$C,K183),IF(L183="PT",SUMIFS(Marginal_Model!$L:$L,Marginal_Model!$A:$A,B183,Marginal_Model!$C:$C,K183),SUMIFS(Marginal_Model!$M:$M,Marginal_Model!$A:$A,B183,Marginal_Model!$C:$C,K183)))))</f>
        <v>1.1519185415900895E-7</v>
      </c>
      <c r="T183">
        <f t="shared" si="39"/>
        <v>15.976666801609991</v>
      </c>
      <c r="U183">
        <f>IF(M183="","",Inputs!$B$7*R183+Inputs!$B$8*T183)</f>
        <v>3.8892248790026245</v>
      </c>
      <c r="V183">
        <f t="shared" si="40"/>
        <v>2.0461199798447838E-2</v>
      </c>
      <c r="W183">
        <f>Inputs!$B$9</f>
        <v>15</v>
      </c>
      <c r="X183">
        <f t="shared" si="41"/>
        <v>0.54482579241221862</v>
      </c>
      <c r="Y183">
        <f t="shared" si="42"/>
        <v>0.42005719502267069</v>
      </c>
      <c r="Z183">
        <f t="shared" si="43"/>
        <v>0.86736439835078394</v>
      </c>
      <c r="AA183">
        <f>IF(M183="","",Inputs!$B$7*Z183+Inputs!$B$8*T183)</f>
        <v>3.8892248790026245</v>
      </c>
      <c r="AB183">
        <f t="shared" si="44"/>
        <v>2.0461199798447838E-2</v>
      </c>
    </row>
    <row r="184" spans="1:28">
      <c r="A184" t="s">
        <v>203</v>
      </c>
      <c r="B184">
        <v>2</v>
      </c>
      <c r="C184">
        <v>5</v>
      </c>
      <c r="D184">
        <v>0.2</v>
      </c>
      <c r="E184">
        <f>IF(B184=1,Inputs!$B$5,Inputs!$B$6)</f>
        <v>5</v>
      </c>
      <c r="F184">
        <f>E184*Inputs!$B$4</f>
        <v>75</v>
      </c>
      <c r="G184">
        <f t="shared" si="30"/>
        <v>15</v>
      </c>
      <c r="H184">
        <f t="shared" si="31"/>
        <v>15</v>
      </c>
      <c r="I184">
        <f t="shared" si="32"/>
        <v>15</v>
      </c>
      <c r="J184">
        <f t="shared" si="33"/>
        <v>0</v>
      </c>
      <c r="K184">
        <v>9</v>
      </c>
      <c r="L184" t="s">
        <v>199</v>
      </c>
      <c r="M184">
        <f>IF(L184="C",E184*COMBIN(Inputs!$B$4,K184),IF(L184="T",(Inputs!$B$4-K184+1)*E184^K184,IF(L184="PT",E184*(Inputs!$B$4-K184+1),IF(AND(L184="E",K184&lt;=E184),Inputs!$B$4*COMBIN(E184,K184),""))))</f>
        <v>35</v>
      </c>
      <c r="N184">
        <f t="shared" si="34"/>
        <v>1.3947540285752797E-6</v>
      </c>
      <c r="O184">
        <f t="shared" si="35"/>
        <v>1.3947540285752797E-6</v>
      </c>
      <c r="P184">
        <f t="shared" si="36"/>
        <v>1.3947540285752797E-6</v>
      </c>
      <c r="Q184">
        <f t="shared" si="37"/>
        <v>1.3947530559388355E-6</v>
      </c>
      <c r="R184">
        <f t="shared" si="38"/>
        <v>13.482793179193358</v>
      </c>
      <c r="S184">
        <f>IF(M184="","",IF(L184="C",SUMIFS(Marginal_Model!$J:$J,Marginal_Model!$A:$A,B184,Marginal_Model!$C:$C,K184),IF(L184="T",SUMIFS(Marginal_Model!$K:$K,Marginal_Model!$A:$A,B184,Marginal_Model!$C:$C,K184),IF(L184="PT",SUMIFS(Marginal_Model!$L:$L,Marginal_Model!$A:$A,B184,Marginal_Model!$C:$C,K184),SUMIFS(Marginal_Model!$M:$M,Marginal_Model!$A:$A,B184,Marginal_Model!$C:$C,K184)))))</f>
        <v>2.9489114664706294E-13</v>
      </c>
      <c r="T184">
        <f t="shared" si="39"/>
        <v>28.852170101082791</v>
      </c>
      <c r="U184">
        <f>IF(M184="","",Inputs!$B$7*R184+Inputs!$B$8*T184)</f>
        <v>16.556668563571243</v>
      </c>
      <c r="V184">
        <f t="shared" si="40"/>
        <v>6.449561734639023E-8</v>
      </c>
      <c r="W184">
        <f>Inputs!$B$9</f>
        <v>15</v>
      </c>
      <c r="X184">
        <f t="shared" si="41"/>
        <v>1.3947540285752797E-6</v>
      </c>
      <c r="Y184">
        <f t="shared" si="42"/>
        <v>1.3947530559388355E-6</v>
      </c>
      <c r="Z184">
        <f t="shared" si="43"/>
        <v>13.482793179193358</v>
      </c>
      <c r="AA184">
        <f>IF(M184="","",Inputs!$B$7*Z184+Inputs!$B$8*T184)</f>
        <v>16.556668563571243</v>
      </c>
      <c r="AB184">
        <f t="shared" si="44"/>
        <v>6.449561734639023E-8</v>
      </c>
    </row>
    <row r="185" spans="1:28">
      <c r="A185" t="s">
        <v>203</v>
      </c>
      <c r="B185">
        <v>2</v>
      </c>
      <c r="C185">
        <v>5</v>
      </c>
      <c r="D185">
        <v>0.2</v>
      </c>
      <c r="E185">
        <f>IF(B185=1,Inputs!$B$5,Inputs!$B$6)</f>
        <v>5</v>
      </c>
      <c r="F185">
        <f>E185*Inputs!$B$4</f>
        <v>75</v>
      </c>
      <c r="G185">
        <f t="shared" si="30"/>
        <v>15</v>
      </c>
      <c r="H185">
        <f t="shared" si="31"/>
        <v>15</v>
      </c>
      <c r="I185">
        <f t="shared" si="32"/>
        <v>15</v>
      </c>
      <c r="J185">
        <f t="shared" si="33"/>
        <v>0</v>
      </c>
      <c r="K185">
        <v>9</v>
      </c>
      <c r="L185" t="s">
        <v>200</v>
      </c>
      <c r="M185" t="str">
        <f>IF(L185="C",E185*COMBIN(Inputs!$B$4,K185),IF(L185="T",(Inputs!$B$4-K185+1)*E185^K185,IF(L185="PT",E185*(Inputs!$B$4-K185+1),IF(AND(L185="E",K185&lt;=E185),Inputs!$B$4*COMBIN(E185,K185),""))))</f>
        <v/>
      </c>
      <c r="N185" t="str">
        <f t="shared" si="34"/>
        <v/>
      </c>
      <c r="O185" t="str">
        <f t="shared" si="35"/>
        <v/>
      </c>
      <c r="P185" t="str">
        <f t="shared" si="36"/>
        <v/>
      </c>
      <c r="Q185" t="str">
        <f t="shared" si="37"/>
        <v/>
      </c>
      <c r="R185" t="str">
        <f t="shared" si="38"/>
        <v/>
      </c>
      <c r="S185" t="str">
        <f>IF(M185="","",IF(L185="C",SUMIFS(Marginal_Model!$J:$J,Marginal_Model!$A:$A,B185,Marginal_Model!$C:$C,K185),IF(L185="T",SUMIFS(Marginal_Model!$K:$K,Marginal_Model!$A:$A,B185,Marginal_Model!$C:$C,K185),IF(L185="PT",SUMIFS(Marginal_Model!$L:$L,Marginal_Model!$A:$A,B185,Marginal_Model!$C:$C,K185),SUMIFS(Marginal_Model!$M:$M,Marginal_Model!$A:$A,B185,Marginal_Model!$C:$C,K185)))))</f>
        <v/>
      </c>
      <c r="T185" t="str">
        <f t="shared" si="39"/>
        <v/>
      </c>
      <c r="U185" t="str">
        <f>IF(M185="","",Inputs!$B$7*R185+Inputs!$B$8*T185)</f>
        <v/>
      </c>
      <c r="V185" t="str">
        <f t="shared" si="40"/>
        <v/>
      </c>
      <c r="W185">
        <f>Inputs!$B$9</f>
        <v>15</v>
      </c>
      <c r="X185" t="str">
        <f t="shared" si="41"/>
        <v/>
      </c>
      <c r="Y185" t="str">
        <f t="shared" si="42"/>
        <v/>
      </c>
      <c r="Z185" t="str">
        <f t="shared" si="43"/>
        <v/>
      </c>
      <c r="AA185" t="str">
        <f>IF(M185="","",Inputs!$B$7*Z185+Inputs!$B$8*T185)</f>
        <v/>
      </c>
      <c r="AB185" t="str">
        <f t="shared" si="44"/>
        <v/>
      </c>
    </row>
    <row r="186" spans="1:28">
      <c r="A186" t="s">
        <v>203</v>
      </c>
      <c r="B186">
        <v>2</v>
      </c>
      <c r="C186">
        <v>5</v>
      </c>
      <c r="D186">
        <v>0.2</v>
      </c>
      <c r="E186">
        <f>IF(B186=1,Inputs!$B$5,Inputs!$B$6)</f>
        <v>5</v>
      </c>
      <c r="F186">
        <f>E186*Inputs!$B$4</f>
        <v>75</v>
      </c>
      <c r="G186">
        <f t="shared" si="30"/>
        <v>15</v>
      </c>
      <c r="H186">
        <f t="shared" si="31"/>
        <v>15</v>
      </c>
      <c r="I186">
        <f t="shared" si="32"/>
        <v>15</v>
      </c>
      <c r="J186">
        <f t="shared" si="33"/>
        <v>0</v>
      </c>
      <c r="K186">
        <v>10</v>
      </c>
      <c r="L186" t="s">
        <v>197</v>
      </c>
      <c r="M186">
        <f>IF(L186="C",E186*COMBIN(Inputs!$B$4,K186),IF(L186="T",(Inputs!$B$4-K186+1)*E186^K186,IF(L186="PT",E186*(Inputs!$B$4-K186+1),IF(AND(L186="E",K186&lt;=E186),Inputs!$B$4*COMBIN(E186,K186),""))))</f>
        <v>15015</v>
      </c>
      <c r="N186">
        <f t="shared" si="34"/>
        <v>5.439540711443591E-5</v>
      </c>
      <c r="O186">
        <f t="shared" si="35"/>
        <v>5.439540711443591E-5</v>
      </c>
      <c r="P186">
        <f t="shared" si="36"/>
        <v>5.439540711443591E-5</v>
      </c>
      <c r="Q186">
        <f t="shared" si="37"/>
        <v>5.4393927711116064E-5</v>
      </c>
      <c r="R186">
        <f t="shared" si="38"/>
        <v>9.819258033290108</v>
      </c>
      <c r="S186">
        <f>IF(M186="","",IF(L186="C",SUMIFS(Marginal_Model!$J:$J,Marginal_Model!$A:$A,B186,Marginal_Model!$C:$C,K186),IF(L186="T",SUMIFS(Marginal_Model!$K:$K,Marginal_Model!$A:$A,B186,Marginal_Model!$C:$C,K186),IF(L186="PT",SUMIFS(Marginal_Model!$L:$L,Marginal_Model!$A:$A,B186,Marginal_Model!$C:$C,K186),SUMIFS(Marginal_Model!$M:$M,Marginal_Model!$A:$A,B186,Marginal_Model!$C:$C,K186)))))</f>
        <v>1.8113688682795842E-8</v>
      </c>
      <c r="T186">
        <f t="shared" si="39"/>
        <v>17.826597903693411</v>
      </c>
      <c r="U186">
        <f>IF(M186="","",Inputs!$B$7*R186+Inputs!$B$8*T186)</f>
        <v>11.420726007370767</v>
      </c>
      <c r="V186">
        <f t="shared" si="40"/>
        <v>1.0965835221863369E-5</v>
      </c>
      <c r="W186">
        <f>Inputs!$B$9</f>
        <v>15</v>
      </c>
      <c r="X186">
        <f t="shared" si="41"/>
        <v>5.439540711443591E-5</v>
      </c>
      <c r="Y186">
        <f t="shared" si="42"/>
        <v>5.4393927711116064E-5</v>
      </c>
      <c r="Z186">
        <f t="shared" si="43"/>
        <v>9.819258033290108</v>
      </c>
      <c r="AA186">
        <f>IF(M186="","",Inputs!$B$7*Z186+Inputs!$B$8*T186)</f>
        <v>11.420726007370767</v>
      </c>
      <c r="AB186">
        <f t="shared" si="44"/>
        <v>1.0965835221863369E-5</v>
      </c>
    </row>
    <row r="187" spans="1:28">
      <c r="A187" t="s">
        <v>203</v>
      </c>
      <c r="B187">
        <v>2</v>
      </c>
      <c r="C187">
        <v>5</v>
      </c>
      <c r="D187">
        <v>0.2</v>
      </c>
      <c r="E187">
        <f>IF(B187=1,Inputs!$B$5,Inputs!$B$6)</f>
        <v>5</v>
      </c>
      <c r="F187">
        <f>E187*Inputs!$B$4</f>
        <v>75</v>
      </c>
      <c r="G187">
        <f t="shared" si="30"/>
        <v>15</v>
      </c>
      <c r="H187">
        <f t="shared" si="31"/>
        <v>15</v>
      </c>
      <c r="I187">
        <f t="shared" si="32"/>
        <v>15</v>
      </c>
      <c r="J187">
        <f t="shared" si="33"/>
        <v>0</v>
      </c>
      <c r="K187">
        <v>10</v>
      </c>
      <c r="L187" t="s">
        <v>198</v>
      </c>
      <c r="M187">
        <f>IF(L187="C",E187*COMBIN(Inputs!$B$4,K187),IF(L187="T",(Inputs!$B$4-K187+1)*E187^K187,IF(L187="PT",E187*(Inputs!$B$4-K187+1),IF(AND(L187="E",K187&lt;=E187),Inputs!$B$4*COMBIN(E187,K187),""))))</f>
        <v>58593750</v>
      </c>
      <c r="N187">
        <f t="shared" si="34"/>
        <v>0.21226978925151377</v>
      </c>
      <c r="O187">
        <f t="shared" si="35"/>
        <v>0.21226978925151377</v>
      </c>
      <c r="P187">
        <f t="shared" si="36"/>
        <v>0.21226978925151377</v>
      </c>
      <c r="Q187">
        <f t="shared" si="37"/>
        <v>0.19125352297565568</v>
      </c>
      <c r="R187">
        <f t="shared" si="38"/>
        <v>1.6541553856574103</v>
      </c>
      <c r="S187">
        <f>IF(M187="","",IF(L187="C",SUMIFS(Marginal_Model!$J:$J,Marginal_Model!$A:$A,B187,Marginal_Model!$C:$C,K187),IF(L187="T",SUMIFS(Marginal_Model!$K:$K,Marginal_Model!$A:$A,B187,Marginal_Model!$C:$C,K187),IF(L187="PT",SUMIFS(Marginal_Model!$L:$L,Marginal_Model!$A:$A,B187,Marginal_Model!$C:$C,K187),SUMIFS(Marginal_Model!$M:$M,Marginal_Model!$A:$A,B187,Marginal_Model!$C:$C,K187)))))</f>
        <v>1.4959981059611549E-8</v>
      </c>
      <c r="T187">
        <f t="shared" si="39"/>
        <v>18.017887130469628</v>
      </c>
      <c r="U187">
        <f>IF(M187="","",Inputs!$B$7*R187+Inputs!$B$8*T187)</f>
        <v>4.9269017346198529</v>
      </c>
      <c r="V187">
        <f t="shared" si="40"/>
        <v>7.2489276266609328E-3</v>
      </c>
      <c r="W187">
        <f>Inputs!$B$9</f>
        <v>15</v>
      </c>
      <c r="X187">
        <f t="shared" si="41"/>
        <v>0.21226978925151377</v>
      </c>
      <c r="Y187">
        <f t="shared" si="42"/>
        <v>0.19125352297565568</v>
      </c>
      <c r="Z187">
        <f t="shared" si="43"/>
        <v>1.6541553856574103</v>
      </c>
      <c r="AA187">
        <f>IF(M187="","",Inputs!$B$7*Z187+Inputs!$B$8*T187)</f>
        <v>4.9269017346198529</v>
      </c>
      <c r="AB187">
        <f t="shared" si="44"/>
        <v>7.2489276266609328E-3</v>
      </c>
    </row>
    <row r="188" spans="1:28">
      <c r="A188" t="s">
        <v>203</v>
      </c>
      <c r="B188">
        <v>2</v>
      </c>
      <c r="C188">
        <v>5</v>
      </c>
      <c r="D188">
        <v>0.2</v>
      </c>
      <c r="E188">
        <f>IF(B188=1,Inputs!$B$5,Inputs!$B$6)</f>
        <v>5</v>
      </c>
      <c r="F188">
        <f>E188*Inputs!$B$4</f>
        <v>75</v>
      </c>
      <c r="G188">
        <f t="shared" si="30"/>
        <v>15</v>
      </c>
      <c r="H188">
        <f t="shared" si="31"/>
        <v>15</v>
      </c>
      <c r="I188">
        <f t="shared" si="32"/>
        <v>15</v>
      </c>
      <c r="J188">
        <f t="shared" si="33"/>
        <v>0</v>
      </c>
      <c r="K188">
        <v>10</v>
      </c>
      <c r="L188" t="s">
        <v>199</v>
      </c>
      <c r="M188">
        <f>IF(L188="C",E188*COMBIN(Inputs!$B$4,K188),IF(L188="T",(Inputs!$B$4-K188+1)*E188^K188,IF(L188="PT",E188*(Inputs!$B$4-K188+1),IF(AND(L188="E",K188&lt;=E188),Inputs!$B$4*COMBIN(E188,K188),""))))</f>
        <v>30</v>
      </c>
      <c r="N188">
        <f t="shared" si="34"/>
        <v>1.0868213209677505E-7</v>
      </c>
      <c r="O188">
        <f t="shared" si="35"/>
        <v>1.0868213209677505E-7</v>
      </c>
      <c r="P188">
        <f t="shared" si="36"/>
        <v>1.0868213209677505E-7</v>
      </c>
      <c r="Q188">
        <f t="shared" si="37"/>
        <v>1.0868212618753148E-7</v>
      </c>
      <c r="R188">
        <f t="shared" si="38"/>
        <v>16.034838488837163</v>
      </c>
      <c r="S188">
        <f>IF(M188="","",IF(L188="C",SUMIFS(Marginal_Model!$J:$J,Marginal_Model!$A:$A,B188,Marginal_Model!$C:$C,K188),IF(L188="T",SUMIFS(Marginal_Model!$K:$K,Marginal_Model!$A:$A,B188,Marginal_Model!$C:$C,K188),IF(L188="PT",SUMIFS(Marginal_Model!$L:$L,Marginal_Model!$A:$A,B188,Marginal_Model!$C:$C,K188),SUMIFS(Marginal_Model!$M:$M,Marginal_Model!$A:$A,B188,Marginal_Model!$C:$C,K188)))))</f>
        <v>7.6595103025211163E-15</v>
      </c>
      <c r="T188">
        <f t="shared" si="39"/>
        <v>32.502828342376532</v>
      </c>
      <c r="U188">
        <f>IF(M188="","",Inputs!$B$7*R188+Inputs!$B$8*T188)</f>
        <v>19.328436459545038</v>
      </c>
      <c r="V188">
        <f t="shared" si="40"/>
        <v>4.0342861735151187E-9</v>
      </c>
      <c r="W188">
        <f>Inputs!$B$9</f>
        <v>15</v>
      </c>
      <c r="X188">
        <f t="shared" si="41"/>
        <v>1.0868213209677505E-7</v>
      </c>
      <c r="Y188">
        <f t="shared" si="42"/>
        <v>1.0868212618753148E-7</v>
      </c>
      <c r="Z188">
        <f t="shared" si="43"/>
        <v>16.034838488837163</v>
      </c>
      <c r="AA188">
        <f>IF(M188="","",Inputs!$B$7*Z188+Inputs!$B$8*T188)</f>
        <v>19.328436459545038</v>
      </c>
      <c r="AB188">
        <f t="shared" si="44"/>
        <v>4.0342861735151187E-9</v>
      </c>
    </row>
    <row r="189" spans="1:28">
      <c r="A189" t="s">
        <v>203</v>
      </c>
      <c r="B189">
        <v>2</v>
      </c>
      <c r="C189">
        <v>5</v>
      </c>
      <c r="D189">
        <v>0.2</v>
      </c>
      <c r="E189">
        <f>IF(B189=1,Inputs!$B$5,Inputs!$B$6)</f>
        <v>5</v>
      </c>
      <c r="F189">
        <f>E189*Inputs!$B$4</f>
        <v>75</v>
      </c>
      <c r="G189">
        <f t="shared" si="30"/>
        <v>15</v>
      </c>
      <c r="H189">
        <f t="shared" si="31"/>
        <v>15</v>
      </c>
      <c r="I189">
        <f t="shared" si="32"/>
        <v>15</v>
      </c>
      <c r="J189">
        <f t="shared" si="33"/>
        <v>0</v>
      </c>
      <c r="K189">
        <v>10</v>
      </c>
      <c r="L189" t="s">
        <v>200</v>
      </c>
      <c r="M189" t="str">
        <f>IF(L189="C",E189*COMBIN(Inputs!$B$4,K189),IF(L189="T",(Inputs!$B$4-K189+1)*E189^K189,IF(L189="PT",E189*(Inputs!$B$4-K189+1),IF(AND(L189="E",K189&lt;=E189),Inputs!$B$4*COMBIN(E189,K189),""))))</f>
        <v/>
      </c>
      <c r="N189" t="str">
        <f t="shared" si="34"/>
        <v/>
      </c>
      <c r="O189" t="str">
        <f t="shared" si="35"/>
        <v/>
      </c>
      <c r="P189" t="str">
        <f t="shared" si="36"/>
        <v/>
      </c>
      <c r="Q189" t="str">
        <f t="shared" si="37"/>
        <v/>
      </c>
      <c r="R189" t="str">
        <f t="shared" si="38"/>
        <v/>
      </c>
      <c r="S189" t="str">
        <f>IF(M189="","",IF(L189="C",SUMIFS(Marginal_Model!$J:$J,Marginal_Model!$A:$A,B189,Marginal_Model!$C:$C,K189),IF(L189="T",SUMIFS(Marginal_Model!$K:$K,Marginal_Model!$A:$A,B189,Marginal_Model!$C:$C,K189),IF(L189="PT",SUMIFS(Marginal_Model!$L:$L,Marginal_Model!$A:$A,B189,Marginal_Model!$C:$C,K189),SUMIFS(Marginal_Model!$M:$M,Marginal_Model!$A:$A,B189,Marginal_Model!$C:$C,K189)))))</f>
        <v/>
      </c>
      <c r="T189" t="str">
        <f t="shared" si="39"/>
        <v/>
      </c>
      <c r="U189" t="str">
        <f>IF(M189="","",Inputs!$B$7*R189+Inputs!$B$8*T189)</f>
        <v/>
      </c>
      <c r="V189" t="str">
        <f t="shared" si="40"/>
        <v/>
      </c>
      <c r="W189">
        <f>Inputs!$B$9</f>
        <v>15</v>
      </c>
      <c r="X189" t="str">
        <f t="shared" si="41"/>
        <v/>
      </c>
      <c r="Y189" t="str">
        <f t="shared" si="42"/>
        <v/>
      </c>
      <c r="Z189" t="str">
        <f t="shared" si="43"/>
        <v/>
      </c>
      <c r="AA189" t="str">
        <f>IF(M189="","",Inputs!$B$7*Z189+Inputs!$B$8*T189)</f>
        <v/>
      </c>
      <c r="AB189" t="str">
        <f t="shared" si="44"/>
        <v/>
      </c>
    </row>
    <row r="190" spans="1:28">
      <c r="A190" t="s">
        <v>203</v>
      </c>
      <c r="B190">
        <v>2</v>
      </c>
      <c r="C190">
        <v>5</v>
      </c>
      <c r="D190">
        <v>0.2</v>
      </c>
      <c r="E190">
        <f>IF(B190=1,Inputs!$B$5,Inputs!$B$6)</f>
        <v>5</v>
      </c>
      <c r="F190">
        <f>E190*Inputs!$B$4</f>
        <v>75</v>
      </c>
      <c r="G190">
        <f t="shared" si="30"/>
        <v>15</v>
      </c>
      <c r="H190">
        <f t="shared" si="31"/>
        <v>15</v>
      </c>
      <c r="I190">
        <f t="shared" si="32"/>
        <v>15</v>
      </c>
      <c r="J190">
        <f t="shared" si="33"/>
        <v>0</v>
      </c>
      <c r="K190">
        <v>11</v>
      </c>
      <c r="L190" t="s">
        <v>197</v>
      </c>
      <c r="M190">
        <f>IF(L190="C",E190*COMBIN(Inputs!$B$4,K190),IF(L190="T",(Inputs!$B$4-K190+1)*E190^K190,IF(L190="PT",E190*(Inputs!$B$4-K190+1),IF(AND(L190="E",K190&lt;=E190),Inputs!$B$4*COMBIN(E190,K190),""))))</f>
        <v>6825</v>
      </c>
      <c r="N190">
        <f t="shared" si="34"/>
        <v>1.9019373116935629E-6</v>
      </c>
      <c r="O190">
        <f t="shared" si="35"/>
        <v>1.9019373116935629E-6</v>
      </c>
      <c r="P190">
        <f t="shared" si="36"/>
        <v>1.9019373116935629E-6</v>
      </c>
      <c r="Q190">
        <f t="shared" si="37"/>
        <v>1.9019355029792351E-6</v>
      </c>
      <c r="R190">
        <f t="shared" si="38"/>
        <v>13.172638504521592</v>
      </c>
      <c r="S190">
        <f>IF(M190="","",IF(L190="C",SUMIFS(Marginal_Model!$J:$J,Marginal_Model!$A:$A,B190,Marginal_Model!$C:$C,K190),IF(L190="T",SUMIFS(Marginal_Model!$K:$K,Marginal_Model!$A:$A,B190,Marginal_Model!$C:$C,K190),IF(L190="PT",SUMIFS(Marginal_Model!$L:$L,Marginal_Model!$A:$A,B190,Marginal_Model!$C:$C,K190),SUMIFS(Marginal_Model!$M:$M,Marginal_Model!$A:$A,B190,Marginal_Model!$C:$C,K190)))))</f>
        <v>1.3933606679073726E-9</v>
      </c>
      <c r="T190">
        <f t="shared" si="39"/>
        <v>20.391547261154951</v>
      </c>
      <c r="U190">
        <f>IF(M190="","",Inputs!$B$7*R190+Inputs!$B$8*T190)</f>
        <v>14.616420255848263</v>
      </c>
      <c r="V190">
        <f t="shared" si="40"/>
        <v>4.4892039637413067E-7</v>
      </c>
      <c r="W190">
        <f>Inputs!$B$9</f>
        <v>15</v>
      </c>
      <c r="X190">
        <f t="shared" si="41"/>
        <v>1.9019373116935629E-6</v>
      </c>
      <c r="Y190">
        <f t="shared" si="42"/>
        <v>1.9019355029792351E-6</v>
      </c>
      <c r="Z190">
        <f t="shared" si="43"/>
        <v>13.172638504521592</v>
      </c>
      <c r="AA190">
        <f>IF(M190="","",Inputs!$B$7*Z190+Inputs!$B$8*T190)</f>
        <v>14.616420255848263</v>
      </c>
      <c r="AB190">
        <f t="shared" si="44"/>
        <v>4.4892039637413067E-7</v>
      </c>
    </row>
    <row r="191" spans="1:28">
      <c r="A191" t="s">
        <v>203</v>
      </c>
      <c r="B191">
        <v>2</v>
      </c>
      <c r="C191">
        <v>5</v>
      </c>
      <c r="D191">
        <v>0.2</v>
      </c>
      <c r="E191">
        <f>IF(B191=1,Inputs!$B$5,Inputs!$B$6)</f>
        <v>5</v>
      </c>
      <c r="F191">
        <f>E191*Inputs!$B$4</f>
        <v>75</v>
      </c>
      <c r="G191">
        <f t="shared" si="30"/>
        <v>15</v>
      </c>
      <c r="H191">
        <f t="shared" si="31"/>
        <v>15</v>
      </c>
      <c r="I191">
        <f t="shared" si="32"/>
        <v>15</v>
      </c>
      <c r="J191">
        <f t="shared" si="33"/>
        <v>0</v>
      </c>
      <c r="K191">
        <v>11</v>
      </c>
      <c r="L191" t="s">
        <v>198</v>
      </c>
      <c r="M191">
        <f>IF(L191="C",E191*COMBIN(Inputs!$B$4,K191),IF(L191="T",(Inputs!$B$4-K191+1)*E191^K191,IF(L191="PT",E191*(Inputs!$B$4-K191+1),IF(AND(L191="E",K191&lt;=E191),Inputs!$B$4*COMBIN(E191,K191),""))))</f>
        <v>244140625</v>
      </c>
      <c r="N191">
        <f t="shared" si="34"/>
        <v>6.8035188862664658E-2</v>
      </c>
      <c r="O191">
        <f t="shared" si="35"/>
        <v>6.8035188862664658E-2</v>
      </c>
      <c r="P191">
        <f t="shared" si="36"/>
        <v>6.8035188862664658E-2</v>
      </c>
      <c r="Q191">
        <f t="shared" si="37"/>
        <v>6.5772401407864112E-2</v>
      </c>
      <c r="R191">
        <f t="shared" si="38"/>
        <v>2.7215549601282838</v>
      </c>
      <c r="S191">
        <f>IF(M191="","",IF(L191="C",SUMIFS(Marginal_Model!$J:$J,Marginal_Model!$A:$A,B191,Marginal_Model!$C:$C,K191),IF(L191="T",SUMIFS(Marginal_Model!$K:$K,Marginal_Model!$A:$A,B191,Marginal_Model!$C:$C,K191),IF(L191="PT",SUMIFS(Marginal_Model!$L:$L,Marginal_Model!$A:$A,B191,Marginal_Model!$C:$C,K191),SUMIFS(Marginal_Model!$M:$M,Marginal_Model!$A:$A,B191,Marginal_Model!$C:$C,K191)))))</f>
        <v>1.9179462896937883E-9</v>
      </c>
      <c r="T191">
        <f t="shared" si="39"/>
        <v>20.072010864165176</v>
      </c>
      <c r="U191">
        <f>IF(M191="","",Inputs!$B$7*R191+Inputs!$B$8*T191)</f>
        <v>6.1916461409356618</v>
      </c>
      <c r="V191">
        <f t="shared" si="40"/>
        <v>2.0464552253130928E-3</v>
      </c>
      <c r="W191">
        <f>Inputs!$B$9</f>
        <v>15</v>
      </c>
      <c r="X191">
        <f t="shared" si="41"/>
        <v>6.8035188862664658E-2</v>
      </c>
      <c r="Y191">
        <f t="shared" si="42"/>
        <v>6.5772401407864112E-2</v>
      </c>
      <c r="Z191">
        <f t="shared" si="43"/>
        <v>2.7215549601282838</v>
      </c>
      <c r="AA191">
        <f>IF(M191="","",Inputs!$B$7*Z191+Inputs!$B$8*T191)</f>
        <v>6.1916461409356618</v>
      </c>
      <c r="AB191">
        <f t="shared" si="44"/>
        <v>2.0464552253130928E-3</v>
      </c>
    </row>
    <row r="192" spans="1:28">
      <c r="A192" t="s">
        <v>203</v>
      </c>
      <c r="B192">
        <v>2</v>
      </c>
      <c r="C192">
        <v>5</v>
      </c>
      <c r="D192">
        <v>0.2</v>
      </c>
      <c r="E192">
        <f>IF(B192=1,Inputs!$B$5,Inputs!$B$6)</f>
        <v>5</v>
      </c>
      <c r="F192">
        <f>E192*Inputs!$B$4</f>
        <v>75</v>
      </c>
      <c r="G192">
        <f t="shared" si="30"/>
        <v>15</v>
      </c>
      <c r="H192">
        <f t="shared" si="31"/>
        <v>15</v>
      </c>
      <c r="I192">
        <f t="shared" si="32"/>
        <v>15</v>
      </c>
      <c r="J192">
        <f t="shared" si="33"/>
        <v>0</v>
      </c>
      <c r="K192">
        <v>11</v>
      </c>
      <c r="L192" t="s">
        <v>199</v>
      </c>
      <c r="M192">
        <f>IF(L192="C",E192*COMBIN(Inputs!$B$4,K192),IF(L192="T",(Inputs!$B$4-K192+1)*E192^K192,IF(L192="PT",E192*(Inputs!$B$4-K192+1),IF(AND(L192="E",K192&lt;=E192),Inputs!$B$4*COMBIN(E192,K192),""))))</f>
        <v>25</v>
      </c>
      <c r="N192">
        <f t="shared" si="34"/>
        <v>6.9668033395368607E-9</v>
      </c>
      <c r="O192">
        <f t="shared" si="35"/>
        <v>6.9668033395368607E-9</v>
      </c>
      <c r="P192">
        <f t="shared" si="36"/>
        <v>6.9668033395368607E-9</v>
      </c>
      <c r="Q192">
        <f t="shared" si="37"/>
        <v>6.9668033564340703E-9</v>
      </c>
      <c r="R192">
        <f t="shared" si="38"/>
        <v>18.78210934629546</v>
      </c>
      <c r="S192">
        <f>IF(M192="","",IF(L192="C",SUMIFS(Marginal_Model!$J:$J,Marginal_Model!$A:$A,B192,Marginal_Model!$C:$C,K192),IF(L192="T",SUMIFS(Marginal_Model!$K:$K,Marginal_Model!$A:$A,B192,Marginal_Model!$C:$C,K192),IF(L192="PT",SUMIFS(Marginal_Model!$L:$L,Marginal_Model!$A:$A,B192,Marginal_Model!$C:$C,K192),SUMIFS(Marginal_Model!$M:$M,Marginal_Model!$A:$A,B192,Marginal_Model!$C:$C,K192)))))</f>
        <v>1.9639770006464401E-16</v>
      </c>
      <c r="T192">
        <f t="shared" si="39"/>
        <v>36.166389988506175</v>
      </c>
      <c r="U192">
        <f>IF(M192="","",Inputs!$B$7*R192+Inputs!$B$8*T192)</f>
        <v>22.258965474737604</v>
      </c>
      <c r="V192">
        <f t="shared" si="40"/>
        <v>2.1530500294560705E-10</v>
      </c>
      <c r="W192">
        <f>Inputs!$B$9</f>
        <v>15</v>
      </c>
      <c r="X192">
        <f t="shared" si="41"/>
        <v>6.9668033395368607E-9</v>
      </c>
      <c r="Y192">
        <f t="shared" si="42"/>
        <v>6.9668033564340703E-9</v>
      </c>
      <c r="Z192">
        <f t="shared" si="43"/>
        <v>18.78210934629546</v>
      </c>
      <c r="AA192">
        <f>IF(M192="","",Inputs!$B$7*Z192+Inputs!$B$8*T192)</f>
        <v>22.258965474737604</v>
      </c>
      <c r="AB192">
        <f t="shared" si="44"/>
        <v>2.1530500294560705E-10</v>
      </c>
    </row>
    <row r="193" spans="1:28">
      <c r="A193" t="s">
        <v>203</v>
      </c>
      <c r="B193">
        <v>2</v>
      </c>
      <c r="C193">
        <v>5</v>
      </c>
      <c r="D193">
        <v>0.2</v>
      </c>
      <c r="E193">
        <f>IF(B193=1,Inputs!$B$5,Inputs!$B$6)</f>
        <v>5</v>
      </c>
      <c r="F193">
        <f>E193*Inputs!$B$4</f>
        <v>75</v>
      </c>
      <c r="G193">
        <f t="shared" si="30"/>
        <v>15</v>
      </c>
      <c r="H193">
        <f t="shared" si="31"/>
        <v>15</v>
      </c>
      <c r="I193">
        <f t="shared" si="32"/>
        <v>15</v>
      </c>
      <c r="J193">
        <f t="shared" si="33"/>
        <v>0</v>
      </c>
      <c r="K193">
        <v>11</v>
      </c>
      <c r="L193" t="s">
        <v>200</v>
      </c>
      <c r="M193" t="str">
        <f>IF(L193="C",E193*COMBIN(Inputs!$B$4,K193),IF(L193="T",(Inputs!$B$4-K193+1)*E193^K193,IF(L193="PT",E193*(Inputs!$B$4-K193+1),IF(AND(L193="E",K193&lt;=E193),Inputs!$B$4*COMBIN(E193,K193),""))))</f>
        <v/>
      </c>
      <c r="N193" t="str">
        <f t="shared" si="34"/>
        <v/>
      </c>
      <c r="O193" t="str">
        <f t="shared" si="35"/>
        <v/>
      </c>
      <c r="P193" t="str">
        <f t="shared" si="36"/>
        <v/>
      </c>
      <c r="Q193" t="str">
        <f t="shared" si="37"/>
        <v/>
      </c>
      <c r="R193" t="str">
        <f t="shared" si="38"/>
        <v/>
      </c>
      <c r="S193" t="str">
        <f>IF(M193="","",IF(L193="C",SUMIFS(Marginal_Model!$J:$J,Marginal_Model!$A:$A,B193,Marginal_Model!$C:$C,K193),IF(L193="T",SUMIFS(Marginal_Model!$K:$K,Marginal_Model!$A:$A,B193,Marginal_Model!$C:$C,K193),IF(L193="PT",SUMIFS(Marginal_Model!$L:$L,Marginal_Model!$A:$A,B193,Marginal_Model!$C:$C,K193),SUMIFS(Marginal_Model!$M:$M,Marginal_Model!$A:$A,B193,Marginal_Model!$C:$C,K193)))))</f>
        <v/>
      </c>
      <c r="T193" t="str">
        <f t="shared" si="39"/>
        <v/>
      </c>
      <c r="U193" t="str">
        <f>IF(M193="","",Inputs!$B$7*R193+Inputs!$B$8*T193)</f>
        <v/>
      </c>
      <c r="V193" t="str">
        <f t="shared" si="40"/>
        <v/>
      </c>
      <c r="W193">
        <f>Inputs!$B$9</f>
        <v>15</v>
      </c>
      <c r="X193" t="str">
        <f t="shared" si="41"/>
        <v/>
      </c>
      <c r="Y193" t="str">
        <f t="shared" si="42"/>
        <v/>
      </c>
      <c r="Z193" t="str">
        <f t="shared" si="43"/>
        <v/>
      </c>
      <c r="AA193" t="str">
        <f>IF(M193="","",Inputs!$B$7*Z193+Inputs!$B$8*T193)</f>
        <v/>
      </c>
      <c r="AB193" t="str">
        <f t="shared" si="44"/>
        <v/>
      </c>
    </row>
    <row r="194" spans="1:28">
      <c r="A194" t="s">
        <v>203</v>
      </c>
      <c r="B194">
        <v>2</v>
      </c>
      <c r="C194">
        <v>5</v>
      </c>
      <c r="D194">
        <v>0.2</v>
      </c>
      <c r="E194">
        <f>IF(B194=1,Inputs!$B$5,Inputs!$B$6)</f>
        <v>5</v>
      </c>
      <c r="F194">
        <f>E194*Inputs!$B$4</f>
        <v>75</v>
      </c>
      <c r="G194">
        <f t="shared" ref="G194:G257" si="45">F194/C194</f>
        <v>15</v>
      </c>
      <c r="H194">
        <f t="shared" ref="H194:H257" si="46">ROUNDDOWN(G194,0)</f>
        <v>15</v>
      </c>
      <c r="I194">
        <f t="shared" ref="I194:I261" si="47">ROUNDUP(G194,0)</f>
        <v>15</v>
      </c>
      <c r="J194">
        <f t="shared" ref="J194:J261" si="48">G194-H194</f>
        <v>0</v>
      </c>
      <c r="K194">
        <v>12</v>
      </c>
      <c r="L194" t="s">
        <v>197</v>
      </c>
      <c r="M194">
        <f>IF(L194="C",E194*COMBIN(Inputs!$B$4,K194),IF(L194="T",(Inputs!$B$4-K194+1)*E194^K194,IF(L194="PT",E194*(Inputs!$B$4-K194+1),IF(AND(L194="E",K194&lt;=E194),Inputs!$B$4*COMBIN(E194,K194),""))))</f>
        <v>2275.0000000000005</v>
      </c>
      <c r="N194">
        <f t="shared" ref="N194:N257" si="49">IF(OR(M194="",H194&lt;K194),"",M194*COMBIN(F194-K194,H194-K194)/COMBIN(F194,H194))</f>
        <v>3.9623693993615899E-8</v>
      </c>
      <c r="O194">
        <f t="shared" ref="O194:O261" si="50">IF(OR(M194="",I194&lt;K194),"",M194*COMBIN(F194-K194,I194-K194)/COMBIN(F194,I194))</f>
        <v>3.9623693993615899E-8</v>
      </c>
      <c r="P194">
        <f t="shared" ref="P194:P257" si="51">IF(M194="","",IF(H194=I194,N194,(1-J194)*N194+J194*O194))</f>
        <v>3.9623693993615899E-8</v>
      </c>
      <c r="Q194">
        <f t="shared" ref="Q194:Q257" si="52">IF(P194="","",1-EXP(-P194))</f>
        <v>3.9623693215418143E-8</v>
      </c>
      <c r="R194">
        <f t="shared" ref="R194:R257" si="53">IF(Q194="","",-LN(Q194))</f>
        <v>17.043838584083488</v>
      </c>
      <c r="S194">
        <f>IF(M194="","",IF(L194="C",SUMIFS(Marginal_Model!$J:$J,Marginal_Model!$A:$A,B194,Marginal_Model!$C:$C,K194),IF(L194="T",SUMIFS(Marginal_Model!$K:$K,Marginal_Model!$A:$A,B194,Marginal_Model!$C:$C,K194),IF(L194="PT",SUMIFS(Marginal_Model!$L:$L,Marginal_Model!$A:$A,B194,Marginal_Model!$C:$C,K194),SUMIFS(Marginal_Model!$M:$M,Marginal_Model!$A:$A,B194,Marginal_Model!$C:$C,K194)))))</f>
        <v>8.7085041744210785E-11</v>
      </c>
      <c r="T194">
        <f t="shared" ref="T194:T257" si="54">IF(S194="","",-LN(S194))</f>
        <v>23.164135983394729</v>
      </c>
      <c r="U194">
        <f>IF(M194="","",Inputs!$B$7*R194+Inputs!$B$8*T194)</f>
        <v>18.267898063945736</v>
      </c>
      <c r="V194">
        <f t="shared" ref="V194:V257" si="55">IF(U194="","",EXP(-U194))</f>
        <v>1.1650717580420179E-8</v>
      </c>
      <c r="W194">
        <f>Inputs!$B$9</f>
        <v>15</v>
      </c>
      <c r="X194">
        <f t="shared" ref="X194:X257" si="56">IF(OR(M194="",W194&lt;K194),"",M194*COMBIN(F194-K194,W194-K194)/COMBIN(F194,W194))</f>
        <v>3.9623693993615899E-8</v>
      </c>
      <c r="Y194">
        <f t="shared" ref="Y194:Y257" si="57">IF(X194="","",1-EXP(-X194))</f>
        <v>3.9623693215418143E-8</v>
      </c>
      <c r="Z194">
        <f t="shared" ref="Z194:Z257" si="58">IF(Y194="","",-LN(Y194))</f>
        <v>17.043838584083488</v>
      </c>
      <c r="AA194">
        <f>IF(M194="","",Inputs!$B$7*Z194+Inputs!$B$8*T194)</f>
        <v>18.267898063945736</v>
      </c>
      <c r="AB194">
        <f t="shared" ref="AB194:AB257" si="59">IF(AA194="","",EXP(-AA194))</f>
        <v>1.1650717580420179E-8</v>
      </c>
    </row>
    <row r="195" spans="1:28">
      <c r="A195" t="s">
        <v>203</v>
      </c>
      <c r="B195">
        <v>2</v>
      </c>
      <c r="C195">
        <v>5</v>
      </c>
      <c r="D195">
        <v>0.2</v>
      </c>
      <c r="E195">
        <f>IF(B195=1,Inputs!$B$5,Inputs!$B$6)</f>
        <v>5</v>
      </c>
      <c r="F195">
        <f>E195*Inputs!$B$4</f>
        <v>75</v>
      </c>
      <c r="G195">
        <f t="shared" si="45"/>
        <v>15</v>
      </c>
      <c r="H195">
        <f t="shared" si="46"/>
        <v>15</v>
      </c>
      <c r="I195">
        <f t="shared" si="47"/>
        <v>15</v>
      </c>
      <c r="J195">
        <f t="shared" si="48"/>
        <v>0</v>
      </c>
      <c r="K195">
        <v>12</v>
      </c>
      <c r="L195" t="s">
        <v>198</v>
      </c>
      <c r="M195">
        <f>IF(L195="C",E195*COMBIN(Inputs!$B$4,K195),IF(L195="T",(Inputs!$B$4-K195+1)*E195^K195,IF(L195="PT",E195*(Inputs!$B$4-K195+1),IF(AND(L195="E",K195&lt;=E195),Inputs!$B$4*COMBIN(E195,K195),""))))</f>
        <v>976562500</v>
      </c>
      <c r="N195">
        <f t="shared" si="49"/>
        <v>1.7008797215666165E-2</v>
      </c>
      <c r="O195">
        <f t="shared" si="50"/>
        <v>1.7008797215666165E-2</v>
      </c>
      <c r="P195">
        <f t="shared" si="51"/>
        <v>1.7008797215666165E-2</v>
      </c>
      <c r="Q195">
        <f t="shared" si="52"/>
        <v>1.6864964254071801E-2</v>
      </c>
      <c r="R195">
        <f t="shared" si="53"/>
        <v>4.0825169300040161</v>
      </c>
      <c r="S195">
        <f>IF(M195="","",IF(L195="C",SUMIFS(Marginal_Model!$J:$J,Marginal_Model!$A:$A,B195,Marginal_Model!$C:$C,K195),IF(L195="T",SUMIFS(Marginal_Model!$K:$K,Marginal_Model!$A:$A,B195,Marginal_Model!$C:$C,K195),IF(L195="PT",SUMIFS(Marginal_Model!$L:$L,Marginal_Model!$A:$A,B195,Marginal_Model!$C:$C,K195),SUMIFS(Marginal_Model!$M:$M,Marginal_Model!$A:$A,B195,Marginal_Model!$C:$C,K195)))))</f>
        <v>2.3974328621172353E-10</v>
      </c>
      <c r="T195">
        <f t="shared" si="54"/>
        <v>22.15145240584501</v>
      </c>
      <c r="U195">
        <f>IF(M195="","",Inputs!$B$7*R195+Inputs!$B$8*T195)</f>
        <v>7.6963040251722141</v>
      </c>
      <c r="V195">
        <f t="shared" si="55"/>
        <v>4.5450391743170475E-4</v>
      </c>
      <c r="W195">
        <f>Inputs!$B$9</f>
        <v>15</v>
      </c>
      <c r="X195">
        <f t="shared" si="56"/>
        <v>1.7008797215666165E-2</v>
      </c>
      <c r="Y195">
        <f t="shared" si="57"/>
        <v>1.6864964254071801E-2</v>
      </c>
      <c r="Z195">
        <f t="shared" si="58"/>
        <v>4.0825169300040161</v>
      </c>
      <c r="AA195">
        <f>IF(M195="","",Inputs!$B$7*Z195+Inputs!$B$8*T195)</f>
        <v>7.6963040251722141</v>
      </c>
      <c r="AB195">
        <f t="shared" si="59"/>
        <v>4.5450391743170475E-4</v>
      </c>
    </row>
    <row r="196" spans="1:28">
      <c r="A196" t="s">
        <v>203</v>
      </c>
      <c r="B196">
        <v>2</v>
      </c>
      <c r="C196">
        <v>5</v>
      </c>
      <c r="D196">
        <v>0.2</v>
      </c>
      <c r="E196">
        <f>IF(B196=1,Inputs!$B$5,Inputs!$B$6)</f>
        <v>5</v>
      </c>
      <c r="F196">
        <f>E196*Inputs!$B$4</f>
        <v>75</v>
      </c>
      <c r="G196">
        <f t="shared" si="45"/>
        <v>15</v>
      </c>
      <c r="H196">
        <f t="shared" si="46"/>
        <v>15</v>
      </c>
      <c r="I196">
        <f t="shared" si="47"/>
        <v>15</v>
      </c>
      <c r="J196">
        <f t="shared" si="48"/>
        <v>0</v>
      </c>
      <c r="K196">
        <v>12</v>
      </c>
      <c r="L196" t="s">
        <v>199</v>
      </c>
      <c r="M196">
        <f>IF(L196="C",E196*COMBIN(Inputs!$B$4,K196),IF(L196="T",(Inputs!$B$4-K196+1)*E196^K196,IF(L196="PT",E196*(Inputs!$B$4-K196+1),IF(AND(L196="E",K196&lt;=E196),Inputs!$B$4*COMBIN(E196,K196),""))))</f>
        <v>20</v>
      </c>
      <c r="N196">
        <f t="shared" si="49"/>
        <v>3.4834016697684304E-10</v>
      </c>
      <c r="O196">
        <f t="shared" si="50"/>
        <v>3.4834016697684304E-10</v>
      </c>
      <c r="P196">
        <f t="shared" si="51"/>
        <v>3.4834016697684304E-10</v>
      </c>
      <c r="Q196">
        <f t="shared" si="52"/>
        <v>3.4834013451501278E-10</v>
      </c>
      <c r="R196">
        <f t="shared" si="53"/>
        <v>21.777841715464874</v>
      </c>
      <c r="S196">
        <f>IF(M196="","",IF(L196="C",SUMIFS(Marginal_Model!$J:$J,Marginal_Model!$A:$A,B196,Marginal_Model!$C:$C,K196),IF(L196="T",SUMIFS(Marginal_Model!$K:$K,Marginal_Model!$A:$A,B196,Marginal_Model!$C:$C,K196),IF(L196="PT",SUMIFS(Marginal_Model!$L:$L,Marginal_Model!$A:$A,B196,Marginal_Model!$C:$C,K196),SUMIFS(Marginal_Model!$M:$M,Marginal_Model!$A:$A,B196,Marginal_Model!$C:$C,K196)))))</f>
        <v>4.9099425016161006E-18</v>
      </c>
      <c r="T196">
        <f t="shared" si="54"/>
        <v>39.855269442620113</v>
      </c>
      <c r="U196">
        <f>IF(M196="","",Inputs!$B$7*R196+Inputs!$B$8*T196)</f>
        <v>25.393327260895923</v>
      </c>
      <c r="V196">
        <f t="shared" si="55"/>
        <v>9.371693862875783E-12</v>
      </c>
      <c r="W196">
        <f>Inputs!$B$9</f>
        <v>15</v>
      </c>
      <c r="X196">
        <f t="shared" si="56"/>
        <v>3.4834016697684304E-10</v>
      </c>
      <c r="Y196">
        <f t="shared" si="57"/>
        <v>3.4834013451501278E-10</v>
      </c>
      <c r="Z196">
        <f t="shared" si="58"/>
        <v>21.777841715464874</v>
      </c>
      <c r="AA196">
        <f>IF(M196="","",Inputs!$B$7*Z196+Inputs!$B$8*T196)</f>
        <v>25.393327260895923</v>
      </c>
      <c r="AB196">
        <f t="shared" si="59"/>
        <v>9.371693862875783E-12</v>
      </c>
    </row>
    <row r="197" spans="1:28">
      <c r="A197" t="s">
        <v>203</v>
      </c>
      <c r="B197">
        <v>2</v>
      </c>
      <c r="C197">
        <v>5</v>
      </c>
      <c r="D197">
        <v>0.2</v>
      </c>
      <c r="E197">
        <f>IF(B197=1,Inputs!$B$5,Inputs!$B$6)</f>
        <v>5</v>
      </c>
      <c r="F197">
        <f>E197*Inputs!$B$4</f>
        <v>75</v>
      </c>
      <c r="G197">
        <f t="shared" si="45"/>
        <v>15</v>
      </c>
      <c r="H197">
        <f t="shared" si="46"/>
        <v>15</v>
      </c>
      <c r="I197">
        <f t="shared" si="47"/>
        <v>15</v>
      </c>
      <c r="J197">
        <f t="shared" si="48"/>
        <v>0</v>
      </c>
      <c r="K197">
        <v>12</v>
      </c>
      <c r="L197" t="s">
        <v>200</v>
      </c>
      <c r="M197" t="str">
        <f>IF(L197="C",E197*COMBIN(Inputs!$B$4,K197),IF(L197="T",(Inputs!$B$4-K197+1)*E197^K197,IF(L197="PT",E197*(Inputs!$B$4-K197+1),IF(AND(L197="E",K197&lt;=E197),Inputs!$B$4*COMBIN(E197,K197),""))))</f>
        <v/>
      </c>
      <c r="N197" t="str">
        <f t="shared" si="49"/>
        <v/>
      </c>
      <c r="O197" t="str">
        <f t="shared" si="50"/>
        <v/>
      </c>
      <c r="P197" t="str">
        <f t="shared" si="51"/>
        <v/>
      </c>
      <c r="Q197" t="str">
        <f t="shared" si="52"/>
        <v/>
      </c>
      <c r="R197" t="str">
        <f t="shared" si="53"/>
        <v/>
      </c>
      <c r="S197" t="str">
        <f>IF(M197="","",IF(L197="C",SUMIFS(Marginal_Model!$J:$J,Marginal_Model!$A:$A,B197,Marginal_Model!$C:$C,K197),IF(L197="T",SUMIFS(Marginal_Model!$K:$K,Marginal_Model!$A:$A,B197,Marginal_Model!$C:$C,K197),IF(L197="PT",SUMIFS(Marginal_Model!$L:$L,Marginal_Model!$A:$A,B197,Marginal_Model!$C:$C,K197),SUMIFS(Marginal_Model!$M:$M,Marginal_Model!$A:$A,B197,Marginal_Model!$C:$C,K197)))))</f>
        <v/>
      </c>
      <c r="T197" t="str">
        <f t="shared" si="54"/>
        <v/>
      </c>
      <c r="U197" t="str">
        <f>IF(M197="","",Inputs!$B$7*R197+Inputs!$B$8*T197)</f>
        <v/>
      </c>
      <c r="V197" t="str">
        <f t="shared" si="55"/>
        <v/>
      </c>
      <c r="W197">
        <f>Inputs!$B$9</f>
        <v>15</v>
      </c>
      <c r="X197" t="str">
        <f t="shared" si="56"/>
        <v/>
      </c>
      <c r="Y197" t="str">
        <f t="shared" si="57"/>
        <v/>
      </c>
      <c r="Z197" t="str">
        <f t="shared" si="58"/>
        <v/>
      </c>
      <c r="AA197" t="str">
        <f>IF(M197="","",Inputs!$B$7*Z197+Inputs!$B$8*T197)</f>
        <v/>
      </c>
      <c r="AB197" t="str">
        <f t="shared" si="59"/>
        <v/>
      </c>
    </row>
    <row r="198" spans="1:28">
      <c r="A198" t="s">
        <v>203</v>
      </c>
      <c r="B198">
        <v>2</v>
      </c>
      <c r="C198">
        <v>5</v>
      </c>
      <c r="D198">
        <v>0.2</v>
      </c>
      <c r="E198">
        <f>IF(B198=1,Inputs!$B$5,Inputs!$B$6)</f>
        <v>5</v>
      </c>
      <c r="F198">
        <f>E198*Inputs!$B$4</f>
        <v>75</v>
      </c>
      <c r="G198">
        <f t="shared" si="45"/>
        <v>15</v>
      </c>
      <c r="H198">
        <f t="shared" si="46"/>
        <v>15</v>
      </c>
      <c r="I198">
        <f t="shared" si="47"/>
        <v>15</v>
      </c>
      <c r="J198">
        <f t="shared" si="48"/>
        <v>0</v>
      </c>
      <c r="K198">
        <v>13</v>
      </c>
      <c r="L198" t="s">
        <v>197</v>
      </c>
      <c r="M198">
        <f>IF(L198="C",E198*COMBIN(Inputs!$B$4,K198),IF(L198="T",(Inputs!$B$4-K198+1)*E198^K198,IF(L198="PT",E198*(Inputs!$B$4-K198+1),IF(AND(L198="E",K198&lt;=E198),Inputs!$B$4*COMBIN(E198,K198),""))))</f>
        <v>525</v>
      </c>
      <c r="N198">
        <f t="shared" si="49"/>
        <v>4.3542520872105379E-10</v>
      </c>
      <c r="O198">
        <f t="shared" si="50"/>
        <v>4.3542520872105379E-10</v>
      </c>
      <c r="P198">
        <f t="shared" si="51"/>
        <v>4.3542520872105379E-10</v>
      </c>
      <c r="Q198">
        <f t="shared" si="52"/>
        <v>4.3542525141049282E-10</v>
      </c>
      <c r="R198">
        <f t="shared" si="53"/>
        <v>21.554697972919829</v>
      </c>
      <c r="S198">
        <f>IF(M198="","",IF(L198="C",SUMIFS(Marginal_Model!$J:$J,Marginal_Model!$A:$A,B198,Marginal_Model!$C:$C,K198),IF(L198="T",SUMIFS(Marginal_Model!$K:$K,Marginal_Model!$A:$A,B198,Marginal_Model!$C:$C,K198),IF(L198="PT",SUMIFS(Marginal_Model!$L:$L,Marginal_Model!$A:$A,B198,Marginal_Model!$C:$C,K198),SUMIFS(Marginal_Model!$M:$M,Marginal_Model!$A:$A,B198,Marginal_Model!$C:$C,K198)))))</f>
        <v>4.146906749724323E-12</v>
      </c>
      <c r="T198">
        <f t="shared" si="54"/>
        <v>26.208658421118155</v>
      </c>
      <c r="U198">
        <f>IF(M198="","",Inputs!$B$7*R198+Inputs!$B$8*T198)</f>
        <v>22.485490062559496</v>
      </c>
      <c r="V198">
        <f t="shared" si="55"/>
        <v>1.7166262248340935E-10</v>
      </c>
      <c r="W198">
        <f>Inputs!$B$9</f>
        <v>15</v>
      </c>
      <c r="X198">
        <f t="shared" si="56"/>
        <v>4.3542520872105379E-10</v>
      </c>
      <c r="Y198">
        <f t="shared" si="57"/>
        <v>4.3542525141049282E-10</v>
      </c>
      <c r="Z198">
        <f t="shared" si="58"/>
        <v>21.554697972919829</v>
      </c>
      <c r="AA198">
        <f>IF(M198="","",Inputs!$B$7*Z198+Inputs!$B$8*T198)</f>
        <v>22.485490062559496</v>
      </c>
      <c r="AB198">
        <f t="shared" si="59"/>
        <v>1.7166262248340935E-10</v>
      </c>
    </row>
    <row r="199" spans="1:28">
      <c r="A199" t="s">
        <v>203</v>
      </c>
      <c r="B199">
        <v>2</v>
      </c>
      <c r="C199">
        <v>5</v>
      </c>
      <c r="D199">
        <v>0.2</v>
      </c>
      <c r="E199">
        <f>IF(B199=1,Inputs!$B$5,Inputs!$B$6)</f>
        <v>5</v>
      </c>
      <c r="F199">
        <f>E199*Inputs!$B$4</f>
        <v>75</v>
      </c>
      <c r="G199">
        <f t="shared" si="45"/>
        <v>15</v>
      </c>
      <c r="H199">
        <f t="shared" si="46"/>
        <v>15</v>
      </c>
      <c r="I199">
        <f t="shared" si="47"/>
        <v>15</v>
      </c>
      <c r="J199">
        <f t="shared" si="48"/>
        <v>0</v>
      </c>
      <c r="K199">
        <v>13</v>
      </c>
      <c r="L199" t="s">
        <v>198</v>
      </c>
      <c r="M199">
        <f>IF(L199="C",E199*COMBIN(Inputs!$B$4,K199),IF(L199="T",(Inputs!$B$4-K199+1)*E199^K199,IF(L199="PT",E199*(Inputs!$B$4-K199+1),IF(AND(L199="E",K199&lt;=E199),Inputs!$B$4*COMBIN(E199,K199),""))))</f>
        <v>3662109375</v>
      </c>
      <c r="N199">
        <f t="shared" si="49"/>
        <v>3.0372852170832436E-3</v>
      </c>
      <c r="O199">
        <f t="shared" si="50"/>
        <v>3.0372852170832436E-3</v>
      </c>
      <c r="P199">
        <f t="shared" si="51"/>
        <v>3.0372852170832436E-3</v>
      </c>
      <c r="Q199">
        <f t="shared" si="52"/>
        <v>3.0326773326718737E-3</v>
      </c>
      <c r="R199">
        <f t="shared" si="53"/>
        <v>5.7983094414701908</v>
      </c>
      <c r="S199">
        <f>IF(M199="","",IF(L199="C",SUMIFS(Marginal_Model!$J:$J,Marginal_Model!$A:$A,B199,Marginal_Model!$C:$C,K199),IF(L199="T",SUMIFS(Marginal_Model!$K:$K,Marginal_Model!$A:$A,B199,Marginal_Model!$C:$C,K199),IF(L199="PT",SUMIFS(Marginal_Model!$L:$L,Marginal_Model!$A:$A,B199,Marginal_Model!$C:$C,K199),SUMIFS(Marginal_Model!$M:$M,Marginal_Model!$A:$A,B199,Marginal_Model!$C:$C,K199)))))</f>
        <v>2.8540867406157561E-11</v>
      </c>
      <c r="T199">
        <f t="shared" si="54"/>
        <v>24.279684111694277</v>
      </c>
      <c r="U199">
        <f>IF(M199="","",Inputs!$B$7*R199+Inputs!$B$8*T199)</f>
        <v>9.4945843755150072</v>
      </c>
      <c r="V199">
        <f t="shared" si="55"/>
        <v>7.5258298938816386E-5</v>
      </c>
      <c r="W199">
        <f>Inputs!$B$9</f>
        <v>15</v>
      </c>
      <c r="X199">
        <f t="shared" si="56"/>
        <v>3.0372852170832436E-3</v>
      </c>
      <c r="Y199">
        <f t="shared" si="57"/>
        <v>3.0326773326718737E-3</v>
      </c>
      <c r="Z199">
        <f t="shared" si="58"/>
        <v>5.7983094414701908</v>
      </c>
      <c r="AA199">
        <f>IF(M199="","",Inputs!$B$7*Z199+Inputs!$B$8*T199)</f>
        <v>9.4945843755150072</v>
      </c>
      <c r="AB199">
        <f t="shared" si="59"/>
        <v>7.5258298938816386E-5</v>
      </c>
    </row>
    <row r="200" spans="1:28">
      <c r="A200" t="s">
        <v>203</v>
      </c>
      <c r="B200">
        <v>2</v>
      </c>
      <c r="C200">
        <v>5</v>
      </c>
      <c r="D200">
        <v>0.2</v>
      </c>
      <c r="E200">
        <f>IF(B200=1,Inputs!$B$5,Inputs!$B$6)</f>
        <v>5</v>
      </c>
      <c r="F200">
        <f>E200*Inputs!$B$4</f>
        <v>75</v>
      </c>
      <c r="G200">
        <f t="shared" si="45"/>
        <v>15</v>
      </c>
      <c r="H200">
        <f t="shared" si="46"/>
        <v>15</v>
      </c>
      <c r="I200">
        <f t="shared" si="47"/>
        <v>15</v>
      </c>
      <c r="J200">
        <f t="shared" si="48"/>
        <v>0</v>
      </c>
      <c r="K200">
        <v>13</v>
      </c>
      <c r="L200" t="s">
        <v>199</v>
      </c>
      <c r="M200">
        <f>IF(L200="C",E200*COMBIN(Inputs!$B$4,K200),IF(L200="T",(Inputs!$B$4-K200+1)*E200^K200,IF(L200="PT",E200*(Inputs!$B$4-K200+1),IF(AND(L200="E",K200&lt;=E200),Inputs!$B$4*COMBIN(E200,K200),""))))</f>
        <v>15</v>
      </c>
      <c r="N200">
        <f t="shared" si="49"/>
        <v>1.2440720249172966E-11</v>
      </c>
      <c r="O200">
        <f t="shared" si="50"/>
        <v>1.2440720249172966E-11</v>
      </c>
      <c r="P200">
        <f t="shared" si="51"/>
        <v>1.2440720249172966E-11</v>
      </c>
      <c r="Q200">
        <f t="shared" si="52"/>
        <v>1.2440715124739654E-11</v>
      </c>
      <c r="R200">
        <f t="shared" si="53"/>
        <v>25.110046544358219</v>
      </c>
      <c r="S200">
        <f>IF(M200="","",IF(L200="C",SUMIFS(Marginal_Model!$J:$J,Marginal_Model!$A:$A,B200,Marginal_Model!$C:$C,K200),IF(L200="T",SUMIFS(Marginal_Model!$K:$K,Marginal_Model!$A:$A,B200,Marginal_Model!$C:$C,K200),IF(L200="PT",SUMIFS(Marginal_Model!$L:$L,Marginal_Model!$A:$A,B200,Marginal_Model!$C:$C,K200),SUMIFS(Marginal_Model!$M:$M,Marginal_Model!$A:$A,B200,Marginal_Model!$C:$C,K200)))))</f>
        <v>1.1690339289562144E-19</v>
      </c>
      <c r="T200">
        <f t="shared" si="54"/>
        <v>43.592939060903483</v>
      </c>
      <c r="U200">
        <f>IF(M200="","",Inputs!$B$7*R200+Inputs!$B$8*T200)</f>
        <v>28.806625047667275</v>
      </c>
      <c r="V200">
        <f t="shared" si="55"/>
        <v>3.0863253041164989E-13</v>
      </c>
      <c r="W200">
        <f>Inputs!$B$9</f>
        <v>15</v>
      </c>
      <c r="X200">
        <f t="shared" si="56"/>
        <v>1.2440720249172966E-11</v>
      </c>
      <c r="Y200">
        <f t="shared" si="57"/>
        <v>1.2440715124739654E-11</v>
      </c>
      <c r="Z200">
        <f t="shared" si="58"/>
        <v>25.110046544358219</v>
      </c>
      <c r="AA200">
        <f>IF(M200="","",Inputs!$B$7*Z200+Inputs!$B$8*T200)</f>
        <v>28.806625047667275</v>
      </c>
      <c r="AB200">
        <f t="shared" si="59"/>
        <v>3.0863253041164989E-13</v>
      </c>
    </row>
    <row r="201" spans="1:28">
      <c r="A201" t="s">
        <v>203</v>
      </c>
      <c r="B201">
        <v>2</v>
      </c>
      <c r="C201">
        <v>5</v>
      </c>
      <c r="D201">
        <v>0.2</v>
      </c>
      <c r="E201">
        <f>IF(B201=1,Inputs!$B$5,Inputs!$B$6)</f>
        <v>5</v>
      </c>
      <c r="F201">
        <f>E201*Inputs!$B$4</f>
        <v>75</v>
      </c>
      <c r="G201">
        <f t="shared" si="45"/>
        <v>15</v>
      </c>
      <c r="H201">
        <f t="shared" si="46"/>
        <v>15</v>
      </c>
      <c r="I201">
        <f t="shared" si="47"/>
        <v>15</v>
      </c>
      <c r="J201">
        <f t="shared" si="48"/>
        <v>0</v>
      </c>
      <c r="K201">
        <v>13</v>
      </c>
      <c r="L201" t="s">
        <v>200</v>
      </c>
      <c r="M201" t="str">
        <f>IF(L201="C",E201*COMBIN(Inputs!$B$4,K201),IF(L201="T",(Inputs!$B$4-K201+1)*E201^K201,IF(L201="PT",E201*(Inputs!$B$4-K201+1),IF(AND(L201="E",K201&lt;=E201),Inputs!$B$4*COMBIN(E201,K201),""))))</f>
        <v/>
      </c>
      <c r="N201" t="str">
        <f t="shared" si="49"/>
        <v/>
      </c>
      <c r="O201" t="str">
        <f t="shared" si="50"/>
        <v/>
      </c>
      <c r="P201" t="str">
        <f t="shared" si="51"/>
        <v/>
      </c>
      <c r="Q201" t="str">
        <f t="shared" si="52"/>
        <v/>
      </c>
      <c r="R201" t="str">
        <f t="shared" si="53"/>
        <v/>
      </c>
      <c r="S201" t="str">
        <f>IF(M201="","",IF(L201="C",SUMIFS(Marginal_Model!$J:$J,Marginal_Model!$A:$A,B201,Marginal_Model!$C:$C,K201),IF(L201="T",SUMIFS(Marginal_Model!$K:$K,Marginal_Model!$A:$A,B201,Marginal_Model!$C:$C,K201),IF(L201="PT",SUMIFS(Marginal_Model!$L:$L,Marginal_Model!$A:$A,B201,Marginal_Model!$C:$C,K201),SUMIFS(Marginal_Model!$M:$M,Marginal_Model!$A:$A,B201,Marginal_Model!$C:$C,K201)))))</f>
        <v/>
      </c>
      <c r="T201" t="str">
        <f t="shared" si="54"/>
        <v/>
      </c>
      <c r="U201" t="str">
        <f>IF(M201="","",Inputs!$B$7*R201+Inputs!$B$8*T201)</f>
        <v/>
      </c>
      <c r="V201" t="str">
        <f t="shared" si="55"/>
        <v/>
      </c>
      <c r="W201">
        <f>Inputs!$B$9</f>
        <v>15</v>
      </c>
      <c r="X201" t="str">
        <f t="shared" si="56"/>
        <v/>
      </c>
      <c r="Y201" t="str">
        <f t="shared" si="57"/>
        <v/>
      </c>
      <c r="Z201" t="str">
        <f t="shared" si="58"/>
        <v/>
      </c>
      <c r="AA201" t="str">
        <f>IF(M201="","",Inputs!$B$7*Z201+Inputs!$B$8*T201)</f>
        <v/>
      </c>
      <c r="AB201" t="str">
        <f t="shared" si="59"/>
        <v/>
      </c>
    </row>
    <row r="202" spans="1:28">
      <c r="A202" t="s">
        <v>203</v>
      </c>
      <c r="B202">
        <v>2</v>
      </c>
      <c r="C202">
        <v>5</v>
      </c>
      <c r="D202">
        <v>0.2</v>
      </c>
      <c r="E202">
        <f>IF(B202=1,Inputs!$B$5,Inputs!$B$6)</f>
        <v>5</v>
      </c>
      <c r="F202">
        <f>E202*Inputs!$B$4</f>
        <v>75</v>
      </c>
      <c r="G202">
        <f t="shared" si="45"/>
        <v>15</v>
      </c>
      <c r="H202">
        <f t="shared" si="46"/>
        <v>15</v>
      </c>
      <c r="I202">
        <f t="shared" si="47"/>
        <v>15</v>
      </c>
      <c r="J202">
        <f t="shared" si="48"/>
        <v>0</v>
      </c>
      <c r="K202">
        <v>14</v>
      </c>
      <c r="L202" t="s">
        <v>197</v>
      </c>
      <c r="M202">
        <f>IF(L202="C",E202*COMBIN(Inputs!$B$4,K202),IF(L202="T",(Inputs!$B$4-K202+1)*E202^K202,IF(L202="PT",E202*(Inputs!$B$4-K202+1),IF(AND(L202="E",K202&lt;=E202),Inputs!$B$4*COMBIN(E202,K202),""))))</f>
        <v>75</v>
      </c>
      <c r="N202">
        <f t="shared" si="49"/>
        <v>2.0065677821246717E-12</v>
      </c>
      <c r="O202">
        <f t="shared" si="50"/>
        <v>2.0065677821246717E-12</v>
      </c>
      <c r="P202">
        <f t="shared" si="51"/>
        <v>2.0065677821246717E-12</v>
      </c>
      <c r="Q202">
        <f t="shared" si="52"/>
        <v>2.0066170947075079E-12</v>
      </c>
      <c r="R202">
        <f t="shared" si="53"/>
        <v>26.934570849215202</v>
      </c>
      <c r="S202">
        <f>IF(M202="","",IF(L202="C",SUMIFS(Marginal_Model!$J:$J,Marginal_Model!$A:$A,B202,Marginal_Model!$C:$C,K202),IF(L202="T",SUMIFS(Marginal_Model!$K:$K,Marginal_Model!$A:$A,B202,Marginal_Model!$C:$C,K202),IF(L202="PT",SUMIFS(Marginal_Model!$L:$L,Marginal_Model!$A:$A,B202,Marginal_Model!$C:$C,K202),SUMIFS(Marginal_Model!$M:$M,Marginal_Model!$A:$A,B202,Marginal_Model!$C:$C,K202)))))</f>
        <v>1.3377118547497815E-13</v>
      </c>
      <c r="T202">
        <f t="shared" si="54"/>
        <v>29.642645625603301</v>
      </c>
      <c r="U202">
        <f>IF(M202="","",Inputs!$B$7*R202+Inputs!$B$8*T202)</f>
        <v>27.476185804492822</v>
      </c>
      <c r="V202">
        <f t="shared" si="55"/>
        <v>1.1674656770258772E-12</v>
      </c>
      <c r="W202">
        <f>Inputs!$B$9</f>
        <v>15</v>
      </c>
      <c r="X202">
        <f t="shared" si="56"/>
        <v>2.0065677821246717E-12</v>
      </c>
      <c r="Y202">
        <f t="shared" si="57"/>
        <v>2.0066170947075079E-12</v>
      </c>
      <c r="Z202">
        <f t="shared" si="58"/>
        <v>26.934570849215202</v>
      </c>
      <c r="AA202">
        <f>IF(M202="","",Inputs!$B$7*Z202+Inputs!$B$8*T202)</f>
        <v>27.476185804492822</v>
      </c>
      <c r="AB202">
        <f t="shared" si="59"/>
        <v>1.1674656770258772E-12</v>
      </c>
    </row>
    <row r="203" spans="1:28">
      <c r="A203" t="s">
        <v>203</v>
      </c>
      <c r="B203">
        <v>2</v>
      </c>
      <c r="C203">
        <v>5</v>
      </c>
      <c r="D203">
        <v>0.2</v>
      </c>
      <c r="E203">
        <f>IF(B203=1,Inputs!$B$5,Inputs!$B$6)</f>
        <v>5</v>
      </c>
      <c r="F203">
        <f>E203*Inputs!$B$4</f>
        <v>75</v>
      </c>
      <c r="G203">
        <f t="shared" si="45"/>
        <v>15</v>
      </c>
      <c r="H203">
        <f t="shared" si="46"/>
        <v>15</v>
      </c>
      <c r="I203">
        <f t="shared" si="47"/>
        <v>15</v>
      </c>
      <c r="J203">
        <f t="shared" si="48"/>
        <v>0</v>
      </c>
      <c r="K203">
        <v>14</v>
      </c>
      <c r="L203" t="s">
        <v>198</v>
      </c>
      <c r="M203">
        <f>IF(L203="C",E203*COMBIN(Inputs!$B$4,K203),IF(L203="T",(Inputs!$B$4-K203+1)*E203^K203,IF(L203="PT",E203*(Inputs!$B$4-K203+1),IF(AND(L203="E",K203&lt;=E203),Inputs!$B$4*COMBIN(E203,K203),""))))</f>
        <v>12207031250</v>
      </c>
      <c r="N203">
        <f t="shared" si="49"/>
        <v>3.2658980828852082E-4</v>
      </c>
      <c r="O203">
        <f t="shared" si="50"/>
        <v>3.2658980828852082E-4</v>
      </c>
      <c r="P203">
        <f t="shared" si="51"/>
        <v>3.2658980828852082E-4</v>
      </c>
      <c r="Q203">
        <f t="shared" si="52"/>
        <v>3.2653648364233678E-4</v>
      </c>
      <c r="R203">
        <f t="shared" si="53"/>
        <v>8.0269688738599854</v>
      </c>
      <c r="S203">
        <f>IF(M203="","",IF(L203="C",SUMIFS(Marginal_Model!$J:$J,Marginal_Model!$A:$A,B203,Marginal_Model!$C:$C,K203),IF(L203="T",SUMIFS(Marginal_Model!$K:$K,Marginal_Model!$A:$A,B203,Marginal_Model!$C:$C,K203),IF(L203="PT",SUMIFS(Marginal_Model!$L:$L,Marginal_Model!$A:$A,B203,Marginal_Model!$C:$C,K203),SUMIFS(Marginal_Model!$M:$M,Marginal_Model!$A:$A,B203,Marginal_Model!$C:$C,K203)))))</f>
        <v>3.0689104737803827E-12</v>
      </c>
      <c r="T203">
        <f t="shared" si="54"/>
        <v>26.50969851185349</v>
      </c>
      <c r="U203">
        <f>IF(M203="","",Inputs!$B$7*R203+Inputs!$B$8*T203)</f>
        <v>11.723514801458684</v>
      </c>
      <c r="V203">
        <f t="shared" si="55"/>
        <v>8.1010667983446648E-6</v>
      </c>
      <c r="W203">
        <f>Inputs!$B$9</f>
        <v>15</v>
      </c>
      <c r="X203">
        <f t="shared" si="56"/>
        <v>3.2658980828852082E-4</v>
      </c>
      <c r="Y203">
        <f t="shared" si="57"/>
        <v>3.2653648364233678E-4</v>
      </c>
      <c r="Z203">
        <f t="shared" si="58"/>
        <v>8.0269688738599854</v>
      </c>
      <c r="AA203">
        <f>IF(M203="","",Inputs!$B$7*Z203+Inputs!$B$8*T203)</f>
        <v>11.723514801458684</v>
      </c>
      <c r="AB203">
        <f t="shared" si="59"/>
        <v>8.1010667983446648E-6</v>
      </c>
    </row>
    <row r="204" spans="1:28">
      <c r="A204" t="s">
        <v>203</v>
      </c>
      <c r="B204">
        <v>2</v>
      </c>
      <c r="C204">
        <v>5</v>
      </c>
      <c r="D204">
        <v>0.2</v>
      </c>
      <c r="E204">
        <f>IF(B204=1,Inputs!$B$5,Inputs!$B$6)</f>
        <v>5</v>
      </c>
      <c r="F204">
        <f>E204*Inputs!$B$4</f>
        <v>75</v>
      </c>
      <c r="G204">
        <f t="shared" si="45"/>
        <v>15</v>
      </c>
      <c r="H204">
        <f t="shared" si="46"/>
        <v>15</v>
      </c>
      <c r="I204">
        <f t="shared" si="47"/>
        <v>15</v>
      </c>
      <c r="J204">
        <f t="shared" si="48"/>
        <v>0</v>
      </c>
      <c r="K204">
        <v>14</v>
      </c>
      <c r="L204" t="s">
        <v>199</v>
      </c>
      <c r="M204">
        <f>IF(L204="C",E204*COMBIN(Inputs!$B$4,K204),IF(L204="T",(Inputs!$B$4-K204+1)*E204^K204,IF(L204="PT",E204*(Inputs!$B$4-K204+1),IF(AND(L204="E",K204&lt;=E204),Inputs!$B$4*COMBIN(E204,K204),""))))</f>
        <v>10</v>
      </c>
      <c r="N204">
        <f t="shared" si="49"/>
        <v>2.6754237094995625E-13</v>
      </c>
      <c r="O204">
        <f t="shared" si="50"/>
        <v>2.6754237094995625E-13</v>
      </c>
      <c r="P204">
        <f t="shared" si="51"/>
        <v>2.6754237094995625E-13</v>
      </c>
      <c r="Q204">
        <f t="shared" si="52"/>
        <v>2.6756374893466273E-13</v>
      </c>
      <c r="R204">
        <f t="shared" si="53"/>
        <v>28.949418543192401</v>
      </c>
      <c r="S204">
        <f>IF(M204="","",IF(L204="C",SUMIFS(Marginal_Model!$J:$J,Marginal_Model!$A:$A,B204,Marginal_Model!$C:$C,K204),IF(L204="T",SUMIFS(Marginal_Model!$K:$K,Marginal_Model!$A:$A,B204,Marginal_Model!$C:$C,K204),IF(L204="PT",SUMIFS(Marginal_Model!$L:$L,Marginal_Model!$A:$A,B204,Marginal_Model!$C:$C,K204),SUMIFS(Marginal_Model!$M:$M,Marginal_Model!$A:$A,B204,Marginal_Model!$C:$C,K204)))))</f>
        <v>2.5140514601208912E-21</v>
      </c>
      <c r="T204">
        <f t="shared" si="54"/>
        <v>47.432391373496792</v>
      </c>
      <c r="U204">
        <f>IF(M204="","",Inputs!$B$7*R204+Inputs!$B$8*T204)</f>
        <v>32.646013109253282</v>
      </c>
      <c r="V204">
        <f t="shared" si="55"/>
        <v>6.6376851827887385E-15</v>
      </c>
      <c r="W204">
        <f>Inputs!$B$9</f>
        <v>15</v>
      </c>
      <c r="X204">
        <f t="shared" si="56"/>
        <v>2.6754237094995625E-13</v>
      </c>
      <c r="Y204">
        <f t="shared" si="57"/>
        <v>2.6756374893466273E-13</v>
      </c>
      <c r="Z204">
        <f t="shared" si="58"/>
        <v>28.949418543192401</v>
      </c>
      <c r="AA204">
        <f>IF(M204="","",Inputs!$B$7*Z204+Inputs!$B$8*T204)</f>
        <v>32.646013109253282</v>
      </c>
      <c r="AB204">
        <f t="shared" si="59"/>
        <v>6.6376851827887385E-15</v>
      </c>
    </row>
    <row r="205" spans="1:28">
      <c r="A205" t="s">
        <v>203</v>
      </c>
      <c r="B205">
        <v>2</v>
      </c>
      <c r="C205">
        <v>5</v>
      </c>
      <c r="D205">
        <v>0.2</v>
      </c>
      <c r="E205">
        <f>IF(B205=1,Inputs!$B$5,Inputs!$B$6)</f>
        <v>5</v>
      </c>
      <c r="F205">
        <f>E205*Inputs!$B$4</f>
        <v>75</v>
      </c>
      <c r="G205">
        <f t="shared" si="45"/>
        <v>15</v>
      </c>
      <c r="H205">
        <f t="shared" si="46"/>
        <v>15</v>
      </c>
      <c r="I205">
        <f t="shared" si="47"/>
        <v>15</v>
      </c>
      <c r="J205">
        <f t="shared" si="48"/>
        <v>0</v>
      </c>
      <c r="K205">
        <v>14</v>
      </c>
      <c r="L205" t="s">
        <v>200</v>
      </c>
      <c r="M205" t="str">
        <f>IF(L205="C",E205*COMBIN(Inputs!$B$4,K205),IF(L205="T",(Inputs!$B$4-K205+1)*E205^K205,IF(L205="PT",E205*(Inputs!$B$4-K205+1),IF(AND(L205="E",K205&lt;=E205),Inputs!$B$4*COMBIN(E205,K205),""))))</f>
        <v/>
      </c>
      <c r="N205" t="str">
        <f t="shared" si="49"/>
        <v/>
      </c>
      <c r="O205" t="str">
        <f t="shared" si="50"/>
        <v/>
      </c>
      <c r="P205" t="str">
        <f t="shared" si="51"/>
        <v/>
      </c>
      <c r="Q205" t="str">
        <f t="shared" si="52"/>
        <v/>
      </c>
      <c r="R205" t="str">
        <f t="shared" si="53"/>
        <v/>
      </c>
      <c r="S205" t="str">
        <f>IF(M205="","",IF(L205="C",SUMIFS(Marginal_Model!$J:$J,Marginal_Model!$A:$A,B205,Marginal_Model!$C:$C,K205),IF(L205="T",SUMIFS(Marginal_Model!$K:$K,Marginal_Model!$A:$A,B205,Marginal_Model!$C:$C,K205),IF(L205="PT",SUMIFS(Marginal_Model!$L:$L,Marginal_Model!$A:$A,B205,Marginal_Model!$C:$C,K205),SUMIFS(Marginal_Model!$M:$M,Marginal_Model!$A:$A,B205,Marginal_Model!$C:$C,K205)))))</f>
        <v/>
      </c>
      <c r="T205" t="str">
        <f t="shared" si="54"/>
        <v/>
      </c>
      <c r="U205" t="str">
        <f>IF(M205="","",Inputs!$B$7*R205+Inputs!$B$8*T205)</f>
        <v/>
      </c>
      <c r="V205" t="str">
        <f t="shared" si="55"/>
        <v/>
      </c>
      <c r="W205">
        <f>Inputs!$B$9</f>
        <v>15</v>
      </c>
      <c r="X205" t="str">
        <f t="shared" si="56"/>
        <v/>
      </c>
      <c r="Y205" t="str">
        <f t="shared" si="57"/>
        <v/>
      </c>
      <c r="Z205" t="str">
        <f t="shared" si="58"/>
        <v/>
      </c>
      <c r="AA205" t="str">
        <f>IF(M205="","",Inputs!$B$7*Z205+Inputs!$B$8*T205)</f>
        <v/>
      </c>
      <c r="AB205" t="str">
        <f t="shared" si="59"/>
        <v/>
      </c>
    </row>
    <row r="206" spans="1:28">
      <c r="A206" t="s">
        <v>203</v>
      </c>
      <c r="B206">
        <v>2</v>
      </c>
      <c r="C206">
        <v>5</v>
      </c>
      <c r="D206">
        <v>0.2</v>
      </c>
      <c r="E206">
        <f>IF(B206=1,Inputs!$B$5,Inputs!$B$6)</f>
        <v>5</v>
      </c>
      <c r="F206">
        <f>E206*Inputs!$B$4</f>
        <v>75</v>
      </c>
      <c r="G206">
        <f t="shared" si="45"/>
        <v>15</v>
      </c>
      <c r="H206">
        <f t="shared" si="46"/>
        <v>15</v>
      </c>
      <c r="I206">
        <f t="shared" si="47"/>
        <v>15</v>
      </c>
      <c r="J206">
        <f t="shared" si="48"/>
        <v>0</v>
      </c>
      <c r="K206">
        <v>15</v>
      </c>
      <c r="L206" t="s">
        <v>197</v>
      </c>
      <c r="M206">
        <f>IF(L206="C",E206*COMBIN(Inputs!$B$4,K206),IF(L206="T",(Inputs!$B$4-K206+1)*E206^K206,IF(L206="PT",E206*(Inputs!$B$4-K206+1),IF(AND(L206="E",K206&lt;=E206),Inputs!$B$4*COMBIN(E206,K206),""))))</f>
        <v>5</v>
      </c>
      <c r="N206">
        <f t="shared" si="49"/>
        <v>2.1929702536881659E-15</v>
      </c>
      <c r="O206">
        <f t="shared" si="50"/>
        <v>2.1929702536881659E-15</v>
      </c>
      <c r="P206">
        <f t="shared" si="51"/>
        <v>2.1929702536881659E-15</v>
      </c>
      <c r="Q206">
        <f t="shared" si="52"/>
        <v>2.2204460492503131E-15</v>
      </c>
      <c r="R206">
        <f t="shared" si="53"/>
        <v>33.74106829612311</v>
      </c>
      <c r="S206">
        <f>IF(M206="","",IF(L206="C",SUMIFS(Marginal_Model!$J:$J,Marginal_Model!$A:$A,B206,Marginal_Model!$C:$C,K206),IF(L206="T",SUMIFS(Marginal_Model!$K:$K,Marginal_Model!$A:$A,B206,Marginal_Model!$C:$C,K206),IF(L206="PT",SUMIFS(Marginal_Model!$L:$L,Marginal_Model!$A:$A,B206,Marginal_Model!$C:$C,K206),SUMIFS(Marginal_Model!$M:$M,Marginal_Model!$A:$A,B206,Marginal_Model!$C:$C,K206)))))</f>
        <v>2.1929702536881667E-15</v>
      </c>
      <c r="T206">
        <f t="shared" si="54"/>
        <v>33.753519489776615</v>
      </c>
      <c r="U206">
        <f>IF(M206="","",Inputs!$B$7*R206+Inputs!$B$8*T206)</f>
        <v>33.743558534853811</v>
      </c>
      <c r="V206">
        <f t="shared" si="55"/>
        <v>2.2149234876014103E-15</v>
      </c>
      <c r="W206">
        <f>Inputs!$B$9</f>
        <v>15</v>
      </c>
      <c r="X206">
        <f t="shared" si="56"/>
        <v>2.1929702536881659E-15</v>
      </c>
      <c r="Y206">
        <f t="shared" si="57"/>
        <v>2.2204460492503131E-15</v>
      </c>
      <c r="Z206">
        <f t="shared" si="58"/>
        <v>33.74106829612311</v>
      </c>
      <c r="AA206">
        <f>IF(M206="","",Inputs!$B$7*Z206+Inputs!$B$8*T206)</f>
        <v>33.743558534853811</v>
      </c>
      <c r="AB206">
        <f t="shared" si="59"/>
        <v>2.2149234876014103E-15</v>
      </c>
    </row>
    <row r="207" spans="1:28">
      <c r="A207" t="s">
        <v>203</v>
      </c>
      <c r="B207">
        <v>2</v>
      </c>
      <c r="C207">
        <v>5</v>
      </c>
      <c r="D207">
        <v>0.2</v>
      </c>
      <c r="E207">
        <f>IF(B207=1,Inputs!$B$5,Inputs!$B$6)</f>
        <v>5</v>
      </c>
      <c r="F207">
        <f>E207*Inputs!$B$4</f>
        <v>75</v>
      </c>
      <c r="G207">
        <f t="shared" si="45"/>
        <v>15</v>
      </c>
      <c r="H207">
        <f t="shared" si="46"/>
        <v>15</v>
      </c>
      <c r="I207">
        <f t="shared" si="47"/>
        <v>15</v>
      </c>
      <c r="J207">
        <f t="shared" si="48"/>
        <v>0</v>
      </c>
      <c r="K207">
        <v>15</v>
      </c>
      <c r="L207" t="s">
        <v>198</v>
      </c>
      <c r="M207">
        <f>IF(L207="C",E207*COMBIN(Inputs!$B$4,K207),IF(L207="T",(Inputs!$B$4-K207+1)*E207^K207,IF(L207="PT",E207*(Inputs!$B$4-K207+1),IF(AND(L207="E",K207&lt;=E207),Inputs!$B$4*COMBIN(E207,K207),""))))</f>
        <v>30517578125</v>
      </c>
      <c r="N207">
        <f t="shared" si="49"/>
        <v>1.3384828208545935E-5</v>
      </c>
      <c r="O207">
        <f t="shared" si="50"/>
        <v>1.3384828208545935E-5</v>
      </c>
      <c r="P207">
        <f t="shared" si="51"/>
        <v>1.3384828208545935E-5</v>
      </c>
      <c r="Q207">
        <f t="shared" si="52"/>
        <v>1.3384738632105098E-5</v>
      </c>
      <c r="R207">
        <f t="shared" si="53"/>
        <v>11.221395408107893</v>
      </c>
      <c r="S207">
        <f>IF(M207="","",IF(L207="C",SUMIFS(Marginal_Model!$J:$J,Marginal_Model!$A:$A,B207,Marginal_Model!$C:$C,K207),IF(L207="T",SUMIFS(Marginal_Model!$K:$K,Marginal_Model!$A:$A,B207,Marginal_Model!$C:$C,K207),IF(L207="PT",SUMIFS(Marginal_Model!$L:$L,Marginal_Model!$A:$A,B207,Marginal_Model!$C:$C,K207),SUMIFS(Marginal_Model!$M:$M,Marginal_Model!$A:$A,B207,Marginal_Model!$C:$C,K207)))))</f>
        <v>2.515500388344576E-13</v>
      </c>
      <c r="T207">
        <f t="shared" si="54"/>
        <v>29.0111344635927</v>
      </c>
      <c r="U207">
        <f>IF(M207="","",Inputs!$B$7*R207+Inputs!$B$8*T207)</f>
        <v>14.779343219204854</v>
      </c>
      <c r="V207">
        <f t="shared" si="55"/>
        <v>3.8142819587516711E-7</v>
      </c>
      <c r="W207">
        <f>Inputs!$B$9</f>
        <v>15</v>
      </c>
      <c r="X207">
        <f t="shared" si="56"/>
        <v>1.3384828208545935E-5</v>
      </c>
      <c r="Y207">
        <f t="shared" si="57"/>
        <v>1.3384738632105098E-5</v>
      </c>
      <c r="Z207">
        <f t="shared" si="58"/>
        <v>11.221395408107893</v>
      </c>
      <c r="AA207">
        <f>IF(M207="","",Inputs!$B$7*Z207+Inputs!$B$8*T207)</f>
        <v>14.779343219204854</v>
      </c>
      <c r="AB207">
        <f t="shared" si="59"/>
        <v>3.8142819587516711E-7</v>
      </c>
    </row>
    <row r="208" spans="1:28">
      <c r="A208" t="s">
        <v>203</v>
      </c>
      <c r="B208">
        <v>2</v>
      </c>
      <c r="C208">
        <v>5</v>
      </c>
      <c r="D208">
        <v>0.2</v>
      </c>
      <c r="E208">
        <f>IF(B208=1,Inputs!$B$5,Inputs!$B$6)</f>
        <v>5</v>
      </c>
      <c r="F208">
        <f>E208*Inputs!$B$4</f>
        <v>75</v>
      </c>
      <c r="G208">
        <f t="shared" si="45"/>
        <v>15</v>
      </c>
      <c r="H208">
        <f t="shared" si="46"/>
        <v>15</v>
      </c>
      <c r="I208">
        <f t="shared" si="47"/>
        <v>15</v>
      </c>
      <c r="J208">
        <f t="shared" si="48"/>
        <v>0</v>
      </c>
      <c r="K208">
        <v>15</v>
      </c>
      <c r="L208" t="s">
        <v>199</v>
      </c>
      <c r="M208">
        <f>IF(L208="C",E208*COMBIN(Inputs!$B$4,K208),IF(L208="T",(Inputs!$B$4-K208+1)*E208^K208,IF(L208="PT",E208*(Inputs!$B$4-K208+1),IF(AND(L208="E",K208&lt;=E208),Inputs!$B$4*COMBIN(E208,K208),""))))</f>
        <v>5</v>
      </c>
      <c r="N208">
        <f t="shared" si="49"/>
        <v>2.1929702536881659E-15</v>
      </c>
      <c r="O208">
        <f t="shared" si="50"/>
        <v>2.1929702536881659E-15</v>
      </c>
      <c r="P208">
        <f t="shared" si="51"/>
        <v>2.1929702536881659E-15</v>
      </c>
      <c r="Q208">
        <f t="shared" si="52"/>
        <v>2.2204460492503131E-15</v>
      </c>
      <c r="R208">
        <f t="shared" si="53"/>
        <v>33.74106829612311</v>
      </c>
      <c r="S208">
        <f>IF(M208="","",IF(L208="C",SUMIFS(Marginal_Model!$J:$J,Marginal_Model!$A:$A,B208,Marginal_Model!$C:$C,K208),IF(L208="T",SUMIFS(Marginal_Model!$K:$K,Marginal_Model!$A:$A,B208,Marginal_Model!$C:$C,K208),IF(L208="PT",SUMIFS(Marginal_Model!$L:$L,Marginal_Model!$A:$A,B208,Marginal_Model!$C:$C,K208),SUMIFS(Marginal_Model!$M:$M,Marginal_Model!$A:$A,B208,Marginal_Model!$C:$C,K208)))))</f>
        <v>4.1213958362637565E-23</v>
      </c>
      <c r="T208">
        <f t="shared" si="54"/>
        <v>51.543265237670106</v>
      </c>
      <c r="U208">
        <f>IF(M208="","",Inputs!$B$7*R208+Inputs!$B$8*T208)</f>
        <v>37.301507684432508</v>
      </c>
      <c r="V208">
        <f t="shared" si="55"/>
        <v>6.3119136077592845E-17</v>
      </c>
      <c r="W208">
        <f>Inputs!$B$9</f>
        <v>15</v>
      </c>
      <c r="X208">
        <f t="shared" si="56"/>
        <v>2.1929702536881659E-15</v>
      </c>
      <c r="Y208">
        <f t="shared" si="57"/>
        <v>2.2204460492503131E-15</v>
      </c>
      <c r="Z208">
        <f t="shared" si="58"/>
        <v>33.74106829612311</v>
      </c>
      <c r="AA208">
        <f>IF(M208="","",Inputs!$B$7*Z208+Inputs!$B$8*T208)</f>
        <v>37.301507684432508</v>
      </c>
      <c r="AB208">
        <f t="shared" si="59"/>
        <v>6.3119136077592845E-17</v>
      </c>
    </row>
    <row r="209" spans="1:28">
      <c r="A209" t="s">
        <v>203</v>
      </c>
      <c r="B209">
        <v>2</v>
      </c>
      <c r="C209">
        <v>5</v>
      </c>
      <c r="D209">
        <v>0.2</v>
      </c>
      <c r="E209">
        <f>IF(B209=1,Inputs!$B$5,Inputs!$B$6)</f>
        <v>5</v>
      </c>
      <c r="F209">
        <f>E209*Inputs!$B$4</f>
        <v>75</v>
      </c>
      <c r="G209">
        <f t="shared" si="45"/>
        <v>15</v>
      </c>
      <c r="H209">
        <f t="shared" si="46"/>
        <v>15</v>
      </c>
      <c r="I209">
        <f t="shared" si="47"/>
        <v>15</v>
      </c>
      <c r="J209">
        <f t="shared" si="48"/>
        <v>0</v>
      </c>
      <c r="K209">
        <v>15</v>
      </c>
      <c r="L209" t="s">
        <v>200</v>
      </c>
      <c r="M209" t="str">
        <f>IF(L209="C",E209*COMBIN(Inputs!$B$4,K209),IF(L209="T",(Inputs!$B$4-K209+1)*E209^K209,IF(L209="PT",E209*(Inputs!$B$4-K209+1),IF(AND(L209="E",K209&lt;=E209),Inputs!$B$4*COMBIN(E209,K209),""))))</f>
        <v/>
      </c>
      <c r="N209" t="str">
        <f t="shared" si="49"/>
        <v/>
      </c>
      <c r="O209" t="str">
        <f t="shared" si="50"/>
        <v/>
      </c>
      <c r="P209" t="str">
        <f t="shared" si="51"/>
        <v/>
      </c>
      <c r="Q209" t="str">
        <f t="shared" si="52"/>
        <v/>
      </c>
      <c r="R209" t="str">
        <f t="shared" si="53"/>
        <v/>
      </c>
      <c r="S209" t="str">
        <f>IF(M209="","",IF(L209="C",SUMIFS(Marginal_Model!$J:$J,Marginal_Model!$A:$A,B209,Marginal_Model!$C:$C,K209),IF(L209="T",SUMIFS(Marginal_Model!$K:$K,Marginal_Model!$A:$A,B209,Marginal_Model!$C:$C,K209),IF(L209="PT",SUMIFS(Marginal_Model!$L:$L,Marginal_Model!$A:$A,B209,Marginal_Model!$C:$C,K209),SUMIFS(Marginal_Model!$M:$M,Marginal_Model!$A:$A,B209,Marginal_Model!$C:$C,K209)))))</f>
        <v/>
      </c>
      <c r="T209" t="str">
        <f t="shared" si="54"/>
        <v/>
      </c>
      <c r="U209" t="str">
        <f>IF(M209="","",Inputs!$B$7*R209+Inputs!$B$8*T209)</f>
        <v/>
      </c>
      <c r="V209" t="str">
        <f t="shared" si="55"/>
        <v/>
      </c>
      <c r="W209">
        <f>Inputs!$B$9</f>
        <v>15</v>
      </c>
      <c r="X209" t="str">
        <f t="shared" si="56"/>
        <v/>
      </c>
      <c r="Y209" t="str">
        <f t="shared" si="57"/>
        <v/>
      </c>
      <c r="Z209" t="str">
        <f t="shared" si="58"/>
        <v/>
      </c>
      <c r="AA209" t="str">
        <f>IF(M209="","",Inputs!$B$7*Z209+Inputs!$B$8*T209)</f>
        <v/>
      </c>
      <c r="AB209" t="str">
        <f t="shared" si="59"/>
        <v/>
      </c>
    </row>
    <row r="210" spans="1:28">
      <c r="A210" t="s">
        <v>204</v>
      </c>
      <c r="B210">
        <v>2</v>
      </c>
      <c r="C210">
        <v>6</v>
      </c>
      <c r="D210">
        <v>0.2</v>
      </c>
      <c r="E210">
        <f>IF(B210=1,Inputs!$B$5,Inputs!$B$6)</f>
        <v>5</v>
      </c>
      <c r="F210">
        <f>E210*Inputs!$B$4</f>
        <v>75</v>
      </c>
      <c r="G210">
        <f t="shared" si="45"/>
        <v>12.5</v>
      </c>
      <c r="H210">
        <f t="shared" si="46"/>
        <v>12</v>
      </c>
      <c r="I210">
        <f t="shared" si="47"/>
        <v>13</v>
      </c>
      <c r="J210">
        <f t="shared" si="48"/>
        <v>0.5</v>
      </c>
      <c r="K210">
        <v>3</v>
      </c>
      <c r="L210" t="s">
        <v>197</v>
      </c>
      <c r="M210">
        <f>IF(L210="C",E210*COMBIN(Inputs!$B$4,K210),IF(L210="T",(Inputs!$B$4-K210+1)*E210^K210,IF(L210="PT",E210*(Inputs!$B$4-K210+1),IF(AND(L210="E",K210&lt;=E210),Inputs!$B$4*COMBIN(E210,K210),""))))</f>
        <v>2275.0000000000005</v>
      </c>
      <c r="N210">
        <f t="shared" si="49"/>
        <v>7.4120696038504263</v>
      </c>
      <c r="O210">
        <f t="shared" si="50"/>
        <v>9.6356904850055543</v>
      </c>
      <c r="P210">
        <f t="shared" si="51"/>
        <v>8.5238800444279903</v>
      </c>
      <c r="Q210">
        <f t="shared" si="52"/>
        <v>0.99980133290915196</v>
      </c>
      <c r="R210">
        <f t="shared" si="53"/>
        <v>1.9868682776862437E-4</v>
      </c>
      <c r="S210">
        <f>IF(M210="","",IF(L210="C",SUMIFS(Marginal_Model!$J:$J,Marginal_Model!$A:$A,B210,Marginal_Model!$C:$C,K210),IF(L210="T",SUMIFS(Marginal_Model!$K:$K,Marginal_Model!$A:$A,B210,Marginal_Model!$C:$C,K210),IF(L210="PT",SUMIFS(Marginal_Model!$L:$L,Marginal_Model!$A:$A,B210,Marginal_Model!$C:$C,K210),SUMIFS(Marginal_Model!$M:$M,Marginal_Model!$A:$A,B210,Marginal_Model!$C:$C,K210)))))</f>
        <v>3.3691225472047399E-2</v>
      </c>
      <c r="T210">
        <f t="shared" si="54"/>
        <v>3.3905178472757651</v>
      </c>
      <c r="U210">
        <f>IF(M210="","",Inputs!$B$7*R210+Inputs!$B$8*T210)</f>
        <v>0.67826251891736777</v>
      </c>
      <c r="V210">
        <f t="shared" si="55"/>
        <v>0.50749799494699044</v>
      </c>
      <c r="W210">
        <f>Inputs!$B$9</f>
        <v>15</v>
      </c>
      <c r="X210">
        <f t="shared" si="56"/>
        <v>15.329507589781565</v>
      </c>
      <c r="Y210">
        <f t="shared" si="57"/>
        <v>0.9999997799712439</v>
      </c>
      <c r="Z210">
        <f t="shared" si="58"/>
        <v>2.2002878031015974E-7</v>
      </c>
      <c r="AA210">
        <f>IF(M210="","",Inputs!$B$7*Z210+Inputs!$B$8*T210)</f>
        <v>0.67810374547817709</v>
      </c>
      <c r="AB210">
        <f t="shared" si="59"/>
        <v>0.50757857854612887</v>
      </c>
    </row>
    <row r="211" spans="1:28">
      <c r="A211" t="s">
        <v>204</v>
      </c>
      <c r="B211">
        <v>2</v>
      </c>
      <c r="C211">
        <v>6</v>
      </c>
      <c r="D211">
        <v>0.2</v>
      </c>
      <c r="E211">
        <f>IF(B211=1,Inputs!$B$5,Inputs!$B$6)</f>
        <v>5</v>
      </c>
      <c r="F211">
        <f>E211*Inputs!$B$4</f>
        <v>75</v>
      </c>
      <c r="G211">
        <f t="shared" si="45"/>
        <v>12.5</v>
      </c>
      <c r="H211">
        <f t="shared" si="46"/>
        <v>12</v>
      </c>
      <c r="I211">
        <f t="shared" si="47"/>
        <v>13</v>
      </c>
      <c r="J211">
        <f t="shared" si="48"/>
        <v>0.5</v>
      </c>
      <c r="K211">
        <v>3</v>
      </c>
      <c r="L211" t="s">
        <v>198</v>
      </c>
      <c r="M211">
        <f>IF(L211="C",E211*COMBIN(Inputs!$B$4,K211),IF(L211="T",(Inputs!$B$4-K211+1)*E211^K211,IF(L211="PT",E211*(Inputs!$B$4-K211+1),IF(AND(L211="E",K211&lt;=E211),Inputs!$B$4*COMBIN(E211,K211),""))))</f>
        <v>1625</v>
      </c>
      <c r="N211">
        <f t="shared" si="49"/>
        <v>5.2943354313217323</v>
      </c>
      <c r="O211">
        <f t="shared" si="50"/>
        <v>6.8826360607182515</v>
      </c>
      <c r="P211">
        <f t="shared" si="51"/>
        <v>6.0884857460199919</v>
      </c>
      <c r="Q211">
        <f t="shared" si="52"/>
        <v>0.99773115808215684</v>
      </c>
      <c r="R211">
        <f t="shared" si="53"/>
        <v>2.2714196393670721E-3</v>
      </c>
      <c r="S211">
        <f>IF(M211="","",IF(L211="C",SUMIFS(Marginal_Model!$J:$J,Marginal_Model!$A:$A,B211,Marginal_Model!$C:$C,K211),IF(L211="T",SUMIFS(Marginal_Model!$K:$K,Marginal_Model!$A:$A,B211,Marginal_Model!$C:$C,K211),IF(L211="PT",SUMIFS(Marginal_Model!$L:$L,Marginal_Model!$A:$A,B211,Marginal_Model!$C:$C,K211),SUMIFS(Marginal_Model!$M:$M,Marginal_Model!$A:$A,B211,Marginal_Model!$C:$C,K211)))))</f>
        <v>2.4065161051462423E-2</v>
      </c>
      <c r="T211">
        <f t="shared" si="54"/>
        <v>3.7269900838969785</v>
      </c>
      <c r="U211">
        <f>IF(M211="","",Inputs!$B$7*R211+Inputs!$B$8*T211)</f>
        <v>0.74721515249088921</v>
      </c>
      <c r="V211">
        <f t="shared" si="55"/>
        <v>0.47368385495034326</v>
      </c>
      <c r="W211">
        <f>Inputs!$B$9</f>
        <v>15</v>
      </c>
      <c r="X211">
        <f t="shared" si="56"/>
        <v>10.949648278415403</v>
      </c>
      <c r="Y211">
        <f t="shared" si="57"/>
        <v>0.99998243580807977</v>
      </c>
      <c r="Z211">
        <f t="shared" si="58"/>
        <v>1.756434617245252E-5</v>
      </c>
      <c r="AA211">
        <f>IF(M211="","",Inputs!$B$7*Z211+Inputs!$B$8*T211)</f>
        <v>0.74541206825633355</v>
      </c>
      <c r="AB211">
        <f t="shared" si="59"/>
        <v>0.47453871730417979</v>
      </c>
    </row>
    <row r="212" spans="1:28">
      <c r="A212" t="s">
        <v>204</v>
      </c>
      <c r="B212">
        <v>2</v>
      </c>
      <c r="C212">
        <v>6</v>
      </c>
      <c r="D212">
        <v>0.2</v>
      </c>
      <c r="E212">
        <f>IF(B212=1,Inputs!$B$5,Inputs!$B$6)</f>
        <v>5</v>
      </c>
      <c r="F212">
        <f>E212*Inputs!$B$4</f>
        <v>75</v>
      </c>
      <c r="G212">
        <f t="shared" si="45"/>
        <v>12.5</v>
      </c>
      <c r="H212">
        <f t="shared" si="46"/>
        <v>12</v>
      </c>
      <c r="I212">
        <f t="shared" si="47"/>
        <v>13</v>
      </c>
      <c r="J212">
        <f t="shared" si="48"/>
        <v>0.5</v>
      </c>
      <c r="K212">
        <v>3</v>
      </c>
      <c r="L212" t="s">
        <v>199</v>
      </c>
      <c r="M212">
        <f>IF(L212="C",E212*COMBIN(Inputs!$B$4,K212),IF(L212="T",(Inputs!$B$4-K212+1)*E212^K212,IF(L212="PT",E212*(Inputs!$B$4-K212+1),IF(AND(L212="E",K212&lt;=E212),Inputs!$B$4*COMBIN(E212,K212),""))))</f>
        <v>65</v>
      </c>
      <c r="N212">
        <f t="shared" si="49"/>
        <v>0.21177341725286927</v>
      </c>
      <c r="O212">
        <f t="shared" si="50"/>
        <v>0.27530544242873006</v>
      </c>
      <c r="P212">
        <f t="shared" si="51"/>
        <v>0.24353942984079968</v>
      </c>
      <c r="Q212">
        <f t="shared" si="52"/>
        <v>0.21615143160132755</v>
      </c>
      <c r="R212">
        <f t="shared" si="53"/>
        <v>1.5317760447059392</v>
      </c>
      <c r="S212">
        <f>IF(M212="","",IF(L212="C",SUMIFS(Marginal_Model!$J:$J,Marginal_Model!$A:$A,B212,Marginal_Model!$C:$C,K212),IF(L212="T",SUMIFS(Marginal_Model!$K:$K,Marginal_Model!$A:$A,B212,Marginal_Model!$C:$C,K212),IF(L212="PT",SUMIFS(Marginal_Model!$L:$L,Marginal_Model!$A:$A,B212,Marginal_Model!$C:$C,K212),SUMIFS(Marginal_Model!$M:$M,Marginal_Model!$A:$A,B212,Marginal_Model!$C:$C,K212)))))</f>
        <v>9.6260644205849687E-4</v>
      </c>
      <c r="T212">
        <f t="shared" si="54"/>
        <v>6.9458659087651791</v>
      </c>
      <c r="U212">
        <f>IF(M212="","",Inputs!$B$7*R212+Inputs!$B$8*T212)</f>
        <v>2.6145940175177866</v>
      </c>
      <c r="V212">
        <f t="shared" si="55"/>
        <v>7.3197499567093607E-2</v>
      </c>
      <c r="W212">
        <f>Inputs!$B$9</f>
        <v>15</v>
      </c>
      <c r="X212">
        <f t="shared" si="56"/>
        <v>0.4379859311366161</v>
      </c>
      <c r="Y212">
        <f t="shared" si="57"/>
        <v>0.35466513807856237</v>
      </c>
      <c r="Z212">
        <f t="shared" si="58"/>
        <v>1.0365812076868104</v>
      </c>
      <c r="AA212">
        <f>IF(M212="","",Inputs!$B$7*Z212+Inputs!$B$8*T212)</f>
        <v>2.2184381479024839</v>
      </c>
      <c r="AB212">
        <f t="shared" si="59"/>
        <v>0.10877887272792965</v>
      </c>
    </row>
    <row r="213" spans="1:28">
      <c r="A213" t="s">
        <v>204</v>
      </c>
      <c r="B213">
        <v>2</v>
      </c>
      <c r="C213">
        <v>6</v>
      </c>
      <c r="D213">
        <v>0.2</v>
      </c>
      <c r="E213">
        <f>IF(B213=1,Inputs!$B$5,Inputs!$B$6)</f>
        <v>5</v>
      </c>
      <c r="F213">
        <f>E213*Inputs!$B$4</f>
        <v>75</v>
      </c>
      <c r="G213">
        <f t="shared" si="45"/>
        <v>12.5</v>
      </c>
      <c r="H213">
        <f t="shared" si="46"/>
        <v>12</v>
      </c>
      <c r="I213">
        <f t="shared" si="47"/>
        <v>13</v>
      </c>
      <c r="J213">
        <f t="shared" si="48"/>
        <v>0.5</v>
      </c>
      <c r="K213">
        <v>3</v>
      </c>
      <c r="L213" t="s">
        <v>200</v>
      </c>
      <c r="M213">
        <f>IF(L213="C",E213*COMBIN(Inputs!$B$4,K213),IF(L213="T",(Inputs!$B$4-K213+1)*E213^K213,IF(L213="PT",E213*(Inputs!$B$4-K213+1),IF(AND(L213="E",K213&lt;=E213),Inputs!$B$4*COMBIN(E213,K213),""))))</f>
        <v>150</v>
      </c>
      <c r="N213">
        <f t="shared" si="49"/>
        <v>0.48870788596815989</v>
      </c>
      <c r="O213">
        <f t="shared" si="50"/>
        <v>0.63532025175860785</v>
      </c>
      <c r="P213">
        <f t="shared" si="51"/>
        <v>0.5620140688633839</v>
      </c>
      <c r="Q213">
        <f t="shared" si="52"/>
        <v>0.42994023277138937</v>
      </c>
      <c r="R213">
        <f t="shared" si="53"/>
        <v>0.84410907350993669</v>
      </c>
      <c r="S213">
        <f>IF(M213="","",IF(L213="C",SUMIFS(Marginal_Model!$J:$J,Marginal_Model!$A:$A,B213,Marginal_Model!$C:$C,K213),IF(L213="T",SUMIFS(Marginal_Model!$K:$K,Marginal_Model!$A:$A,B213,Marginal_Model!$C:$C,K213),IF(L213="PT",SUMIFS(Marginal_Model!$L:$L,Marginal_Model!$A:$A,B213,Marginal_Model!$C:$C,K213),SUMIFS(Marginal_Model!$M:$M,Marginal_Model!$A:$A,B213,Marginal_Model!$C:$C,K213)))))</f>
        <v>2.2213994816734544E-3</v>
      </c>
      <c r="T213">
        <f t="shared" si="54"/>
        <v>6.1096178845645603</v>
      </c>
      <c r="U213">
        <f>IF(M213="","",Inputs!$B$7*R213+Inputs!$B$8*T213)</f>
        <v>1.8972108357208612</v>
      </c>
      <c r="V213">
        <f t="shared" si="55"/>
        <v>0.14998637299377482</v>
      </c>
      <c r="W213">
        <f>Inputs!$B$9</f>
        <v>15</v>
      </c>
      <c r="X213">
        <f t="shared" si="56"/>
        <v>1.0107367641614218</v>
      </c>
      <c r="Y213">
        <f t="shared" si="57"/>
        <v>0.63604926509087356</v>
      </c>
      <c r="Z213">
        <f t="shared" si="58"/>
        <v>0.45247925780724357</v>
      </c>
      <c r="AA213">
        <f>IF(M213="","",Inputs!$B$7*Z213+Inputs!$B$8*T213)</f>
        <v>1.5839069831587067</v>
      </c>
      <c r="AB213">
        <f t="shared" si="59"/>
        <v>0.2051719269749866</v>
      </c>
    </row>
    <row r="214" spans="1:28">
      <c r="A214" t="s">
        <v>204</v>
      </c>
      <c r="B214">
        <v>2</v>
      </c>
      <c r="C214">
        <v>6</v>
      </c>
      <c r="D214">
        <v>0.2</v>
      </c>
      <c r="E214">
        <f>IF(B214=1,Inputs!$B$5,Inputs!$B$6)</f>
        <v>5</v>
      </c>
      <c r="F214">
        <f>E214*Inputs!$B$4</f>
        <v>75</v>
      </c>
      <c r="G214">
        <f t="shared" si="45"/>
        <v>12.5</v>
      </c>
      <c r="H214">
        <f t="shared" si="46"/>
        <v>12</v>
      </c>
      <c r="I214">
        <f t="shared" si="47"/>
        <v>13</v>
      </c>
      <c r="J214">
        <f t="shared" si="48"/>
        <v>0.5</v>
      </c>
      <c r="K214">
        <v>4</v>
      </c>
      <c r="L214" t="s">
        <v>197</v>
      </c>
      <c r="M214">
        <f>IF(L214="C",E214*COMBIN(Inputs!$B$4,K214),IF(L214="T",(Inputs!$B$4-K214+1)*E214^K214,IF(L214="PT",E214*(Inputs!$B$4-K214+1),IF(AND(L214="E",K214&lt;=E214),Inputs!$B$4*COMBIN(E214,K214),""))))</f>
        <v>6825</v>
      </c>
      <c r="N214">
        <f t="shared" si="49"/>
        <v>2.7795261014439094</v>
      </c>
      <c r="O214">
        <f t="shared" si="50"/>
        <v>4.01487103541898</v>
      </c>
      <c r="P214">
        <f t="shared" si="51"/>
        <v>3.3971985684314445</v>
      </c>
      <c r="Q214">
        <f t="shared" si="52"/>
        <v>0.96653310602826081</v>
      </c>
      <c r="R214">
        <f t="shared" si="53"/>
        <v>3.4039727399168183E-2</v>
      </c>
      <c r="S214">
        <f>IF(M214="","",IF(L214="C",SUMIFS(Marginal_Model!$J:$J,Marginal_Model!$A:$A,B214,Marginal_Model!$C:$C,K214),IF(L214="T",SUMIFS(Marginal_Model!$K:$K,Marginal_Model!$A:$A,B214,Marginal_Model!$C:$C,K214),IF(L214="PT",SUMIFS(Marginal_Model!$L:$L,Marginal_Model!$A:$A,B214,Marginal_Model!$C:$C,K214),SUMIFS(Marginal_Model!$M:$M,Marginal_Model!$A:$A,B214,Marginal_Model!$C:$C,K214)))))</f>
        <v>5.6152042453412329E-3</v>
      </c>
      <c r="T214">
        <f t="shared" si="54"/>
        <v>5.1822773165038205</v>
      </c>
      <c r="U214">
        <f>IF(M214="","",Inputs!$B$7*R214+Inputs!$B$8*T214)</f>
        <v>1.0636872452200985</v>
      </c>
      <c r="V214">
        <f t="shared" si="55"/>
        <v>0.34518069507543803</v>
      </c>
      <c r="W214">
        <f>Inputs!$B$9</f>
        <v>15</v>
      </c>
      <c r="X214">
        <f t="shared" si="56"/>
        <v>7.6647537948907809</v>
      </c>
      <c r="Y214">
        <f t="shared" si="57"/>
        <v>0.99953092777095853</v>
      </c>
      <c r="Z214">
        <f t="shared" si="58"/>
        <v>4.6918227783473033E-4</v>
      </c>
      <c r="AA214">
        <f>IF(M214="","",Inputs!$B$7*Z214+Inputs!$B$8*T214)</f>
        <v>1.0368308091230316</v>
      </c>
      <c r="AB214">
        <f t="shared" si="59"/>
        <v>0.35457662419777575</v>
      </c>
    </row>
    <row r="215" spans="1:28">
      <c r="A215" t="s">
        <v>204</v>
      </c>
      <c r="B215">
        <v>2</v>
      </c>
      <c r="C215">
        <v>6</v>
      </c>
      <c r="D215">
        <v>0.2</v>
      </c>
      <c r="E215">
        <f>IF(B215=1,Inputs!$B$5,Inputs!$B$6)</f>
        <v>5</v>
      </c>
      <c r="F215">
        <f>E215*Inputs!$B$4</f>
        <v>75</v>
      </c>
      <c r="G215">
        <f t="shared" si="45"/>
        <v>12.5</v>
      </c>
      <c r="H215">
        <f t="shared" si="46"/>
        <v>12</v>
      </c>
      <c r="I215">
        <f t="shared" si="47"/>
        <v>13</v>
      </c>
      <c r="J215">
        <f t="shared" si="48"/>
        <v>0.5</v>
      </c>
      <c r="K215">
        <v>4</v>
      </c>
      <c r="L215" t="s">
        <v>198</v>
      </c>
      <c r="M215">
        <f>IF(L215="C",E215*COMBIN(Inputs!$B$4,K215),IF(L215="T",(Inputs!$B$4-K215+1)*E215^K215,IF(L215="PT",E215*(Inputs!$B$4-K215+1),IF(AND(L215="E",K215&lt;=E215),Inputs!$B$4*COMBIN(E215,K215),""))))</f>
        <v>7500</v>
      </c>
      <c r="N215">
        <f t="shared" si="49"/>
        <v>3.0544242873009995</v>
      </c>
      <c r="O215">
        <f t="shared" si="50"/>
        <v>4.4119461927681103</v>
      </c>
      <c r="P215">
        <f t="shared" si="51"/>
        <v>3.7331852400345547</v>
      </c>
      <c r="Q215">
        <f t="shared" si="52"/>
        <v>0.97608346552095959</v>
      </c>
      <c r="R215">
        <f t="shared" si="53"/>
        <v>2.4207178273693286E-2</v>
      </c>
      <c r="S215">
        <f>IF(M215="","",IF(L215="C",SUMIFS(Marginal_Model!$J:$J,Marginal_Model!$A:$A,B215,Marginal_Model!$C:$C,K215),IF(L215="T",SUMIFS(Marginal_Model!$K:$K,Marginal_Model!$A:$A,B215,Marginal_Model!$C:$C,K215),IF(L215="PT",SUMIFS(Marginal_Model!$L:$L,Marginal_Model!$A:$A,B215,Marginal_Model!$C:$C,K215),SUMIFS(Marginal_Model!$M:$M,Marginal_Model!$A:$A,B215,Marginal_Model!$C:$C,K215)))))</f>
        <v>3.0852770578797973E-3</v>
      </c>
      <c r="T215">
        <f t="shared" si="54"/>
        <v>5.7811138175925247</v>
      </c>
      <c r="U215">
        <f>IF(M215="","",Inputs!$B$7*R215+Inputs!$B$8*T215)</f>
        <v>1.1755885061374594</v>
      </c>
      <c r="V215">
        <f t="shared" si="55"/>
        <v>0.30863729129072182</v>
      </c>
      <c r="W215">
        <f>Inputs!$B$9</f>
        <v>15</v>
      </c>
      <c r="X215">
        <f t="shared" si="56"/>
        <v>8.4228063680118481</v>
      </c>
      <c r="Y215">
        <f t="shared" si="57"/>
        <v>0.99978020304465232</v>
      </c>
      <c r="Z215">
        <f t="shared" si="58"/>
        <v>2.1982111423857285E-4</v>
      </c>
      <c r="AA215">
        <f>IF(M215="","",Inputs!$B$7*Z215+Inputs!$B$8*T215)</f>
        <v>1.1563986204098955</v>
      </c>
      <c r="AB215">
        <f t="shared" si="59"/>
        <v>0.31461719900657387</v>
      </c>
    </row>
    <row r="216" spans="1:28">
      <c r="A216" t="s">
        <v>204</v>
      </c>
      <c r="B216">
        <v>2</v>
      </c>
      <c r="C216">
        <v>6</v>
      </c>
      <c r="D216">
        <v>0.2</v>
      </c>
      <c r="E216">
        <f>IF(B216=1,Inputs!$B$5,Inputs!$B$6)</f>
        <v>5</v>
      </c>
      <c r="F216">
        <f>E216*Inputs!$B$4</f>
        <v>75</v>
      </c>
      <c r="G216">
        <f t="shared" si="45"/>
        <v>12.5</v>
      </c>
      <c r="H216">
        <f t="shared" si="46"/>
        <v>12</v>
      </c>
      <c r="I216">
        <f t="shared" si="47"/>
        <v>13</v>
      </c>
      <c r="J216">
        <f t="shared" si="48"/>
        <v>0.5</v>
      </c>
      <c r="K216">
        <v>4</v>
      </c>
      <c r="L216" t="s">
        <v>199</v>
      </c>
      <c r="M216">
        <f>IF(L216="C",E216*COMBIN(Inputs!$B$4,K216),IF(L216="T",(Inputs!$B$4-K216+1)*E216^K216,IF(L216="PT",E216*(Inputs!$B$4-K216+1),IF(AND(L216="E",K216&lt;=E216),Inputs!$B$4*COMBIN(E216,K216),""))))</f>
        <v>60</v>
      </c>
      <c r="N216">
        <f t="shared" si="49"/>
        <v>2.4435394298407995E-2</v>
      </c>
      <c r="O216">
        <f t="shared" si="50"/>
        <v>3.5295569542144883E-2</v>
      </c>
      <c r="P216">
        <f t="shared" si="51"/>
        <v>2.9865481920276438E-2</v>
      </c>
      <c r="Q216">
        <f t="shared" si="52"/>
        <v>2.9423915201287731E-2</v>
      </c>
      <c r="R216">
        <f t="shared" si="53"/>
        <v>3.5259474930816475</v>
      </c>
      <c r="S216">
        <f>IF(M216="","",IF(L216="C",SUMIFS(Marginal_Model!$J:$J,Marginal_Model!$A:$A,B216,Marginal_Model!$C:$C,K216),IF(L216="T",SUMIFS(Marginal_Model!$K:$K,Marginal_Model!$A:$A,B216,Marginal_Model!$C:$C,K216),IF(L216="PT",SUMIFS(Marginal_Model!$L:$L,Marginal_Model!$A:$A,B216,Marginal_Model!$C:$C,K216),SUMIFS(Marginal_Model!$M:$M,Marginal_Model!$A:$A,B216,Marginal_Model!$C:$C,K216)))))</f>
        <v>2.468221646303838E-5</v>
      </c>
      <c r="T216">
        <f t="shared" si="54"/>
        <v>10.609427554894825</v>
      </c>
      <c r="U216">
        <f>IF(M216="","",Inputs!$B$7*R216+Inputs!$B$8*T216)</f>
        <v>4.9426435054442823</v>
      </c>
      <c r="V216">
        <f t="shared" si="55"/>
        <v>7.1357101291519738E-3</v>
      </c>
      <c r="W216">
        <f>Inputs!$B$9</f>
        <v>15</v>
      </c>
      <c r="X216">
        <f t="shared" si="56"/>
        <v>6.7382450944094785E-2</v>
      </c>
      <c r="Y216">
        <f t="shared" si="57"/>
        <v>6.5162396564701353E-2</v>
      </c>
      <c r="Z216">
        <f t="shared" si="58"/>
        <v>2.7308727162330997</v>
      </c>
      <c r="AA216">
        <f>IF(M216="","",Inputs!$B$7*Z216+Inputs!$B$8*T216)</f>
        <v>4.3065836839654441</v>
      </c>
      <c r="AB216">
        <f t="shared" si="59"/>
        <v>1.3479521327397525E-2</v>
      </c>
    </row>
    <row r="217" spans="1:28">
      <c r="A217" t="s">
        <v>204</v>
      </c>
      <c r="B217">
        <v>2</v>
      </c>
      <c r="C217">
        <v>6</v>
      </c>
      <c r="D217">
        <v>0.2</v>
      </c>
      <c r="E217">
        <f>IF(B217=1,Inputs!$B$5,Inputs!$B$6)</f>
        <v>5</v>
      </c>
      <c r="F217">
        <f>E217*Inputs!$B$4</f>
        <v>75</v>
      </c>
      <c r="G217">
        <f t="shared" si="45"/>
        <v>12.5</v>
      </c>
      <c r="H217">
        <f t="shared" si="46"/>
        <v>12</v>
      </c>
      <c r="I217">
        <f t="shared" si="47"/>
        <v>13</v>
      </c>
      <c r="J217">
        <f t="shared" si="48"/>
        <v>0.5</v>
      </c>
      <c r="K217">
        <v>4</v>
      </c>
      <c r="L217" t="s">
        <v>200</v>
      </c>
      <c r="M217">
        <f>IF(L217="C",E217*COMBIN(Inputs!$B$4,K217),IF(L217="T",(Inputs!$B$4-K217+1)*E217^K217,IF(L217="PT",E217*(Inputs!$B$4-K217+1),IF(AND(L217="E",K217&lt;=E217),Inputs!$B$4*COMBIN(E217,K217),""))))</f>
        <v>75</v>
      </c>
      <c r="N217">
        <f t="shared" si="49"/>
        <v>3.0544242873009993E-2</v>
      </c>
      <c r="O217">
        <f t="shared" si="50"/>
        <v>4.4119461927681104E-2</v>
      </c>
      <c r="P217">
        <f t="shared" si="51"/>
        <v>3.7331852400345547E-2</v>
      </c>
      <c r="Q217">
        <f t="shared" si="52"/>
        <v>3.6643609832580526E-2</v>
      </c>
      <c r="R217">
        <f t="shared" si="53"/>
        <v>3.3065162223975801</v>
      </c>
      <c r="S217">
        <f>IF(M217="","",IF(L217="C",SUMIFS(Marginal_Model!$J:$J,Marginal_Model!$A:$A,B217,Marginal_Model!$C:$C,K217),IF(L217="T",SUMIFS(Marginal_Model!$K:$K,Marginal_Model!$A:$A,B217,Marginal_Model!$C:$C,K217),IF(L217="PT",SUMIFS(Marginal_Model!$L:$L,Marginal_Model!$A:$A,B217,Marginal_Model!$C:$C,K217),SUMIFS(Marginal_Model!$M:$M,Marginal_Model!$A:$A,B217,Marginal_Model!$C:$C,K217)))))</f>
        <v>6.1705541157595955E-5</v>
      </c>
      <c r="T217">
        <f t="shared" si="54"/>
        <v>9.6931368230206711</v>
      </c>
      <c r="U217">
        <f>IF(M217="","",Inputs!$B$7*R217+Inputs!$B$8*T217)</f>
        <v>4.5838403425221976</v>
      </c>
      <c r="V217">
        <f t="shared" si="55"/>
        <v>1.021558950617397E-2</v>
      </c>
      <c r="W217">
        <f>Inputs!$B$9</f>
        <v>15</v>
      </c>
      <c r="X217">
        <f t="shared" si="56"/>
        <v>8.4228063680118467E-2</v>
      </c>
      <c r="Y217">
        <f t="shared" si="57"/>
        <v>8.077840887136567E-2</v>
      </c>
      <c r="Z217">
        <f t="shared" si="58"/>
        <v>2.5160455661024388</v>
      </c>
      <c r="AA217">
        <f>IF(M217="","",Inputs!$B$7*Z217+Inputs!$B$8*T217)</f>
        <v>3.951463817486085</v>
      </c>
      <c r="AB217">
        <f t="shared" si="59"/>
        <v>1.9226537025294796E-2</v>
      </c>
    </row>
    <row r="218" spans="1:28">
      <c r="A218" t="s">
        <v>204</v>
      </c>
      <c r="B218">
        <v>2</v>
      </c>
      <c r="C218">
        <v>6</v>
      </c>
      <c r="D218">
        <v>0.2</v>
      </c>
      <c r="E218">
        <f>IF(B218=1,Inputs!$B$5,Inputs!$B$6)</f>
        <v>5</v>
      </c>
      <c r="F218">
        <f>E218*Inputs!$B$4</f>
        <v>75</v>
      </c>
      <c r="G218">
        <f t="shared" si="45"/>
        <v>12.5</v>
      </c>
      <c r="H218">
        <f t="shared" si="46"/>
        <v>12</v>
      </c>
      <c r="I218">
        <f t="shared" si="47"/>
        <v>13</v>
      </c>
      <c r="J218">
        <f t="shared" si="48"/>
        <v>0.5</v>
      </c>
      <c r="K218">
        <v>5</v>
      </c>
      <c r="L218" t="s">
        <v>197</v>
      </c>
      <c r="M218">
        <f>IF(L218="C",E218*COMBIN(Inputs!$B$4,K218),IF(L218="T",(Inputs!$B$4-K218+1)*E218^K218,IF(L218="PT",E218*(Inputs!$B$4-K218+1),IF(AND(L218="E",K218&lt;=E218),Inputs!$B$4*COMBIN(E218,K218),""))))</f>
        <v>15015</v>
      </c>
      <c r="N218">
        <f t="shared" si="49"/>
        <v>0.68900928711849019</v>
      </c>
      <c r="O218">
        <f t="shared" si="50"/>
        <v>1.1196400915675466</v>
      </c>
      <c r="P218">
        <f t="shared" si="51"/>
        <v>0.90432468934301835</v>
      </c>
      <c r="Q218">
        <f t="shared" si="52"/>
        <v>0.59518483118546017</v>
      </c>
      <c r="R218">
        <f t="shared" si="53"/>
        <v>0.51888328102749137</v>
      </c>
      <c r="S218">
        <f>IF(M218="","",IF(L218="C",SUMIFS(Marginal_Model!$J:$J,Marginal_Model!$A:$A,B218,Marginal_Model!$C:$C,K218),IF(L218="T",SUMIFS(Marginal_Model!$K:$K,Marginal_Model!$A:$A,B218,Marginal_Model!$C:$C,K218),IF(L218="PT",SUMIFS(Marginal_Model!$L:$L,Marginal_Model!$A:$A,B218,Marginal_Model!$C:$C,K218),SUMIFS(Marginal_Model!$M:$M,Marginal_Model!$A:$A,B218,Marginal_Model!$C:$C,K218)))))</f>
        <v>8.6996122110920499E-4</v>
      </c>
      <c r="T218">
        <f t="shared" si="54"/>
        <v>7.0470619207467653</v>
      </c>
      <c r="U218">
        <f>IF(M218="","",Inputs!$B$7*R218+Inputs!$B$8*T218)</f>
        <v>1.8245190089713459</v>
      </c>
      <c r="V218">
        <f t="shared" si="55"/>
        <v>0.1612952070222963</v>
      </c>
      <c r="W218">
        <f>Inputs!$B$9</f>
        <v>15</v>
      </c>
      <c r="X218">
        <f t="shared" si="56"/>
        <v>2.6124935469909421</v>
      </c>
      <c r="Y218">
        <f t="shared" si="57"/>
        <v>0.92664858965648977</v>
      </c>
      <c r="Z218">
        <f t="shared" si="58"/>
        <v>7.6180868720778103E-2</v>
      </c>
      <c r="AA218">
        <f>IF(M218="","",Inputs!$B$7*Z218+Inputs!$B$8*T218)</f>
        <v>1.4703570791259752</v>
      </c>
      <c r="AB218">
        <f t="shared" si="59"/>
        <v>0.22984339825207159</v>
      </c>
    </row>
    <row r="219" spans="1:28">
      <c r="A219" t="s">
        <v>204</v>
      </c>
      <c r="B219">
        <v>2</v>
      </c>
      <c r="C219">
        <v>6</v>
      </c>
      <c r="D219">
        <v>0.2</v>
      </c>
      <c r="E219">
        <f>IF(B219=1,Inputs!$B$5,Inputs!$B$6)</f>
        <v>5</v>
      </c>
      <c r="F219">
        <f>E219*Inputs!$B$4</f>
        <v>75</v>
      </c>
      <c r="G219">
        <f t="shared" si="45"/>
        <v>12.5</v>
      </c>
      <c r="H219">
        <f t="shared" si="46"/>
        <v>12</v>
      </c>
      <c r="I219">
        <f t="shared" si="47"/>
        <v>13</v>
      </c>
      <c r="J219">
        <f t="shared" si="48"/>
        <v>0.5</v>
      </c>
      <c r="K219">
        <v>5</v>
      </c>
      <c r="L219" t="s">
        <v>198</v>
      </c>
      <c r="M219">
        <f>IF(L219="C",E219*COMBIN(Inputs!$B$4,K219),IF(L219="T",(Inputs!$B$4-K219+1)*E219^K219,IF(L219="PT",E219*(Inputs!$B$4-K219+1),IF(AND(L219="E",K219&lt;=E219),Inputs!$B$4*COMBIN(E219,K219),""))))</f>
        <v>34375</v>
      </c>
      <c r="N219">
        <f t="shared" si="49"/>
        <v>1.5774022140991075</v>
      </c>
      <c r="O219">
        <f t="shared" si="50"/>
        <v>2.5632785979110499</v>
      </c>
      <c r="P219">
        <f t="shared" si="51"/>
        <v>2.0703404060050787</v>
      </c>
      <c r="Q219">
        <f t="shared" si="52"/>
        <v>0.87385716538267122</v>
      </c>
      <c r="R219">
        <f t="shared" si="53"/>
        <v>0.13483834301775674</v>
      </c>
      <c r="S219">
        <f>IF(M219="","",IF(L219="C",SUMIFS(Marginal_Model!$J:$J,Marginal_Model!$A:$A,B219,Marginal_Model!$C:$C,K219),IF(L219="T",SUMIFS(Marginal_Model!$K:$K,Marginal_Model!$A:$A,B219,Marginal_Model!$C:$C,K219),IF(L219="PT",SUMIFS(Marginal_Model!$L:$L,Marginal_Model!$A:$A,B219,Marginal_Model!$C:$C,K219),SUMIFS(Marginal_Model!$M:$M,Marginal_Model!$A:$A,B219,Marginal_Model!$C:$C,K219)))))</f>
        <v>3.9833389244926961E-4</v>
      </c>
      <c r="T219">
        <f t="shared" si="54"/>
        <v>7.8282199786294244</v>
      </c>
      <c r="U219">
        <f>IF(M219="","",Inputs!$B$7*R219+Inputs!$B$8*T219)</f>
        <v>1.67351467014009</v>
      </c>
      <c r="V219">
        <f t="shared" si="55"/>
        <v>0.18758660063638627</v>
      </c>
      <c r="W219">
        <f>Inputs!$B$9</f>
        <v>15</v>
      </c>
      <c r="X219">
        <f t="shared" si="56"/>
        <v>5.9809833951257829</v>
      </c>
      <c r="Y219">
        <f t="shared" si="57"/>
        <v>0.9974736593208503</v>
      </c>
      <c r="Z219">
        <f t="shared" si="58"/>
        <v>2.5295372626708825E-3</v>
      </c>
      <c r="AA219">
        <f>IF(M219="","",Inputs!$B$7*Z219+Inputs!$B$8*T219)</f>
        <v>1.5676676255360211</v>
      </c>
      <c r="AB219">
        <f t="shared" si="59"/>
        <v>0.2085309879477503</v>
      </c>
    </row>
    <row r="220" spans="1:28">
      <c r="A220" t="s">
        <v>204</v>
      </c>
      <c r="B220">
        <v>2</v>
      </c>
      <c r="C220">
        <v>6</v>
      </c>
      <c r="D220">
        <v>0.2</v>
      </c>
      <c r="E220">
        <f>IF(B220=1,Inputs!$B$5,Inputs!$B$6)</f>
        <v>5</v>
      </c>
      <c r="F220">
        <f>E220*Inputs!$B$4</f>
        <v>75</v>
      </c>
      <c r="G220">
        <f t="shared" si="45"/>
        <v>12.5</v>
      </c>
      <c r="H220">
        <f t="shared" si="46"/>
        <v>12</v>
      </c>
      <c r="I220">
        <f t="shared" si="47"/>
        <v>13</v>
      </c>
      <c r="J220">
        <f t="shared" si="48"/>
        <v>0.5</v>
      </c>
      <c r="K220">
        <v>5</v>
      </c>
      <c r="L220" t="s">
        <v>199</v>
      </c>
      <c r="M220">
        <f>IF(L220="C",E220*COMBIN(Inputs!$B$4,K220),IF(L220="T",(Inputs!$B$4-K220+1)*E220^K220,IF(L220="PT",E220*(Inputs!$B$4-K220+1),IF(AND(L220="E",K220&lt;=E220),Inputs!$B$4*COMBIN(E220,K220),""))))</f>
        <v>55</v>
      </c>
      <c r="N220">
        <f t="shared" si="49"/>
        <v>2.5238435425585723E-3</v>
      </c>
      <c r="O220">
        <f t="shared" si="50"/>
        <v>4.10124575665768E-3</v>
      </c>
      <c r="P220">
        <f t="shared" si="51"/>
        <v>3.3125446496081261E-3</v>
      </c>
      <c r="Q220">
        <f t="shared" si="52"/>
        <v>3.3070642266322947E-3</v>
      </c>
      <c r="R220">
        <f t="shared" si="53"/>
        <v>5.711694423752177</v>
      </c>
      <c r="S220">
        <f>IF(M220="","",IF(L220="C",SUMIFS(Marginal_Model!$J:$J,Marginal_Model!$A:$A,B220,Marginal_Model!$C:$C,K220),IF(L220="T",SUMIFS(Marginal_Model!$K:$K,Marginal_Model!$A:$A,B220,Marginal_Model!$C:$C,K220),IF(L220="PT",SUMIFS(Marginal_Model!$L:$L,Marginal_Model!$A:$A,B220,Marginal_Model!$C:$C,K220),SUMIFS(Marginal_Model!$M:$M,Marginal_Model!$A:$A,B220,Marginal_Model!$C:$C,K220)))))</f>
        <v>6.3733422791883147E-7</v>
      </c>
      <c r="T220">
        <f t="shared" si="54"/>
        <v>14.265971628365826</v>
      </c>
      <c r="U220">
        <f>IF(M220="","",Inputs!$B$7*R220+Inputs!$B$8*T220)</f>
        <v>7.422549864674906</v>
      </c>
      <c r="V220">
        <f t="shared" si="55"/>
        <v>5.9762334239559433E-4</v>
      </c>
      <c r="W220">
        <f>Inputs!$B$9</f>
        <v>15</v>
      </c>
      <c r="X220">
        <f t="shared" si="56"/>
        <v>9.5695734322012536E-3</v>
      </c>
      <c r="Y220">
        <f t="shared" si="57"/>
        <v>9.5239307739855006E-3</v>
      </c>
      <c r="Z220">
        <f t="shared" si="58"/>
        <v>4.6539476189700881</v>
      </c>
      <c r="AA220">
        <f>IF(M220="","",Inputs!$B$7*Z220+Inputs!$B$8*T220)</f>
        <v>6.5763524208492354</v>
      </c>
      <c r="AB220">
        <f t="shared" si="59"/>
        <v>1.392920828775915E-3</v>
      </c>
    </row>
    <row r="221" spans="1:28">
      <c r="A221" t="s">
        <v>204</v>
      </c>
      <c r="B221">
        <v>2</v>
      </c>
      <c r="C221">
        <v>6</v>
      </c>
      <c r="D221">
        <v>0.2</v>
      </c>
      <c r="E221">
        <f>IF(B221=1,Inputs!$B$5,Inputs!$B$6)</f>
        <v>5</v>
      </c>
      <c r="F221">
        <f>E221*Inputs!$B$4</f>
        <v>75</v>
      </c>
      <c r="G221">
        <f t="shared" si="45"/>
        <v>12.5</v>
      </c>
      <c r="H221">
        <f t="shared" si="46"/>
        <v>12</v>
      </c>
      <c r="I221">
        <f t="shared" si="47"/>
        <v>13</v>
      </c>
      <c r="J221">
        <f t="shared" si="48"/>
        <v>0.5</v>
      </c>
      <c r="K221">
        <v>5</v>
      </c>
      <c r="L221" t="s">
        <v>200</v>
      </c>
      <c r="M221">
        <f>IF(L221="C",E221*COMBIN(Inputs!$B$4,K221),IF(L221="T",(Inputs!$B$4-K221+1)*E221^K221,IF(L221="PT",E221*(Inputs!$B$4-K221+1),IF(AND(L221="E",K221&lt;=E221),Inputs!$B$4*COMBIN(E221,K221),""))))</f>
        <v>15</v>
      </c>
      <c r="N221">
        <f t="shared" si="49"/>
        <v>6.883209661523379E-4</v>
      </c>
      <c r="O221">
        <f t="shared" si="50"/>
        <v>1.1185215699975491E-3</v>
      </c>
      <c r="P221">
        <f t="shared" si="51"/>
        <v>9.0342126807494349E-4</v>
      </c>
      <c r="Q221">
        <f t="shared" si="52"/>
        <v>9.0301330594422247E-4</v>
      </c>
      <c r="R221">
        <f t="shared" si="53"/>
        <v>7.0097732693909318</v>
      </c>
      <c r="S221">
        <f>IF(M221="","",IF(L221="C",SUMIFS(Marginal_Model!$J:$J,Marginal_Model!$A:$A,B221,Marginal_Model!$C:$C,K221),IF(L221="T",SUMIFS(Marginal_Model!$K:$K,Marginal_Model!$A:$A,B221,Marginal_Model!$C:$C,K221),IF(L221="PT",SUMIFS(Marginal_Model!$L:$L,Marginal_Model!$A:$A,B221,Marginal_Model!$C:$C,K221),SUMIFS(Marginal_Model!$M:$M,Marginal_Model!$A:$A,B221,Marginal_Model!$C:$C,K221)))))</f>
        <v>8.6909212898022475E-7</v>
      </c>
      <c r="T221">
        <f t="shared" si="54"/>
        <v>13.955816700061986</v>
      </c>
      <c r="U221">
        <f>IF(M221="","",Inputs!$B$7*R221+Inputs!$B$8*T221)</f>
        <v>8.3989819555251426</v>
      </c>
      <c r="V221">
        <f t="shared" si="55"/>
        <v>2.2509636568324173E-4</v>
      </c>
      <c r="W221">
        <f>Inputs!$B$9</f>
        <v>15</v>
      </c>
      <c r="X221">
        <f t="shared" si="56"/>
        <v>2.6098836633276145E-3</v>
      </c>
      <c r="Y221">
        <f t="shared" si="57"/>
        <v>2.6064808778946125E-3</v>
      </c>
      <c r="Z221">
        <f t="shared" si="58"/>
        <v>5.9497542900981548</v>
      </c>
      <c r="AA221">
        <f>IF(M221="","",Inputs!$B$7*Z221+Inputs!$B$8*T221)</f>
        <v>7.5509667720909199</v>
      </c>
      <c r="AB221">
        <f t="shared" si="59"/>
        <v>5.2560174431316676E-4</v>
      </c>
    </row>
    <row r="222" spans="1:28">
      <c r="A222" t="s">
        <v>204</v>
      </c>
      <c r="B222">
        <v>2</v>
      </c>
      <c r="C222">
        <v>6</v>
      </c>
      <c r="D222">
        <v>0.2</v>
      </c>
      <c r="E222">
        <f>IF(B222=1,Inputs!$B$5,Inputs!$B$6)</f>
        <v>5</v>
      </c>
      <c r="F222">
        <f>E222*Inputs!$B$4</f>
        <v>75</v>
      </c>
      <c r="G222">
        <f t="shared" si="45"/>
        <v>12.5</v>
      </c>
      <c r="H222">
        <f t="shared" si="46"/>
        <v>12</v>
      </c>
      <c r="I222">
        <f t="shared" si="47"/>
        <v>13</v>
      </c>
      <c r="J222">
        <f t="shared" si="48"/>
        <v>0.5</v>
      </c>
      <c r="K222">
        <v>6</v>
      </c>
      <c r="L222" t="s">
        <v>197</v>
      </c>
      <c r="M222">
        <f>IF(L222="C",E222*COMBIN(Inputs!$B$4,K222),IF(L222="T",(Inputs!$B$4-K222+1)*E222^K222,IF(L222="PT",E222*(Inputs!$B$4-K222+1),IF(AND(L222="E",K222&lt;=E222),Inputs!$B$4*COMBIN(E222,K222),""))))</f>
        <v>25025</v>
      </c>
      <c r="N222">
        <f t="shared" si="49"/>
        <v>0.11483488118641501</v>
      </c>
      <c r="O222">
        <f t="shared" si="50"/>
        <v>0.21326477934619933</v>
      </c>
      <c r="P222">
        <f t="shared" si="51"/>
        <v>0.16404983026630718</v>
      </c>
      <c r="Q222">
        <f t="shared" si="52"/>
        <v>0.15130027010705038</v>
      </c>
      <c r="R222">
        <f t="shared" si="53"/>
        <v>1.8884888729478448</v>
      </c>
      <c r="S222">
        <f>IF(M222="","",IF(L222="C",SUMIFS(Marginal_Model!$J:$J,Marginal_Model!$A:$A,B222,Marginal_Model!$C:$C,K222),IF(L222="T",SUMIFS(Marginal_Model!$K:$K,Marginal_Model!$A:$A,B222,Marginal_Model!$C:$C,K222),IF(L222="PT",SUMIFS(Marginal_Model!$L:$L,Marginal_Model!$A:$A,B222,Marginal_Model!$C:$C,K222),SUMIFS(Marginal_Model!$M:$M,Marginal_Model!$A:$A,B222,Marginal_Model!$C:$C,K222)))))</f>
        <v>1.2428017444417213E-4</v>
      </c>
      <c r="T222">
        <f t="shared" si="54"/>
        <v>8.9929720698020787</v>
      </c>
      <c r="U222">
        <f>IF(M222="","",Inputs!$B$7*R222+Inputs!$B$8*T222)</f>
        <v>3.3093855123186913</v>
      </c>
      <c r="V222">
        <f t="shared" si="55"/>
        <v>3.6538619388257282E-2</v>
      </c>
      <c r="W222">
        <f>Inputs!$B$9</f>
        <v>15</v>
      </c>
      <c r="X222">
        <f t="shared" si="56"/>
        <v>0.62202227309308145</v>
      </c>
      <c r="Y222">
        <f t="shared" si="57"/>
        <v>0.46314233372247893</v>
      </c>
      <c r="Z222">
        <f t="shared" si="58"/>
        <v>0.76972085589134098</v>
      </c>
      <c r="AA222">
        <f>IF(M222="","",Inputs!$B$7*Z222+Inputs!$B$8*T222)</f>
        <v>2.4143710986734881</v>
      </c>
      <c r="AB222">
        <f t="shared" si="59"/>
        <v>8.9423559836598859E-2</v>
      </c>
    </row>
    <row r="223" spans="1:28">
      <c r="A223" t="s">
        <v>204</v>
      </c>
      <c r="B223">
        <v>2</v>
      </c>
      <c r="C223">
        <v>6</v>
      </c>
      <c r="D223">
        <v>0.2</v>
      </c>
      <c r="E223">
        <f>IF(B223=1,Inputs!$B$5,Inputs!$B$6)</f>
        <v>5</v>
      </c>
      <c r="F223">
        <f>E223*Inputs!$B$4</f>
        <v>75</v>
      </c>
      <c r="G223">
        <f t="shared" si="45"/>
        <v>12.5</v>
      </c>
      <c r="H223">
        <f t="shared" si="46"/>
        <v>12</v>
      </c>
      <c r="I223">
        <f t="shared" si="47"/>
        <v>13</v>
      </c>
      <c r="J223">
        <f t="shared" si="48"/>
        <v>0.5</v>
      </c>
      <c r="K223">
        <v>6</v>
      </c>
      <c r="L223" t="s">
        <v>198</v>
      </c>
      <c r="M223">
        <f>IF(L223="C",E223*COMBIN(Inputs!$B$4,K223),IF(L223="T",(Inputs!$B$4-K223+1)*E223^K223,IF(L223="PT",E223*(Inputs!$B$4-K223+1),IF(AND(L223="E",K223&lt;=E223),Inputs!$B$4*COMBIN(E223,K223),""))))</f>
        <v>156250</v>
      </c>
      <c r="N223">
        <f t="shared" si="49"/>
        <v>0.71700100640868514</v>
      </c>
      <c r="O223">
        <f t="shared" si="50"/>
        <v>1.3315732976161299</v>
      </c>
      <c r="P223">
        <f t="shared" si="51"/>
        <v>1.0242871520124075</v>
      </c>
      <c r="Q223">
        <f t="shared" si="52"/>
        <v>0.64094767607244696</v>
      </c>
      <c r="R223">
        <f t="shared" si="53"/>
        <v>0.44480745398538829</v>
      </c>
      <c r="S223">
        <f>IF(M223="","",IF(L223="C",SUMIFS(Marginal_Model!$J:$J,Marginal_Model!$A:$A,B223,Marginal_Model!$C:$C,K223),IF(L223="T",SUMIFS(Marginal_Model!$K:$K,Marginal_Model!$A:$A,B223,Marginal_Model!$C:$C,K223),IF(L223="PT",SUMIFS(Marginal_Model!$L:$L,Marginal_Model!$A:$A,B223,Marginal_Model!$C:$C,K223),SUMIFS(Marginal_Model!$M:$M,Marginal_Model!$A:$A,B223,Marginal_Model!$C:$C,K223)))))</f>
        <v>5.1731674344060982E-5</v>
      </c>
      <c r="T223">
        <f t="shared" si="54"/>
        <v>9.8694403074890626</v>
      </c>
      <c r="U223">
        <f>IF(M223="","",Inputs!$B$7*R223+Inputs!$B$8*T223)</f>
        <v>2.3297340246861227</v>
      </c>
      <c r="V223">
        <f t="shared" si="55"/>
        <v>9.7321628798199056E-2</v>
      </c>
      <c r="W223">
        <f>Inputs!$B$9</f>
        <v>15</v>
      </c>
      <c r="X223">
        <f t="shared" si="56"/>
        <v>3.8837554513803787</v>
      </c>
      <c r="Y223">
        <f t="shared" si="57"/>
        <v>0.97942658254676562</v>
      </c>
      <c r="Z223">
        <f t="shared" si="58"/>
        <v>2.0787998417182398E-2</v>
      </c>
      <c r="AA223">
        <f>IF(M223="","",Inputs!$B$7*Z223+Inputs!$B$8*T223)</f>
        <v>1.990518460231558</v>
      </c>
      <c r="AB223">
        <f t="shared" si="59"/>
        <v>0.13662457267235414</v>
      </c>
    </row>
    <row r="224" spans="1:28">
      <c r="A224" t="s">
        <v>204</v>
      </c>
      <c r="B224">
        <v>2</v>
      </c>
      <c r="C224">
        <v>6</v>
      </c>
      <c r="D224">
        <v>0.2</v>
      </c>
      <c r="E224">
        <f>IF(B224=1,Inputs!$B$5,Inputs!$B$6)</f>
        <v>5</v>
      </c>
      <c r="F224">
        <f>E224*Inputs!$B$4</f>
        <v>75</v>
      </c>
      <c r="G224">
        <f t="shared" si="45"/>
        <v>12.5</v>
      </c>
      <c r="H224">
        <f t="shared" si="46"/>
        <v>12</v>
      </c>
      <c r="I224">
        <f t="shared" si="47"/>
        <v>13</v>
      </c>
      <c r="J224">
        <f t="shared" si="48"/>
        <v>0.5</v>
      </c>
      <c r="K224">
        <v>6</v>
      </c>
      <c r="L224" t="s">
        <v>199</v>
      </c>
      <c r="M224">
        <f>IF(L224="C",E224*COMBIN(Inputs!$B$4,K224),IF(L224="T",(Inputs!$B$4-K224+1)*E224^K224,IF(L224="PT",E224*(Inputs!$B$4-K224+1),IF(AND(L224="E",K224&lt;=E224),Inputs!$B$4*COMBIN(E224,K224),""))))</f>
        <v>50</v>
      </c>
      <c r="N224">
        <f t="shared" si="49"/>
        <v>2.2944032205077925E-4</v>
      </c>
      <c r="O224">
        <f t="shared" si="50"/>
        <v>4.2610345523716149E-4</v>
      </c>
      <c r="P224">
        <f t="shared" si="51"/>
        <v>3.277718886439704E-4</v>
      </c>
      <c r="Q224">
        <f t="shared" si="52"/>
        <v>3.2771817730703479E-4</v>
      </c>
      <c r="R224">
        <f t="shared" si="53"/>
        <v>8.0233565344446998</v>
      </c>
      <c r="S224">
        <f>IF(M224="","",IF(L224="C",SUMIFS(Marginal_Model!$J:$J,Marginal_Model!$A:$A,B224,Marginal_Model!$C:$C,K224),IF(L224="T",SUMIFS(Marginal_Model!$K:$K,Marginal_Model!$A:$A,B224,Marginal_Model!$C:$C,K224),IF(L224="PT",SUMIFS(Marginal_Model!$L:$L,Marginal_Model!$A:$A,B224,Marginal_Model!$C:$C,K224),SUMIFS(Marginal_Model!$M:$M,Marginal_Model!$A:$A,B224,Marginal_Model!$C:$C,K224)))))</f>
        <v>1.6554135790099519E-8</v>
      </c>
      <c r="T224">
        <f t="shared" si="54"/>
        <v>17.916629869659563</v>
      </c>
      <c r="U224">
        <f>IF(M224="","",Inputs!$B$7*R224+Inputs!$B$8*T224)</f>
        <v>10.002011201487672</v>
      </c>
      <c r="V224">
        <f t="shared" si="55"/>
        <v>4.5308713114482491E-5</v>
      </c>
      <c r="W224">
        <f>Inputs!$B$9</f>
        <v>15</v>
      </c>
      <c r="X224">
        <f t="shared" si="56"/>
        <v>1.2428017444417211E-3</v>
      </c>
      <c r="Y224">
        <f t="shared" si="57"/>
        <v>1.2420297861838181E-3</v>
      </c>
      <c r="Z224">
        <f t="shared" si="58"/>
        <v>6.6910083133237874</v>
      </c>
      <c r="AA224">
        <f>IF(M224="","",Inputs!$B$7*Z224+Inputs!$B$8*T224)</f>
        <v>8.9361326245909414</v>
      </c>
      <c r="AB224">
        <f t="shared" si="59"/>
        <v>1.3154880630585479E-4</v>
      </c>
    </row>
    <row r="225" spans="1:28">
      <c r="A225" t="s">
        <v>204</v>
      </c>
      <c r="B225">
        <v>2</v>
      </c>
      <c r="C225">
        <v>6</v>
      </c>
      <c r="D225">
        <v>0.2</v>
      </c>
      <c r="E225">
        <f>IF(B225=1,Inputs!$B$5,Inputs!$B$6)</f>
        <v>5</v>
      </c>
      <c r="F225">
        <f>E225*Inputs!$B$4</f>
        <v>75</v>
      </c>
      <c r="G225">
        <f t="shared" si="45"/>
        <v>12.5</v>
      </c>
      <c r="H225">
        <f t="shared" si="46"/>
        <v>12</v>
      </c>
      <c r="I225">
        <f t="shared" si="47"/>
        <v>13</v>
      </c>
      <c r="J225">
        <f t="shared" si="48"/>
        <v>0.5</v>
      </c>
      <c r="K225">
        <v>6</v>
      </c>
      <c r="L225" t="s">
        <v>200</v>
      </c>
      <c r="M225" t="str">
        <f>IF(L225="C",E225*COMBIN(Inputs!$B$4,K225),IF(L225="T",(Inputs!$B$4-K225+1)*E225^K225,IF(L225="PT",E225*(Inputs!$B$4-K225+1),IF(AND(L225="E",K225&lt;=E225),Inputs!$B$4*COMBIN(E225,K225),""))))</f>
        <v/>
      </c>
      <c r="N225" t="str">
        <f t="shared" si="49"/>
        <v/>
      </c>
      <c r="O225" t="str">
        <f t="shared" si="50"/>
        <v/>
      </c>
      <c r="P225" t="str">
        <f t="shared" si="51"/>
        <v/>
      </c>
      <c r="Q225" t="str">
        <f t="shared" si="52"/>
        <v/>
      </c>
      <c r="R225" t="str">
        <f t="shared" si="53"/>
        <v/>
      </c>
      <c r="S225" t="str">
        <f>IF(M225="","",IF(L225="C",SUMIFS(Marginal_Model!$J:$J,Marginal_Model!$A:$A,B225,Marginal_Model!$C:$C,K225),IF(L225="T",SUMIFS(Marginal_Model!$K:$K,Marginal_Model!$A:$A,B225,Marginal_Model!$C:$C,K225),IF(L225="PT",SUMIFS(Marginal_Model!$L:$L,Marginal_Model!$A:$A,B225,Marginal_Model!$C:$C,K225),SUMIFS(Marginal_Model!$M:$M,Marginal_Model!$A:$A,B225,Marginal_Model!$C:$C,K225)))))</f>
        <v/>
      </c>
      <c r="T225" t="str">
        <f t="shared" si="54"/>
        <v/>
      </c>
      <c r="U225" t="str">
        <f>IF(M225="","",Inputs!$B$7*R225+Inputs!$B$8*T225)</f>
        <v/>
      </c>
      <c r="V225" t="str">
        <f t="shared" si="55"/>
        <v/>
      </c>
      <c r="W225">
        <f>Inputs!$B$9</f>
        <v>15</v>
      </c>
      <c r="X225" t="str">
        <f t="shared" si="56"/>
        <v/>
      </c>
      <c r="Y225" t="str">
        <f t="shared" si="57"/>
        <v/>
      </c>
      <c r="Z225" t="str">
        <f t="shared" si="58"/>
        <v/>
      </c>
      <c r="AA225" t="str">
        <f>IF(M225="","",Inputs!$B$7*Z225+Inputs!$B$8*T225)</f>
        <v/>
      </c>
      <c r="AB225" t="str">
        <f t="shared" si="59"/>
        <v/>
      </c>
    </row>
    <row r="226" spans="1:28">
      <c r="A226" t="s">
        <v>204</v>
      </c>
      <c r="B226">
        <v>2</v>
      </c>
      <c r="C226">
        <v>6</v>
      </c>
      <c r="D226">
        <v>0.2</v>
      </c>
      <c r="E226">
        <f>IF(B226=1,Inputs!$B$5,Inputs!$B$6)</f>
        <v>5</v>
      </c>
      <c r="F226">
        <f>E226*Inputs!$B$4</f>
        <v>75</v>
      </c>
      <c r="G226">
        <f t="shared" si="45"/>
        <v>12.5</v>
      </c>
      <c r="H226">
        <f t="shared" si="46"/>
        <v>12</v>
      </c>
      <c r="I226">
        <f t="shared" si="47"/>
        <v>13</v>
      </c>
      <c r="J226">
        <f t="shared" si="48"/>
        <v>0.5</v>
      </c>
      <c r="K226">
        <v>7</v>
      </c>
      <c r="L226" t="s">
        <v>197</v>
      </c>
      <c r="M226">
        <f>IF(L226="C",E226*COMBIN(Inputs!$B$4,K226),IF(L226="T",(Inputs!$B$4-K226+1)*E226^K226,IF(L226="PT",E226*(Inputs!$B$4-K226+1),IF(AND(L226="E",K226&lt;=E226),Inputs!$B$4*COMBIN(E226,K226),""))))</f>
        <v>32174.999999999996</v>
      </c>
      <c r="N226">
        <f t="shared" si="49"/>
        <v>1.2838682368667515E-2</v>
      </c>
      <c r="O226">
        <f t="shared" si="50"/>
        <v>2.7817145132112961E-2</v>
      </c>
      <c r="P226">
        <f t="shared" si="51"/>
        <v>2.0327913750390239E-2</v>
      </c>
      <c r="Q226">
        <f t="shared" si="52"/>
        <v>2.0122694622975001E-2</v>
      </c>
      <c r="R226">
        <f t="shared" si="53"/>
        <v>3.9059070151348463</v>
      </c>
      <c r="S226">
        <f>IF(M226="","",IF(L226="C",SUMIFS(Marginal_Model!$J:$J,Marginal_Model!$A:$A,B226,Marginal_Model!$C:$C,K226),IF(L226="T",SUMIFS(Marginal_Model!$K:$K,Marginal_Model!$A:$A,B226,Marginal_Model!$C:$C,K226),IF(L226="PT",SUMIFS(Marginal_Model!$L:$L,Marginal_Model!$A:$A,B226,Marginal_Model!$C:$C,K226),SUMIFS(Marginal_Model!$M:$M,Marginal_Model!$A:$A,B226,Marginal_Model!$C:$C,K226)))))</f>
        <v>1.6210457536196364E-5</v>
      </c>
      <c r="T226">
        <f t="shared" si="54"/>
        <v>11.029853997063119</v>
      </c>
      <c r="U226">
        <f>IF(M226="","",Inputs!$B$7*R226+Inputs!$B$8*T226)</f>
        <v>5.3306964115205009</v>
      </c>
      <c r="V226">
        <f t="shared" si="55"/>
        <v>4.8406977204740395E-3</v>
      </c>
      <c r="W226">
        <f>Inputs!$B$9</f>
        <v>15</v>
      </c>
      <c r="X226">
        <f t="shared" si="56"/>
        <v>0.10431429424542359</v>
      </c>
      <c r="Y226">
        <f t="shared" si="57"/>
        <v>9.9057907996357053E-2</v>
      </c>
      <c r="Z226">
        <f t="shared" si="58"/>
        <v>2.3120506705958523</v>
      </c>
      <c r="AA226">
        <f>IF(M226="","",Inputs!$B$7*Z226+Inputs!$B$8*T226)</f>
        <v>4.0556113358893056</v>
      </c>
      <c r="AB226">
        <f t="shared" si="59"/>
        <v>1.7324885621019744E-2</v>
      </c>
    </row>
    <row r="227" spans="1:28">
      <c r="A227" t="s">
        <v>204</v>
      </c>
      <c r="B227">
        <v>2</v>
      </c>
      <c r="C227">
        <v>6</v>
      </c>
      <c r="D227">
        <v>0.2</v>
      </c>
      <c r="E227">
        <f>IF(B227=1,Inputs!$B$5,Inputs!$B$6)</f>
        <v>5</v>
      </c>
      <c r="F227">
        <f>E227*Inputs!$B$4</f>
        <v>75</v>
      </c>
      <c r="G227">
        <f t="shared" si="45"/>
        <v>12.5</v>
      </c>
      <c r="H227">
        <f t="shared" si="46"/>
        <v>12</v>
      </c>
      <c r="I227">
        <f t="shared" si="47"/>
        <v>13</v>
      </c>
      <c r="J227">
        <f t="shared" si="48"/>
        <v>0.5</v>
      </c>
      <c r="K227">
        <v>7</v>
      </c>
      <c r="L227" t="s">
        <v>198</v>
      </c>
      <c r="M227">
        <f>IF(L227="C",E227*COMBIN(Inputs!$B$4,K227),IF(L227="T",(Inputs!$B$4-K227+1)*E227^K227,IF(L227="PT",E227*(Inputs!$B$4-K227+1),IF(AND(L227="E",K227&lt;=E227),Inputs!$B$4*COMBIN(E227,K227),""))))</f>
        <v>703125</v>
      </c>
      <c r="N227">
        <f t="shared" si="49"/>
        <v>0.28056561120339851</v>
      </c>
      <c r="O227">
        <f t="shared" si="50"/>
        <v>0.6078921576073637</v>
      </c>
      <c r="P227">
        <f t="shared" si="51"/>
        <v>0.44422888440538111</v>
      </c>
      <c r="Q227">
        <f t="shared" si="52"/>
        <v>0.35868138380281256</v>
      </c>
      <c r="R227">
        <f t="shared" si="53"/>
        <v>1.0253207948628738</v>
      </c>
      <c r="S227">
        <f>IF(M227="","",IF(L227="C",SUMIFS(Marginal_Model!$J:$J,Marginal_Model!$A:$A,B227,Marginal_Model!$C:$C,K227),IF(L227="T",SUMIFS(Marginal_Model!$K:$K,Marginal_Model!$A:$A,B227,Marginal_Model!$C:$C,K227),IF(L227="PT",SUMIFS(Marginal_Model!$L:$L,Marginal_Model!$A:$A,B227,Marginal_Model!$C:$C,K227),SUMIFS(Marginal_Model!$M:$M,Marginal_Model!$A:$A,B227,Marginal_Model!$C:$C,K227)))))</f>
        <v>6.7476096970514322E-6</v>
      </c>
      <c r="T227">
        <f t="shared" si="54"/>
        <v>11.906322234750103</v>
      </c>
      <c r="U227">
        <f>IF(M227="","",Inputs!$B$7*R227+Inputs!$B$8*T227)</f>
        <v>3.2015210828403191</v>
      </c>
      <c r="V227">
        <f t="shared" si="55"/>
        <v>4.0700248421074177E-2</v>
      </c>
      <c r="W227">
        <f>Inputs!$B$9</f>
        <v>15</v>
      </c>
      <c r="X227">
        <f t="shared" si="56"/>
        <v>2.2795955910276136</v>
      </c>
      <c r="Y227">
        <f t="shared" si="57"/>
        <v>0.8976744202682877</v>
      </c>
      <c r="Z227">
        <f t="shared" si="58"/>
        <v>0.10794783736950339</v>
      </c>
      <c r="AA227">
        <f>IF(M227="","",Inputs!$B$7*Z227+Inputs!$B$8*T227)</f>
        <v>2.4676227168456228</v>
      </c>
      <c r="AB227">
        <f t="shared" si="59"/>
        <v>8.4786180366115224E-2</v>
      </c>
    </row>
    <row r="228" spans="1:28">
      <c r="A228" t="s">
        <v>204</v>
      </c>
      <c r="B228">
        <v>2</v>
      </c>
      <c r="C228">
        <v>6</v>
      </c>
      <c r="D228">
        <v>0.2</v>
      </c>
      <c r="E228">
        <f>IF(B228=1,Inputs!$B$5,Inputs!$B$6)</f>
        <v>5</v>
      </c>
      <c r="F228">
        <f>E228*Inputs!$B$4</f>
        <v>75</v>
      </c>
      <c r="G228">
        <f t="shared" si="45"/>
        <v>12.5</v>
      </c>
      <c r="H228">
        <f t="shared" si="46"/>
        <v>12</v>
      </c>
      <c r="I228">
        <f t="shared" si="47"/>
        <v>13</v>
      </c>
      <c r="J228">
        <f t="shared" si="48"/>
        <v>0.5</v>
      </c>
      <c r="K228">
        <v>7</v>
      </c>
      <c r="L228" t="s">
        <v>199</v>
      </c>
      <c r="M228">
        <f>IF(L228="C",E228*COMBIN(Inputs!$B$4,K228),IF(L228="T",(Inputs!$B$4-K228+1)*E228^K228,IF(L228="PT",E228*(Inputs!$B$4-K228+1),IF(AND(L228="E",K228&lt;=E228),Inputs!$B$4*COMBIN(E228,K228),""))))</f>
        <v>45</v>
      </c>
      <c r="N228">
        <f t="shared" si="49"/>
        <v>1.7956199117017507E-5</v>
      </c>
      <c r="O228">
        <f t="shared" si="50"/>
        <v>3.8905098086871281E-5</v>
      </c>
      <c r="P228">
        <f t="shared" si="51"/>
        <v>2.8430648601944394E-5</v>
      </c>
      <c r="Q228">
        <f t="shared" si="52"/>
        <v>2.8430244454868969E-5</v>
      </c>
      <c r="R228">
        <f t="shared" si="53"/>
        <v>10.468057033855429</v>
      </c>
      <c r="S228">
        <f>IF(M228="","",IF(L228="C",SUMIFS(Marginal_Model!$J:$J,Marginal_Model!$A:$A,B228,Marginal_Model!$C:$C,K228),IF(L228="T",SUMIFS(Marginal_Model!$K:$K,Marginal_Model!$A:$A,B228,Marginal_Model!$C:$C,K228),IF(L228="PT",SUMIFS(Marginal_Model!$L:$L,Marginal_Model!$A:$A,B228,Marginal_Model!$C:$C,K228),SUMIFS(Marginal_Model!$M:$M,Marginal_Model!$A:$A,B228,Marginal_Model!$C:$C,K228)))))</f>
        <v>4.3184702061129177E-10</v>
      </c>
      <c r="T228">
        <f t="shared" si="54"/>
        <v>21.562949709354704</v>
      </c>
      <c r="U228">
        <f>IF(M228="","",Inputs!$B$7*R228+Inputs!$B$8*T228)</f>
        <v>12.687035568955285</v>
      </c>
      <c r="V228">
        <f t="shared" si="55"/>
        <v>3.0909391878284167E-6</v>
      </c>
      <c r="W228">
        <f>Inputs!$B$9</f>
        <v>15</v>
      </c>
      <c r="X228">
        <f t="shared" si="56"/>
        <v>1.4589411782576727E-4</v>
      </c>
      <c r="Y228">
        <f t="shared" si="57"/>
        <v>1.458834757964711E-4</v>
      </c>
      <c r="Z228">
        <f t="shared" si="58"/>
        <v>8.832702365899145</v>
      </c>
      <c r="AA228">
        <f>IF(M228="","",Inputs!$B$7*Z228+Inputs!$B$8*T228)</f>
        <v>11.378751834590258</v>
      </c>
      <c r="AB228">
        <f t="shared" si="59"/>
        <v>1.1435913646105979E-5</v>
      </c>
    </row>
    <row r="229" spans="1:28">
      <c r="A229" t="s">
        <v>204</v>
      </c>
      <c r="B229">
        <v>2</v>
      </c>
      <c r="C229">
        <v>6</v>
      </c>
      <c r="D229">
        <v>0.2</v>
      </c>
      <c r="E229">
        <f>IF(B229=1,Inputs!$B$5,Inputs!$B$6)</f>
        <v>5</v>
      </c>
      <c r="F229">
        <f>E229*Inputs!$B$4</f>
        <v>75</v>
      </c>
      <c r="G229">
        <f t="shared" si="45"/>
        <v>12.5</v>
      </c>
      <c r="H229">
        <f t="shared" si="46"/>
        <v>12</v>
      </c>
      <c r="I229">
        <f t="shared" si="47"/>
        <v>13</v>
      </c>
      <c r="J229">
        <f t="shared" si="48"/>
        <v>0.5</v>
      </c>
      <c r="K229">
        <v>7</v>
      </c>
      <c r="L229" t="s">
        <v>200</v>
      </c>
      <c r="M229" t="str">
        <f>IF(L229="C",E229*COMBIN(Inputs!$B$4,K229),IF(L229="T",(Inputs!$B$4-K229+1)*E229^K229,IF(L229="PT",E229*(Inputs!$B$4-K229+1),IF(AND(L229="E",K229&lt;=E229),Inputs!$B$4*COMBIN(E229,K229),""))))</f>
        <v/>
      </c>
      <c r="N229" t="str">
        <f t="shared" si="49"/>
        <v/>
      </c>
      <c r="O229" t="str">
        <f t="shared" si="50"/>
        <v/>
      </c>
      <c r="P229" t="str">
        <f t="shared" si="51"/>
        <v/>
      </c>
      <c r="Q229" t="str">
        <f t="shared" si="52"/>
        <v/>
      </c>
      <c r="R229" t="str">
        <f t="shared" si="53"/>
        <v/>
      </c>
      <c r="S229" t="str">
        <f>IF(M229="","",IF(L229="C",SUMIFS(Marginal_Model!$J:$J,Marginal_Model!$A:$A,B229,Marginal_Model!$C:$C,K229),IF(L229="T",SUMIFS(Marginal_Model!$K:$K,Marginal_Model!$A:$A,B229,Marginal_Model!$C:$C,K229),IF(L229="PT",SUMIFS(Marginal_Model!$L:$L,Marginal_Model!$A:$A,B229,Marginal_Model!$C:$C,K229),SUMIFS(Marginal_Model!$M:$M,Marginal_Model!$A:$A,B229,Marginal_Model!$C:$C,K229)))))</f>
        <v/>
      </c>
      <c r="T229" t="str">
        <f t="shared" si="54"/>
        <v/>
      </c>
      <c r="U229" t="str">
        <f>IF(M229="","",Inputs!$B$7*R229+Inputs!$B$8*T229)</f>
        <v/>
      </c>
      <c r="V229" t="str">
        <f t="shared" si="55"/>
        <v/>
      </c>
      <c r="W229">
        <f>Inputs!$B$9</f>
        <v>15</v>
      </c>
      <c r="X229" t="str">
        <f t="shared" si="56"/>
        <v/>
      </c>
      <c r="Y229" t="str">
        <f t="shared" si="57"/>
        <v/>
      </c>
      <c r="Z229" t="str">
        <f t="shared" si="58"/>
        <v/>
      </c>
      <c r="AA229" t="str">
        <f>IF(M229="","",Inputs!$B$7*Z229+Inputs!$B$8*T229)</f>
        <v/>
      </c>
      <c r="AB229" t="str">
        <f t="shared" si="59"/>
        <v/>
      </c>
    </row>
    <row r="230" spans="1:28">
      <c r="A230" t="s">
        <v>204</v>
      </c>
      <c r="B230">
        <v>2</v>
      </c>
      <c r="C230">
        <v>6</v>
      </c>
      <c r="D230">
        <v>0.2</v>
      </c>
      <c r="E230">
        <f>IF(B230=1,Inputs!$B$5,Inputs!$B$6)</f>
        <v>5</v>
      </c>
      <c r="F230">
        <f>E230*Inputs!$B$4</f>
        <v>75</v>
      </c>
      <c r="G230">
        <f t="shared" si="45"/>
        <v>12.5</v>
      </c>
      <c r="H230">
        <f t="shared" si="46"/>
        <v>12</v>
      </c>
      <c r="I230">
        <f t="shared" si="47"/>
        <v>13</v>
      </c>
      <c r="J230">
        <f t="shared" si="48"/>
        <v>0.5</v>
      </c>
      <c r="K230">
        <v>8</v>
      </c>
      <c r="L230" t="s">
        <v>197</v>
      </c>
      <c r="M230">
        <f>IF(L230="C",E230*COMBIN(Inputs!$B$4,K230),IF(L230="T",(Inputs!$B$4-K230+1)*E230^K230,IF(L230="PT",E230*(Inputs!$B$4-K230+1),IF(AND(L230="E",K230&lt;=E230),Inputs!$B$4*COMBIN(E230,K230),""))))</f>
        <v>32174.999999999996</v>
      </c>
      <c r="N230">
        <f t="shared" si="49"/>
        <v>9.4402076240202319E-4</v>
      </c>
      <c r="O230">
        <f t="shared" si="50"/>
        <v>2.4544539822452614E-3</v>
      </c>
      <c r="P230">
        <f t="shared" si="51"/>
        <v>1.6992373723236423E-3</v>
      </c>
      <c r="Q230">
        <f t="shared" si="52"/>
        <v>1.697794485884474E-3</v>
      </c>
      <c r="R230">
        <f t="shared" si="53"/>
        <v>6.3784252314660845</v>
      </c>
      <c r="S230">
        <f>IF(M230="","",IF(L230="C",SUMIFS(Marginal_Model!$J:$J,Marginal_Model!$A:$A,B230,Marginal_Model!$C:$C,K230),IF(L230="T",SUMIFS(Marginal_Model!$K:$K,Marginal_Model!$A:$A,B230,Marginal_Model!$C:$C,K230),IF(L230="PT",SUMIFS(Marginal_Model!$L:$L,Marginal_Model!$A:$A,B230,Marginal_Model!$C:$C,K230),SUMIFS(Marginal_Model!$M:$M,Marginal_Model!$A:$A,B230,Marginal_Model!$C:$C,K230)))))</f>
        <v>1.9071126513172193E-6</v>
      </c>
      <c r="T230">
        <f t="shared" si="54"/>
        <v>13.169920160559389</v>
      </c>
      <c r="U230">
        <f>IF(M230="","",Inputs!$B$7*R230+Inputs!$B$8*T230)</f>
        <v>7.7367242172847455</v>
      </c>
      <c r="V230">
        <f t="shared" si="55"/>
        <v>4.3649911189794747E-4</v>
      </c>
      <c r="W230">
        <f>Inputs!$B$9</f>
        <v>15</v>
      </c>
      <c r="X230">
        <f t="shared" si="56"/>
        <v>1.2272269911226303E-2</v>
      </c>
      <c r="Y230">
        <f t="shared" si="57"/>
        <v>1.2197272715614216E-2</v>
      </c>
      <c r="Z230">
        <f t="shared" si="58"/>
        <v>4.4065429001339567</v>
      </c>
      <c r="AA230">
        <f>IF(M230="","",Inputs!$B$7*Z230+Inputs!$B$8*T230)</f>
        <v>6.1592183522190425</v>
      </c>
      <c r="AB230">
        <f t="shared" si="59"/>
        <v>2.1139049552486677E-3</v>
      </c>
    </row>
    <row r="231" spans="1:28">
      <c r="A231" t="s">
        <v>204</v>
      </c>
      <c r="B231">
        <v>2</v>
      </c>
      <c r="C231">
        <v>6</v>
      </c>
      <c r="D231">
        <v>0.2</v>
      </c>
      <c r="E231">
        <f>IF(B231=1,Inputs!$B$5,Inputs!$B$6)</f>
        <v>5</v>
      </c>
      <c r="F231">
        <f>E231*Inputs!$B$4</f>
        <v>75</v>
      </c>
      <c r="G231">
        <f t="shared" si="45"/>
        <v>12.5</v>
      </c>
      <c r="H231">
        <f t="shared" si="46"/>
        <v>12</v>
      </c>
      <c r="I231">
        <f t="shared" si="47"/>
        <v>13</v>
      </c>
      <c r="J231">
        <f t="shared" si="48"/>
        <v>0.5</v>
      </c>
      <c r="K231">
        <v>8</v>
      </c>
      <c r="L231" t="s">
        <v>198</v>
      </c>
      <c r="M231">
        <f>IF(L231="C",E231*COMBIN(Inputs!$B$4,K231),IF(L231="T",(Inputs!$B$4-K231+1)*E231^K231,IF(L231="PT",E231*(Inputs!$B$4-K231+1),IF(AND(L231="E",K231&lt;=E231),Inputs!$B$4*COMBIN(E231,K231),""))))</f>
        <v>3125000</v>
      </c>
      <c r="N231">
        <f t="shared" si="49"/>
        <v>9.1688108236404747E-2</v>
      </c>
      <c r="O231">
        <f t="shared" si="50"/>
        <v>0.23838908141465245</v>
      </c>
      <c r="P231">
        <f t="shared" si="51"/>
        <v>0.1650385948255286</v>
      </c>
      <c r="Q231">
        <f t="shared" si="52"/>
        <v>0.15213901959017384</v>
      </c>
      <c r="R231">
        <f t="shared" si="53"/>
        <v>1.8829605735630091</v>
      </c>
      <c r="S231">
        <f>IF(M231="","",IF(L231="C",SUMIFS(Marginal_Model!$J:$J,Marginal_Model!$A:$A,B231,Marginal_Model!$C:$C,K231),IF(L231="T",SUMIFS(Marginal_Model!$K:$K,Marginal_Model!$A:$A,B231,Marginal_Model!$C:$C,K231),IF(L231="PT",SUMIFS(Marginal_Model!$L:$L,Marginal_Model!$A:$A,B231,Marginal_Model!$C:$C,K231),SUMIFS(Marginal_Model!$M:$M,Marginal_Model!$A:$A,B231,Marginal_Model!$C:$C,K231)))))</f>
        <v>8.8204048327469711E-7</v>
      </c>
      <c r="T231">
        <f t="shared" si="54"/>
        <v>13.941027882588546</v>
      </c>
      <c r="U231">
        <f>IF(M231="","",Inputs!$B$7*R231+Inputs!$B$8*T231)</f>
        <v>4.2945740353681163</v>
      </c>
      <c r="V231">
        <f t="shared" si="55"/>
        <v>1.3642381631850262E-2</v>
      </c>
      <c r="W231">
        <f>Inputs!$B$9</f>
        <v>15</v>
      </c>
      <c r="X231">
        <f t="shared" si="56"/>
        <v>1.191945407073262</v>
      </c>
      <c r="Y231">
        <f t="shared" si="57"/>
        <v>0.69636999482615825</v>
      </c>
      <c r="Z231">
        <f t="shared" si="58"/>
        <v>0.36187415813615531</v>
      </c>
      <c r="AA231">
        <f>IF(M231="","",Inputs!$B$7*Z231+Inputs!$B$8*T231)</f>
        <v>3.0777049030266328</v>
      </c>
      <c r="AB231">
        <f t="shared" si="59"/>
        <v>4.6064858737039256E-2</v>
      </c>
    </row>
    <row r="232" spans="1:28">
      <c r="A232" t="s">
        <v>204</v>
      </c>
      <c r="B232">
        <v>2</v>
      </c>
      <c r="C232">
        <v>6</v>
      </c>
      <c r="D232">
        <v>0.2</v>
      </c>
      <c r="E232">
        <f>IF(B232=1,Inputs!$B$5,Inputs!$B$6)</f>
        <v>5</v>
      </c>
      <c r="F232">
        <f>E232*Inputs!$B$4</f>
        <v>75</v>
      </c>
      <c r="G232">
        <f t="shared" si="45"/>
        <v>12.5</v>
      </c>
      <c r="H232">
        <f t="shared" si="46"/>
        <v>12</v>
      </c>
      <c r="I232">
        <f t="shared" si="47"/>
        <v>13</v>
      </c>
      <c r="J232">
        <f t="shared" si="48"/>
        <v>0.5</v>
      </c>
      <c r="K232">
        <v>8</v>
      </c>
      <c r="L232" t="s">
        <v>199</v>
      </c>
      <c r="M232">
        <f>IF(L232="C",E232*COMBIN(Inputs!$B$4,K232),IF(L232="T",(Inputs!$B$4-K232+1)*E232^K232,IF(L232="PT",E232*(Inputs!$B$4-K232+1),IF(AND(L232="E",K232&lt;=E232),Inputs!$B$4*COMBIN(E232,K232),""))))</f>
        <v>40</v>
      </c>
      <c r="N232">
        <f t="shared" si="49"/>
        <v>1.1736077854259808E-6</v>
      </c>
      <c r="O232">
        <f t="shared" si="50"/>
        <v>3.0513802421075514E-6</v>
      </c>
      <c r="P232">
        <f t="shared" si="51"/>
        <v>2.1124940137667663E-6</v>
      </c>
      <c r="Q232">
        <f t="shared" si="52"/>
        <v>2.1124917825021683E-6</v>
      </c>
      <c r="R232">
        <f t="shared" si="53"/>
        <v>13.067642367662451</v>
      </c>
      <c r="S232">
        <f>IF(M232="","",IF(L232="C",SUMIFS(Marginal_Model!$J:$J,Marginal_Model!$A:$A,B232,Marginal_Model!$C:$C,K232),IF(L232="T",SUMIFS(Marginal_Model!$K:$K,Marginal_Model!$A:$A,B232,Marginal_Model!$C:$C,K232),IF(L232="PT",SUMIFS(Marginal_Model!$L:$L,Marginal_Model!$A:$A,B232,Marginal_Model!$C:$C,K232),SUMIFS(Marginal_Model!$M:$M,Marginal_Model!$A:$A,B232,Marginal_Model!$C:$C,K232)))))</f>
        <v>1.1290118185916125E-11</v>
      </c>
      <c r="T232">
        <f t="shared" si="54"/>
        <v>25.207093269627251</v>
      </c>
      <c r="U232">
        <f>IF(M232="","",Inputs!$B$7*R232+Inputs!$B$8*T232)</f>
        <v>15.49553254805541</v>
      </c>
      <c r="V232">
        <f t="shared" si="55"/>
        <v>1.8636987770375309E-7</v>
      </c>
      <c r="W232">
        <f>Inputs!$B$9</f>
        <v>15</v>
      </c>
      <c r="X232">
        <f t="shared" si="56"/>
        <v>1.5256901210537754E-5</v>
      </c>
      <c r="Y232">
        <f t="shared" si="57"/>
        <v>1.5256784824613234E-5</v>
      </c>
      <c r="Z232">
        <f t="shared" si="58"/>
        <v>11.090486247320404</v>
      </c>
      <c r="AA232">
        <f>IF(M232="","",Inputs!$B$7*Z232+Inputs!$B$8*T232)</f>
        <v>13.913807651781774</v>
      </c>
      <c r="AB232">
        <f t="shared" si="59"/>
        <v>9.0637958397857385E-7</v>
      </c>
    </row>
    <row r="233" spans="1:28">
      <c r="A233" t="s">
        <v>204</v>
      </c>
      <c r="B233">
        <v>2</v>
      </c>
      <c r="C233">
        <v>6</v>
      </c>
      <c r="D233">
        <v>0.2</v>
      </c>
      <c r="E233">
        <f>IF(B233=1,Inputs!$B$5,Inputs!$B$6)</f>
        <v>5</v>
      </c>
      <c r="F233">
        <f>E233*Inputs!$B$4</f>
        <v>75</v>
      </c>
      <c r="G233">
        <f t="shared" si="45"/>
        <v>12.5</v>
      </c>
      <c r="H233">
        <f t="shared" si="46"/>
        <v>12</v>
      </c>
      <c r="I233">
        <f t="shared" si="47"/>
        <v>13</v>
      </c>
      <c r="J233">
        <f t="shared" si="48"/>
        <v>0.5</v>
      </c>
      <c r="K233">
        <v>8</v>
      </c>
      <c r="L233" t="s">
        <v>200</v>
      </c>
      <c r="M233" t="str">
        <f>IF(L233="C",E233*COMBIN(Inputs!$B$4,K233),IF(L233="T",(Inputs!$B$4-K233+1)*E233^K233,IF(L233="PT",E233*(Inputs!$B$4-K233+1),IF(AND(L233="E",K233&lt;=E233),Inputs!$B$4*COMBIN(E233,K233),""))))</f>
        <v/>
      </c>
      <c r="N233" t="str">
        <f t="shared" si="49"/>
        <v/>
      </c>
      <c r="O233" t="str">
        <f t="shared" si="50"/>
        <v/>
      </c>
      <c r="P233" t="str">
        <f t="shared" si="51"/>
        <v/>
      </c>
      <c r="Q233" t="str">
        <f t="shared" si="52"/>
        <v/>
      </c>
      <c r="R233" t="str">
        <f t="shared" si="53"/>
        <v/>
      </c>
      <c r="S233" t="str">
        <f>IF(M233="","",IF(L233="C",SUMIFS(Marginal_Model!$J:$J,Marginal_Model!$A:$A,B233,Marginal_Model!$C:$C,K233),IF(L233="T",SUMIFS(Marginal_Model!$K:$K,Marginal_Model!$A:$A,B233,Marginal_Model!$C:$C,K233),IF(L233="PT",SUMIFS(Marginal_Model!$L:$L,Marginal_Model!$A:$A,B233,Marginal_Model!$C:$C,K233),SUMIFS(Marginal_Model!$M:$M,Marginal_Model!$A:$A,B233,Marginal_Model!$C:$C,K233)))))</f>
        <v/>
      </c>
      <c r="T233" t="str">
        <f t="shared" si="54"/>
        <v/>
      </c>
      <c r="U233" t="str">
        <f>IF(M233="","",Inputs!$B$7*R233+Inputs!$B$8*T233)</f>
        <v/>
      </c>
      <c r="V233" t="str">
        <f t="shared" si="55"/>
        <v/>
      </c>
      <c r="W233">
        <f>Inputs!$B$9</f>
        <v>15</v>
      </c>
      <c r="X233" t="str">
        <f t="shared" si="56"/>
        <v/>
      </c>
      <c r="Y233" t="str">
        <f t="shared" si="57"/>
        <v/>
      </c>
      <c r="Z233" t="str">
        <f t="shared" si="58"/>
        <v/>
      </c>
      <c r="AA233" t="str">
        <f>IF(M233="","",Inputs!$B$7*Z233+Inputs!$B$8*T233)</f>
        <v/>
      </c>
      <c r="AB233" t="str">
        <f t="shared" si="59"/>
        <v/>
      </c>
    </row>
    <row r="234" spans="1:28">
      <c r="A234" t="s">
        <v>204</v>
      </c>
      <c r="B234">
        <v>2</v>
      </c>
      <c r="C234">
        <v>6</v>
      </c>
      <c r="D234">
        <v>0.2</v>
      </c>
      <c r="E234">
        <f>IF(B234=1,Inputs!$B$5,Inputs!$B$6)</f>
        <v>5</v>
      </c>
      <c r="F234">
        <f>E234*Inputs!$B$4</f>
        <v>75</v>
      </c>
      <c r="G234">
        <f t="shared" si="45"/>
        <v>12.5</v>
      </c>
      <c r="H234">
        <f t="shared" si="46"/>
        <v>12</v>
      </c>
      <c r="I234">
        <f t="shared" si="47"/>
        <v>13</v>
      </c>
      <c r="J234">
        <f t="shared" si="48"/>
        <v>0.5</v>
      </c>
      <c r="K234">
        <v>9</v>
      </c>
      <c r="L234" t="s">
        <v>197</v>
      </c>
      <c r="M234">
        <f>IF(L234="C",E234*COMBIN(Inputs!$B$4,K234),IF(L234="T",(Inputs!$B$4-K234+1)*E234^K234,IF(L234="PT",E234*(Inputs!$B$4-K234+1),IF(AND(L234="E",K234&lt;=E234),Inputs!$B$4*COMBIN(E234,K234),""))))</f>
        <v>25025</v>
      </c>
      <c r="N234">
        <f t="shared" si="49"/>
        <v>4.3835126612365926E-5</v>
      </c>
      <c r="O234">
        <f t="shared" si="50"/>
        <v>1.4246416149018933E-4</v>
      </c>
      <c r="P234">
        <f t="shared" si="51"/>
        <v>9.3149644051277627E-5</v>
      </c>
      <c r="Q234">
        <f t="shared" si="52"/>
        <v>9.3145305757880159E-5</v>
      </c>
      <c r="R234">
        <f t="shared" si="53"/>
        <v>9.2813498566268819</v>
      </c>
      <c r="S234">
        <f>IF(M234="","",IF(L234="C",SUMIFS(Marginal_Model!$J:$J,Marginal_Model!$A:$A,B234,Marginal_Model!$C:$C,K234),IF(L234="T",SUMIFS(Marginal_Model!$K:$K,Marginal_Model!$A:$A,B234,Marginal_Model!$C:$C,K234),IF(L234="PT",SUMIFS(Marginal_Model!$L:$L,Marginal_Model!$A:$A,B234,Marginal_Model!$C:$C,K234),SUMIFS(Marginal_Model!$M:$M,Marginal_Model!$A:$A,B234,Marginal_Model!$C:$C,K234)))))</f>
        <v>1.9925057551075426E-7</v>
      </c>
      <c r="T234">
        <f t="shared" si="54"/>
        <v>15.428702630895042</v>
      </c>
      <c r="U234">
        <f>IF(M234="","",Inputs!$B$7*R234+Inputs!$B$8*T234)</f>
        <v>10.510820411480514</v>
      </c>
      <c r="V234">
        <f t="shared" si="55"/>
        <v>2.7240099840297654E-5</v>
      </c>
      <c r="W234">
        <f>Inputs!$B$9</f>
        <v>15</v>
      </c>
      <c r="X234">
        <f t="shared" si="56"/>
        <v>9.9724913043132499E-4</v>
      </c>
      <c r="Y234">
        <f t="shared" si="57"/>
        <v>9.9675204277105411E-4</v>
      </c>
      <c r="Z234">
        <f t="shared" si="58"/>
        <v>6.9110085222732023</v>
      </c>
      <c r="AA234">
        <f>IF(M234="","",Inputs!$B$7*Z234+Inputs!$B$8*T234)</f>
        <v>8.6145473439975699</v>
      </c>
      <c r="AB234">
        <f t="shared" si="59"/>
        <v>1.8144692994779077E-4</v>
      </c>
    </row>
    <row r="235" spans="1:28">
      <c r="A235" t="s">
        <v>204</v>
      </c>
      <c r="B235">
        <v>2</v>
      </c>
      <c r="C235">
        <v>6</v>
      </c>
      <c r="D235">
        <v>0.2</v>
      </c>
      <c r="E235">
        <f>IF(B235=1,Inputs!$B$5,Inputs!$B$6)</f>
        <v>5</v>
      </c>
      <c r="F235">
        <f>E235*Inputs!$B$4</f>
        <v>75</v>
      </c>
      <c r="G235">
        <f t="shared" si="45"/>
        <v>12.5</v>
      </c>
      <c r="H235">
        <f t="shared" si="46"/>
        <v>12</v>
      </c>
      <c r="I235">
        <f t="shared" si="47"/>
        <v>13</v>
      </c>
      <c r="J235">
        <f t="shared" si="48"/>
        <v>0.5</v>
      </c>
      <c r="K235">
        <v>9</v>
      </c>
      <c r="L235" t="s">
        <v>198</v>
      </c>
      <c r="M235">
        <f>IF(L235="C",E235*COMBIN(Inputs!$B$4,K235),IF(L235="T",(Inputs!$B$4-K235+1)*E235^K235,IF(L235="PT",E235*(Inputs!$B$4-K235+1),IF(AND(L235="E",K235&lt;=E235),Inputs!$B$4*COMBIN(E235,K235),""))))</f>
        <v>13671875</v>
      </c>
      <c r="N235">
        <f t="shared" si="49"/>
        <v>2.3948386479657958E-2</v>
      </c>
      <c r="O235">
        <f t="shared" si="50"/>
        <v>7.7832256058888397E-2</v>
      </c>
      <c r="P235">
        <f t="shared" si="51"/>
        <v>5.0890321269273175E-2</v>
      </c>
      <c r="Q235">
        <f t="shared" si="52"/>
        <v>4.961709839329087E-2</v>
      </c>
      <c r="R235">
        <f t="shared" si="53"/>
        <v>3.0034197789843109</v>
      </c>
      <c r="S235">
        <f>IF(M235="","",IF(L235="C",SUMIFS(Marginal_Model!$J:$J,Marginal_Model!$A:$A,B235,Marginal_Model!$C:$C,K235),IF(L235="T",SUMIFS(Marginal_Model!$K:$K,Marginal_Model!$A:$A,B235,Marginal_Model!$C:$C,K235),IF(L235="PT",SUMIFS(Marginal_Model!$L:$L,Marginal_Model!$A:$A,B235,Marginal_Model!$C:$C,K235),SUMIFS(Marginal_Model!$M:$M,Marginal_Model!$A:$A,B235,Marginal_Model!$C:$C,K235)))))</f>
        <v>1.1519185415900895E-7</v>
      </c>
      <c r="T235">
        <f t="shared" si="54"/>
        <v>15.976666801609991</v>
      </c>
      <c r="U235">
        <f>IF(M235="","",Inputs!$B$7*R235+Inputs!$B$8*T235)</f>
        <v>5.5980691835094465</v>
      </c>
      <c r="V235">
        <f t="shared" si="55"/>
        <v>3.7050105100796997E-3</v>
      </c>
      <c r="W235">
        <f>Inputs!$B$9</f>
        <v>15</v>
      </c>
      <c r="X235">
        <f t="shared" si="56"/>
        <v>0.54482579241221862</v>
      </c>
      <c r="Y235">
        <f t="shared" si="57"/>
        <v>0.42005719502267069</v>
      </c>
      <c r="Z235">
        <f t="shared" si="58"/>
        <v>0.86736439835078394</v>
      </c>
      <c r="AA235">
        <f>IF(M235="","",Inputs!$B$7*Z235+Inputs!$B$8*T235)</f>
        <v>3.8892248790026245</v>
      </c>
      <c r="AB235">
        <f t="shared" si="59"/>
        <v>2.0461199798447838E-2</v>
      </c>
    </row>
    <row r="236" spans="1:28">
      <c r="A236" t="s">
        <v>204</v>
      </c>
      <c r="B236">
        <v>2</v>
      </c>
      <c r="C236">
        <v>6</v>
      </c>
      <c r="D236">
        <v>0.2</v>
      </c>
      <c r="E236">
        <f>IF(B236=1,Inputs!$B$5,Inputs!$B$6)</f>
        <v>5</v>
      </c>
      <c r="F236">
        <f>E236*Inputs!$B$4</f>
        <v>75</v>
      </c>
      <c r="G236">
        <f t="shared" si="45"/>
        <v>12.5</v>
      </c>
      <c r="H236">
        <f t="shared" si="46"/>
        <v>12</v>
      </c>
      <c r="I236">
        <f t="shared" si="47"/>
        <v>13</v>
      </c>
      <c r="J236">
        <f t="shared" si="48"/>
        <v>0.5</v>
      </c>
      <c r="K236">
        <v>9</v>
      </c>
      <c r="L236" t="s">
        <v>199</v>
      </c>
      <c r="M236">
        <f>IF(L236="C",E236*COMBIN(Inputs!$B$4,K236),IF(L236="T",(Inputs!$B$4-K236+1)*E236^K236,IF(L236="PT",E236*(Inputs!$B$4-K236+1),IF(AND(L236="E",K236&lt;=E236),Inputs!$B$4*COMBIN(E236,K236),""))))</f>
        <v>35</v>
      </c>
      <c r="N236">
        <f t="shared" si="49"/>
        <v>6.1307869387924371E-8</v>
      </c>
      <c r="O236">
        <f t="shared" si="50"/>
        <v>1.9925057551075428E-7</v>
      </c>
      <c r="P236">
        <f t="shared" si="51"/>
        <v>1.3027922244933934E-7</v>
      </c>
      <c r="Q236">
        <f t="shared" si="52"/>
        <v>1.3027921397235076E-7</v>
      </c>
      <c r="R236">
        <f t="shared" si="53"/>
        <v>15.853585889928159</v>
      </c>
      <c r="S236">
        <f>IF(M236="","",IF(L236="C",SUMIFS(Marginal_Model!$J:$J,Marginal_Model!$A:$A,B236,Marginal_Model!$C:$C,K236),IF(L236="T",SUMIFS(Marginal_Model!$K:$K,Marginal_Model!$A:$A,B236,Marginal_Model!$C:$C,K236),IF(L236="PT",SUMIFS(Marginal_Model!$L:$L,Marginal_Model!$A:$A,B236,Marginal_Model!$C:$C,K236),SUMIFS(Marginal_Model!$M:$M,Marginal_Model!$A:$A,B236,Marginal_Model!$C:$C,K236)))))</f>
        <v>2.9489114664706294E-13</v>
      </c>
      <c r="T236">
        <f t="shared" si="54"/>
        <v>28.852170101082791</v>
      </c>
      <c r="U236">
        <f>IF(M236="","",Inputs!$B$7*R236+Inputs!$B$8*T236)</f>
        <v>18.453302732159084</v>
      </c>
      <c r="V236">
        <f t="shared" si="55"/>
        <v>9.6790436971092495E-9</v>
      </c>
      <c r="W236">
        <f>Inputs!$B$9</f>
        <v>15</v>
      </c>
      <c r="X236">
        <f t="shared" si="56"/>
        <v>1.3947540285752797E-6</v>
      </c>
      <c r="Y236">
        <f t="shared" si="57"/>
        <v>1.3947530559388355E-6</v>
      </c>
      <c r="Z236">
        <f t="shared" si="58"/>
        <v>13.482793179193358</v>
      </c>
      <c r="AA236">
        <f>IF(M236="","",Inputs!$B$7*Z236+Inputs!$B$8*T236)</f>
        <v>16.556668563571243</v>
      </c>
      <c r="AB236">
        <f t="shared" si="59"/>
        <v>6.449561734639023E-8</v>
      </c>
    </row>
    <row r="237" spans="1:28">
      <c r="A237" t="s">
        <v>204</v>
      </c>
      <c r="B237">
        <v>2</v>
      </c>
      <c r="C237">
        <v>6</v>
      </c>
      <c r="D237">
        <v>0.2</v>
      </c>
      <c r="E237">
        <f>IF(B237=1,Inputs!$B$5,Inputs!$B$6)</f>
        <v>5</v>
      </c>
      <c r="F237">
        <f>E237*Inputs!$B$4</f>
        <v>75</v>
      </c>
      <c r="G237">
        <f t="shared" si="45"/>
        <v>12.5</v>
      </c>
      <c r="H237">
        <f t="shared" si="46"/>
        <v>12</v>
      </c>
      <c r="I237">
        <f t="shared" si="47"/>
        <v>13</v>
      </c>
      <c r="J237">
        <f t="shared" si="48"/>
        <v>0.5</v>
      </c>
      <c r="K237">
        <v>9</v>
      </c>
      <c r="L237" t="s">
        <v>200</v>
      </c>
      <c r="M237" t="str">
        <f>IF(L237="C",E237*COMBIN(Inputs!$B$4,K237),IF(L237="T",(Inputs!$B$4-K237+1)*E237^K237,IF(L237="PT",E237*(Inputs!$B$4-K237+1),IF(AND(L237="E",K237&lt;=E237),Inputs!$B$4*COMBIN(E237,K237),""))))</f>
        <v/>
      </c>
      <c r="N237" t="str">
        <f t="shared" si="49"/>
        <v/>
      </c>
      <c r="O237" t="str">
        <f t="shared" si="50"/>
        <v/>
      </c>
      <c r="P237" t="str">
        <f t="shared" si="51"/>
        <v/>
      </c>
      <c r="Q237" t="str">
        <f t="shared" si="52"/>
        <v/>
      </c>
      <c r="R237" t="str">
        <f t="shared" si="53"/>
        <v/>
      </c>
      <c r="S237" t="str">
        <f>IF(M237="","",IF(L237="C",SUMIFS(Marginal_Model!$J:$J,Marginal_Model!$A:$A,B237,Marginal_Model!$C:$C,K237),IF(L237="T",SUMIFS(Marginal_Model!$K:$K,Marginal_Model!$A:$A,B237,Marginal_Model!$C:$C,K237),IF(L237="PT",SUMIFS(Marginal_Model!$L:$L,Marginal_Model!$A:$A,B237,Marginal_Model!$C:$C,K237),SUMIFS(Marginal_Model!$M:$M,Marginal_Model!$A:$A,B237,Marginal_Model!$C:$C,K237)))))</f>
        <v/>
      </c>
      <c r="T237" t="str">
        <f t="shared" si="54"/>
        <v/>
      </c>
      <c r="U237" t="str">
        <f>IF(M237="","",Inputs!$B$7*R237+Inputs!$B$8*T237)</f>
        <v/>
      </c>
      <c r="V237" t="str">
        <f t="shared" si="55"/>
        <v/>
      </c>
      <c r="W237">
        <f>Inputs!$B$9</f>
        <v>15</v>
      </c>
      <c r="X237" t="str">
        <f t="shared" si="56"/>
        <v/>
      </c>
      <c r="Y237" t="str">
        <f t="shared" si="57"/>
        <v/>
      </c>
      <c r="Z237" t="str">
        <f t="shared" si="58"/>
        <v/>
      </c>
      <c r="AA237" t="str">
        <f>IF(M237="","",Inputs!$B$7*Z237+Inputs!$B$8*T237)</f>
        <v/>
      </c>
      <c r="AB237" t="str">
        <f t="shared" si="59"/>
        <v/>
      </c>
    </row>
    <row r="238" spans="1:28">
      <c r="A238" t="s">
        <v>204</v>
      </c>
      <c r="B238">
        <v>2</v>
      </c>
      <c r="C238">
        <v>6</v>
      </c>
      <c r="D238">
        <v>0.2</v>
      </c>
      <c r="E238">
        <f>IF(B238=1,Inputs!$B$5,Inputs!$B$6)</f>
        <v>5</v>
      </c>
      <c r="F238">
        <f>E238*Inputs!$B$4</f>
        <v>75</v>
      </c>
      <c r="G238">
        <f t="shared" si="45"/>
        <v>12.5</v>
      </c>
      <c r="H238">
        <f t="shared" si="46"/>
        <v>12</v>
      </c>
      <c r="I238">
        <f t="shared" si="47"/>
        <v>13</v>
      </c>
      <c r="J238">
        <f t="shared" si="48"/>
        <v>0.5</v>
      </c>
      <c r="K238">
        <v>10</v>
      </c>
      <c r="L238" t="s">
        <v>197</v>
      </c>
      <c r="M238">
        <f>IF(L238="C",E238*COMBIN(Inputs!$B$4,K238),IF(L238="T",(Inputs!$B$4-K238+1)*E238^K238,IF(L238="PT",E238*(Inputs!$B$4-K238+1),IF(AND(L238="E",K238&lt;=E238),Inputs!$B$4*COMBIN(E238,K238),""))))</f>
        <v>15015</v>
      </c>
      <c r="N238">
        <f t="shared" si="49"/>
        <v>1.1955034530645252E-6</v>
      </c>
      <c r="O238">
        <f t="shared" si="50"/>
        <v>5.1805149632796115E-6</v>
      </c>
      <c r="P238">
        <f t="shared" si="51"/>
        <v>3.1880092081720681E-6</v>
      </c>
      <c r="Q238">
        <f t="shared" si="52"/>
        <v>3.18800412646425E-6</v>
      </c>
      <c r="R238">
        <f t="shared" si="53"/>
        <v>12.656115502663162</v>
      </c>
      <c r="S238">
        <f>IF(M238="","",IF(L238="C",SUMIFS(Marginal_Model!$J:$J,Marginal_Model!$A:$A,B238,Marginal_Model!$C:$C,K238),IF(L238="T",SUMIFS(Marginal_Model!$K:$K,Marginal_Model!$A:$A,B238,Marginal_Model!$C:$C,K238),IF(L238="PT",SUMIFS(Marginal_Model!$L:$L,Marginal_Model!$A:$A,B238,Marginal_Model!$C:$C,K238),SUMIFS(Marginal_Model!$M:$M,Marginal_Model!$A:$A,B238,Marginal_Model!$C:$C,K238)))))</f>
        <v>1.8113688682795842E-8</v>
      </c>
      <c r="T238">
        <f t="shared" si="54"/>
        <v>17.826597903693411</v>
      </c>
      <c r="U238">
        <f>IF(M238="","",Inputs!$B$7*R238+Inputs!$B$8*T238)</f>
        <v>13.690211982869211</v>
      </c>
      <c r="V238">
        <f t="shared" si="55"/>
        <v>1.1334868334873902E-6</v>
      </c>
      <c r="W238">
        <f>Inputs!$B$9</f>
        <v>15</v>
      </c>
      <c r="X238">
        <f t="shared" si="56"/>
        <v>5.439540711443591E-5</v>
      </c>
      <c r="Y238">
        <f t="shared" si="57"/>
        <v>5.4393927711116064E-5</v>
      </c>
      <c r="Z238">
        <f t="shared" si="58"/>
        <v>9.819258033290108</v>
      </c>
      <c r="AA238">
        <f>IF(M238="","",Inputs!$B$7*Z238+Inputs!$B$8*T238)</f>
        <v>11.420726007370767</v>
      </c>
      <c r="AB238">
        <f t="shared" si="59"/>
        <v>1.0965835221863369E-5</v>
      </c>
    </row>
    <row r="239" spans="1:28">
      <c r="A239" t="s">
        <v>204</v>
      </c>
      <c r="B239">
        <v>2</v>
      </c>
      <c r="C239">
        <v>6</v>
      </c>
      <c r="D239">
        <v>0.2</v>
      </c>
      <c r="E239">
        <f>IF(B239=1,Inputs!$B$5,Inputs!$B$6)</f>
        <v>5</v>
      </c>
      <c r="F239">
        <f>E239*Inputs!$B$4</f>
        <v>75</v>
      </c>
      <c r="G239">
        <f t="shared" si="45"/>
        <v>12.5</v>
      </c>
      <c r="H239">
        <f t="shared" si="46"/>
        <v>12</v>
      </c>
      <c r="I239">
        <f t="shared" si="47"/>
        <v>13</v>
      </c>
      <c r="J239">
        <f t="shared" si="48"/>
        <v>0.5</v>
      </c>
      <c r="K239">
        <v>10</v>
      </c>
      <c r="L239" t="s">
        <v>198</v>
      </c>
      <c r="M239">
        <f>IF(L239="C",E239*COMBIN(Inputs!$B$4,K239),IF(L239="T",(Inputs!$B$4-K239+1)*E239^K239,IF(L239="PT",E239*(Inputs!$B$4-K239+1),IF(AND(L239="E",K239&lt;=E239),Inputs!$B$4*COMBIN(E239,K239),""))))</f>
        <v>58593750</v>
      </c>
      <c r="N239">
        <f t="shared" si="49"/>
        <v>4.6652700934398618E-3</v>
      </c>
      <c r="O239">
        <f t="shared" si="50"/>
        <v>2.0216170404906076E-2</v>
      </c>
      <c r="P239">
        <f t="shared" si="51"/>
        <v>1.2440720249172969E-2</v>
      </c>
      <c r="Q239">
        <f t="shared" si="52"/>
        <v>1.2363654404930591E-2</v>
      </c>
      <c r="R239">
        <f t="shared" si="53"/>
        <v>4.3929942068231931</v>
      </c>
      <c r="S239">
        <f>IF(M239="","",IF(L239="C",SUMIFS(Marginal_Model!$J:$J,Marginal_Model!$A:$A,B239,Marginal_Model!$C:$C,K239),IF(L239="T",SUMIFS(Marginal_Model!$K:$K,Marginal_Model!$A:$A,B239,Marginal_Model!$C:$C,K239),IF(L239="PT",SUMIFS(Marginal_Model!$L:$L,Marginal_Model!$A:$A,B239,Marginal_Model!$C:$C,K239),SUMIFS(Marginal_Model!$M:$M,Marginal_Model!$A:$A,B239,Marginal_Model!$C:$C,K239)))))</f>
        <v>1.4959981059611549E-8</v>
      </c>
      <c r="T239">
        <f t="shared" si="54"/>
        <v>18.017887130469628</v>
      </c>
      <c r="U239">
        <f>IF(M239="","",Inputs!$B$7*R239+Inputs!$B$8*T239)</f>
        <v>7.1179727915524786</v>
      </c>
      <c r="V239">
        <f t="shared" si="55"/>
        <v>8.1040795288104422E-4</v>
      </c>
      <c r="W239">
        <f>Inputs!$B$9</f>
        <v>15</v>
      </c>
      <c r="X239">
        <f t="shared" si="56"/>
        <v>0.21226978925151377</v>
      </c>
      <c r="Y239">
        <f t="shared" si="57"/>
        <v>0.19125352297565568</v>
      </c>
      <c r="Z239">
        <f t="shared" si="58"/>
        <v>1.6541553856574103</v>
      </c>
      <c r="AA239">
        <f>IF(M239="","",Inputs!$B$7*Z239+Inputs!$B$8*T239)</f>
        <v>4.9269017346198529</v>
      </c>
      <c r="AB239">
        <f t="shared" si="59"/>
        <v>7.2489276266609328E-3</v>
      </c>
    </row>
    <row r="240" spans="1:28">
      <c r="A240" t="s">
        <v>204</v>
      </c>
      <c r="B240">
        <v>2</v>
      </c>
      <c r="C240">
        <v>6</v>
      </c>
      <c r="D240">
        <v>0.2</v>
      </c>
      <c r="E240">
        <f>IF(B240=1,Inputs!$B$5,Inputs!$B$6)</f>
        <v>5</v>
      </c>
      <c r="F240">
        <f>E240*Inputs!$B$4</f>
        <v>75</v>
      </c>
      <c r="G240">
        <f t="shared" si="45"/>
        <v>12.5</v>
      </c>
      <c r="H240">
        <f t="shared" si="46"/>
        <v>12</v>
      </c>
      <c r="I240">
        <f t="shared" si="47"/>
        <v>13</v>
      </c>
      <c r="J240">
        <f t="shared" si="48"/>
        <v>0.5</v>
      </c>
      <c r="K240">
        <v>10</v>
      </c>
      <c r="L240" t="s">
        <v>199</v>
      </c>
      <c r="M240">
        <f>IF(L240="C",E240*COMBIN(Inputs!$B$4,K240),IF(L240="T",(Inputs!$B$4-K240+1)*E240^K240,IF(L240="PT",E240*(Inputs!$B$4-K240+1),IF(AND(L240="E",K240&lt;=E240),Inputs!$B$4*COMBIN(E240,K240),""))))</f>
        <v>30</v>
      </c>
      <c r="N240">
        <f t="shared" si="49"/>
        <v>2.3886182878412091E-9</v>
      </c>
      <c r="O240">
        <f t="shared" si="50"/>
        <v>1.0350679247311912E-8</v>
      </c>
      <c r="P240">
        <f t="shared" si="51"/>
        <v>6.3696487675765605E-9</v>
      </c>
      <c r="Q240">
        <f t="shared" si="52"/>
        <v>6.3696486973796596E-9</v>
      </c>
      <c r="R240">
        <f t="shared" si="53"/>
        <v>18.871721518431066</v>
      </c>
      <c r="S240">
        <f>IF(M240="","",IF(L240="C",SUMIFS(Marginal_Model!$J:$J,Marginal_Model!$A:$A,B240,Marginal_Model!$C:$C,K240),IF(L240="T",SUMIFS(Marginal_Model!$K:$K,Marginal_Model!$A:$A,B240,Marginal_Model!$C:$C,K240),IF(L240="PT",SUMIFS(Marginal_Model!$L:$L,Marginal_Model!$A:$A,B240,Marginal_Model!$C:$C,K240),SUMIFS(Marginal_Model!$M:$M,Marginal_Model!$A:$A,B240,Marginal_Model!$C:$C,K240)))))</f>
        <v>7.6595103025211163E-15</v>
      </c>
      <c r="T240">
        <f t="shared" si="54"/>
        <v>32.502828342376532</v>
      </c>
      <c r="U240">
        <f>IF(M240="","",Inputs!$B$7*R240+Inputs!$B$8*T240)</f>
        <v>21.597942883220156</v>
      </c>
      <c r="V240">
        <f t="shared" si="55"/>
        <v>4.1699666856260681E-10</v>
      </c>
      <c r="W240">
        <f>Inputs!$B$9</f>
        <v>15</v>
      </c>
      <c r="X240">
        <f t="shared" si="56"/>
        <v>1.0868213209677505E-7</v>
      </c>
      <c r="Y240">
        <f t="shared" si="57"/>
        <v>1.0868212618753148E-7</v>
      </c>
      <c r="Z240">
        <f t="shared" si="58"/>
        <v>16.034838488837163</v>
      </c>
      <c r="AA240">
        <f>IF(M240="","",Inputs!$B$7*Z240+Inputs!$B$8*T240)</f>
        <v>19.328436459545038</v>
      </c>
      <c r="AB240">
        <f t="shared" si="59"/>
        <v>4.0342861735151187E-9</v>
      </c>
    </row>
    <row r="241" spans="1:28">
      <c r="A241" t="s">
        <v>204</v>
      </c>
      <c r="B241">
        <v>2</v>
      </c>
      <c r="C241">
        <v>6</v>
      </c>
      <c r="D241">
        <v>0.2</v>
      </c>
      <c r="E241">
        <f>IF(B241=1,Inputs!$B$5,Inputs!$B$6)</f>
        <v>5</v>
      </c>
      <c r="F241">
        <f>E241*Inputs!$B$4</f>
        <v>75</v>
      </c>
      <c r="G241">
        <f t="shared" si="45"/>
        <v>12.5</v>
      </c>
      <c r="H241">
        <f t="shared" si="46"/>
        <v>12</v>
      </c>
      <c r="I241">
        <f t="shared" si="47"/>
        <v>13</v>
      </c>
      <c r="J241">
        <f t="shared" si="48"/>
        <v>0.5</v>
      </c>
      <c r="K241">
        <v>10</v>
      </c>
      <c r="L241" t="s">
        <v>200</v>
      </c>
      <c r="M241" t="str">
        <f>IF(L241="C",E241*COMBIN(Inputs!$B$4,K241),IF(L241="T",(Inputs!$B$4-K241+1)*E241^K241,IF(L241="PT",E241*(Inputs!$B$4-K241+1),IF(AND(L241="E",K241&lt;=E241),Inputs!$B$4*COMBIN(E241,K241),""))))</f>
        <v/>
      </c>
      <c r="N241" t="str">
        <f t="shared" si="49"/>
        <v/>
      </c>
      <c r="O241" t="str">
        <f t="shared" si="50"/>
        <v/>
      </c>
      <c r="P241" t="str">
        <f t="shared" si="51"/>
        <v/>
      </c>
      <c r="Q241" t="str">
        <f t="shared" si="52"/>
        <v/>
      </c>
      <c r="R241" t="str">
        <f t="shared" si="53"/>
        <v/>
      </c>
      <c r="S241" t="str">
        <f>IF(M241="","",IF(L241="C",SUMIFS(Marginal_Model!$J:$J,Marginal_Model!$A:$A,B241,Marginal_Model!$C:$C,K241),IF(L241="T",SUMIFS(Marginal_Model!$K:$K,Marginal_Model!$A:$A,B241,Marginal_Model!$C:$C,K241),IF(L241="PT",SUMIFS(Marginal_Model!$L:$L,Marginal_Model!$A:$A,B241,Marginal_Model!$C:$C,K241),SUMIFS(Marginal_Model!$M:$M,Marginal_Model!$A:$A,B241,Marginal_Model!$C:$C,K241)))))</f>
        <v/>
      </c>
      <c r="T241" t="str">
        <f t="shared" si="54"/>
        <v/>
      </c>
      <c r="U241" t="str">
        <f>IF(M241="","",Inputs!$B$7*R241+Inputs!$B$8*T241)</f>
        <v/>
      </c>
      <c r="V241" t="str">
        <f t="shared" si="55"/>
        <v/>
      </c>
      <c r="W241">
        <f>Inputs!$B$9</f>
        <v>15</v>
      </c>
      <c r="X241" t="str">
        <f t="shared" si="56"/>
        <v/>
      </c>
      <c r="Y241" t="str">
        <f t="shared" si="57"/>
        <v/>
      </c>
      <c r="Z241" t="str">
        <f t="shared" si="58"/>
        <v/>
      </c>
      <c r="AA241" t="str">
        <f>IF(M241="","",Inputs!$B$7*Z241+Inputs!$B$8*T241)</f>
        <v/>
      </c>
      <c r="AB241" t="str">
        <f t="shared" si="59"/>
        <v/>
      </c>
    </row>
    <row r="242" spans="1:28">
      <c r="A242" t="s">
        <v>204</v>
      </c>
      <c r="B242">
        <v>2</v>
      </c>
      <c r="C242">
        <v>6</v>
      </c>
      <c r="D242">
        <v>0.2</v>
      </c>
      <c r="E242">
        <f>IF(B242=1,Inputs!$B$5,Inputs!$B$6)</f>
        <v>5</v>
      </c>
      <c r="F242">
        <f>E242*Inputs!$B$4</f>
        <v>75</v>
      </c>
      <c r="G242">
        <f t="shared" si="45"/>
        <v>12.5</v>
      </c>
      <c r="H242">
        <f t="shared" si="46"/>
        <v>12</v>
      </c>
      <c r="I242">
        <f t="shared" si="47"/>
        <v>13</v>
      </c>
      <c r="J242">
        <f t="shared" si="48"/>
        <v>0.5</v>
      </c>
      <c r="K242">
        <v>11</v>
      </c>
      <c r="L242" t="s">
        <v>197</v>
      </c>
      <c r="M242">
        <f>IF(L242="C",E242*COMBIN(Inputs!$B$4,K242),IF(L242="T",(Inputs!$B$4-K242+1)*E242^K242,IF(L242="PT",E242*(Inputs!$B$4-K242+1),IF(AND(L242="E",K242&lt;=E242),Inputs!$B$4*COMBIN(E242,K242),""))))</f>
        <v>6825</v>
      </c>
      <c r="N242">
        <f t="shared" si="49"/>
        <v>1.6720328014888466E-8</v>
      </c>
      <c r="O242">
        <f t="shared" si="50"/>
        <v>1.0868213209677507E-7</v>
      </c>
      <c r="P242">
        <f t="shared" si="51"/>
        <v>6.2701230055831767E-8</v>
      </c>
      <c r="Q242">
        <f t="shared" si="52"/>
        <v>6.2701228098482886E-8</v>
      </c>
      <c r="R242">
        <f t="shared" si="53"/>
        <v>16.584884802601703</v>
      </c>
      <c r="S242">
        <f>IF(M242="","",IF(L242="C",SUMIFS(Marginal_Model!$J:$J,Marginal_Model!$A:$A,B242,Marginal_Model!$C:$C,K242),IF(L242="T",SUMIFS(Marginal_Model!$K:$K,Marginal_Model!$A:$A,B242,Marginal_Model!$C:$C,K242),IF(L242="PT",SUMIFS(Marginal_Model!$L:$L,Marginal_Model!$A:$A,B242,Marginal_Model!$C:$C,K242),SUMIFS(Marginal_Model!$M:$M,Marginal_Model!$A:$A,B242,Marginal_Model!$C:$C,K242)))))</f>
        <v>1.3933606679073726E-9</v>
      </c>
      <c r="T242">
        <f t="shared" si="54"/>
        <v>20.391547261154951</v>
      </c>
      <c r="U242">
        <f>IF(M242="","",Inputs!$B$7*R242+Inputs!$B$8*T242)</f>
        <v>17.346217294312353</v>
      </c>
      <c r="V242">
        <f t="shared" si="55"/>
        <v>2.928421233465129E-8</v>
      </c>
      <c r="W242">
        <f>Inputs!$B$9</f>
        <v>15</v>
      </c>
      <c r="X242">
        <f t="shared" si="56"/>
        <v>1.9019373116935629E-6</v>
      </c>
      <c r="Y242">
        <f t="shared" si="57"/>
        <v>1.9019355029792351E-6</v>
      </c>
      <c r="Z242">
        <f t="shared" si="58"/>
        <v>13.172638504521592</v>
      </c>
      <c r="AA242">
        <f>IF(M242="","",Inputs!$B$7*Z242+Inputs!$B$8*T242)</f>
        <v>14.616420255848263</v>
      </c>
      <c r="AB242">
        <f t="shared" si="59"/>
        <v>4.4892039637413067E-7</v>
      </c>
    </row>
    <row r="243" spans="1:28">
      <c r="A243" t="s">
        <v>204</v>
      </c>
      <c r="B243">
        <v>2</v>
      </c>
      <c r="C243">
        <v>6</v>
      </c>
      <c r="D243">
        <v>0.2</v>
      </c>
      <c r="E243">
        <f>IF(B243=1,Inputs!$B$5,Inputs!$B$6)</f>
        <v>5</v>
      </c>
      <c r="F243">
        <f>E243*Inputs!$B$4</f>
        <v>75</v>
      </c>
      <c r="G243">
        <f t="shared" si="45"/>
        <v>12.5</v>
      </c>
      <c r="H243">
        <f t="shared" si="46"/>
        <v>12</v>
      </c>
      <c r="I243">
        <f t="shared" si="47"/>
        <v>13</v>
      </c>
      <c r="J243">
        <f t="shared" si="48"/>
        <v>0.5</v>
      </c>
      <c r="K243">
        <v>11</v>
      </c>
      <c r="L243" t="s">
        <v>198</v>
      </c>
      <c r="M243">
        <f>IF(L243="C",E243*COMBIN(Inputs!$B$4,K243),IF(L243="T",(Inputs!$B$4-K243+1)*E243^K243,IF(L243="PT",E243*(Inputs!$B$4-K243+1),IF(AND(L243="E",K243&lt;=E243),Inputs!$B$4*COMBIN(E243,K243),""))))</f>
        <v>244140625</v>
      </c>
      <c r="N243">
        <f t="shared" si="49"/>
        <v>5.981115504410079E-4</v>
      </c>
      <c r="O243">
        <f t="shared" si="50"/>
        <v>3.8877250778665529E-3</v>
      </c>
      <c r="P243">
        <f t="shared" si="51"/>
        <v>2.2429183141537802E-3</v>
      </c>
      <c r="Q243">
        <f t="shared" si="52"/>
        <v>2.2404048523860798E-3</v>
      </c>
      <c r="R243">
        <f t="shared" si="53"/>
        <v>6.1010986917739167</v>
      </c>
      <c r="S243">
        <f>IF(M243="","",IF(L243="C",SUMIFS(Marginal_Model!$J:$J,Marginal_Model!$A:$A,B243,Marginal_Model!$C:$C,K243),IF(L243="T",SUMIFS(Marginal_Model!$K:$K,Marginal_Model!$A:$A,B243,Marginal_Model!$C:$C,K243),IF(L243="PT",SUMIFS(Marginal_Model!$L:$L,Marginal_Model!$A:$A,B243,Marginal_Model!$C:$C,K243),SUMIFS(Marginal_Model!$M:$M,Marginal_Model!$A:$A,B243,Marginal_Model!$C:$C,K243)))))</f>
        <v>1.9179462896937883E-9</v>
      </c>
      <c r="T243">
        <f t="shared" si="54"/>
        <v>20.072010864165176</v>
      </c>
      <c r="U243">
        <f>IF(M243="","",Inputs!$B$7*R243+Inputs!$B$8*T243)</f>
        <v>8.8952811262521685</v>
      </c>
      <c r="V243">
        <f t="shared" si="55"/>
        <v>1.3703404953668524E-4</v>
      </c>
      <c r="W243">
        <f>Inputs!$B$9</f>
        <v>15</v>
      </c>
      <c r="X243">
        <f t="shared" si="56"/>
        <v>6.8035188862664658E-2</v>
      </c>
      <c r="Y243">
        <f t="shared" si="57"/>
        <v>6.5772401407864112E-2</v>
      </c>
      <c r="Z243">
        <f t="shared" si="58"/>
        <v>2.7215549601282838</v>
      </c>
      <c r="AA243">
        <f>IF(M243="","",Inputs!$B$7*Z243+Inputs!$B$8*T243)</f>
        <v>6.1916461409356618</v>
      </c>
      <c r="AB243">
        <f t="shared" si="59"/>
        <v>2.0464552253130928E-3</v>
      </c>
    </row>
    <row r="244" spans="1:28">
      <c r="A244" t="s">
        <v>204</v>
      </c>
      <c r="B244">
        <v>2</v>
      </c>
      <c r="C244">
        <v>6</v>
      </c>
      <c r="D244">
        <v>0.2</v>
      </c>
      <c r="E244">
        <f>IF(B244=1,Inputs!$B$5,Inputs!$B$6)</f>
        <v>5</v>
      </c>
      <c r="F244">
        <f>E244*Inputs!$B$4</f>
        <v>75</v>
      </c>
      <c r="G244">
        <f t="shared" si="45"/>
        <v>12.5</v>
      </c>
      <c r="H244">
        <f t="shared" si="46"/>
        <v>12</v>
      </c>
      <c r="I244">
        <f t="shared" si="47"/>
        <v>13</v>
      </c>
      <c r="J244">
        <f t="shared" si="48"/>
        <v>0.5</v>
      </c>
      <c r="K244">
        <v>11</v>
      </c>
      <c r="L244" t="s">
        <v>199</v>
      </c>
      <c r="M244">
        <f>IF(L244="C",E244*COMBIN(Inputs!$B$4,K244),IF(L244="T",(Inputs!$B$4-K244+1)*E244^K244,IF(L244="PT",E244*(Inputs!$B$4-K244+1),IF(AND(L244="E",K244&lt;=E244),Inputs!$B$4*COMBIN(E244,K244),""))))</f>
        <v>25</v>
      </c>
      <c r="N244">
        <f t="shared" si="49"/>
        <v>6.1246622765159215E-11</v>
      </c>
      <c r="O244">
        <f t="shared" si="50"/>
        <v>3.9810304797353503E-10</v>
      </c>
      <c r="P244">
        <f t="shared" si="51"/>
        <v>2.2967483536934713E-10</v>
      </c>
      <c r="Q244">
        <f t="shared" si="52"/>
        <v>2.2967483470637262E-10</v>
      </c>
      <c r="R244">
        <f t="shared" si="53"/>
        <v>22.194356569456168</v>
      </c>
      <c r="S244">
        <f>IF(M244="","",IF(L244="C",SUMIFS(Marginal_Model!$J:$J,Marginal_Model!$A:$A,B244,Marginal_Model!$C:$C,K244),IF(L244="T",SUMIFS(Marginal_Model!$K:$K,Marginal_Model!$A:$A,B244,Marginal_Model!$C:$C,K244),IF(L244="PT",SUMIFS(Marginal_Model!$L:$L,Marginal_Model!$A:$A,B244,Marginal_Model!$C:$C,K244),SUMIFS(Marginal_Model!$M:$M,Marginal_Model!$A:$A,B244,Marginal_Model!$C:$C,K244)))))</f>
        <v>1.9639770006464401E-16</v>
      </c>
      <c r="T244">
        <f t="shared" si="54"/>
        <v>36.166389988506175</v>
      </c>
      <c r="U244">
        <f>IF(M244="","",Inputs!$B$7*R244+Inputs!$B$8*T244)</f>
        <v>24.988763253266168</v>
      </c>
      <c r="V244">
        <f t="shared" si="55"/>
        <v>1.4044879243100336E-11</v>
      </c>
      <c r="W244">
        <f>Inputs!$B$9</f>
        <v>15</v>
      </c>
      <c r="X244">
        <f t="shared" si="56"/>
        <v>6.9668033395368607E-9</v>
      </c>
      <c r="Y244">
        <f t="shared" si="57"/>
        <v>6.9668033564340703E-9</v>
      </c>
      <c r="Z244">
        <f t="shared" si="58"/>
        <v>18.78210934629546</v>
      </c>
      <c r="AA244">
        <f>IF(M244="","",Inputs!$B$7*Z244+Inputs!$B$8*T244)</f>
        <v>22.258965474737604</v>
      </c>
      <c r="AB244">
        <f t="shared" si="59"/>
        <v>2.1530500294560705E-10</v>
      </c>
    </row>
    <row r="245" spans="1:28">
      <c r="A245" t="s">
        <v>204</v>
      </c>
      <c r="B245">
        <v>2</v>
      </c>
      <c r="C245">
        <v>6</v>
      </c>
      <c r="D245">
        <v>0.2</v>
      </c>
      <c r="E245">
        <f>IF(B245=1,Inputs!$B$5,Inputs!$B$6)</f>
        <v>5</v>
      </c>
      <c r="F245">
        <f>E245*Inputs!$B$4</f>
        <v>75</v>
      </c>
      <c r="G245">
        <f t="shared" si="45"/>
        <v>12.5</v>
      </c>
      <c r="H245">
        <f t="shared" si="46"/>
        <v>12</v>
      </c>
      <c r="I245">
        <f t="shared" si="47"/>
        <v>13</v>
      </c>
      <c r="J245">
        <f t="shared" si="48"/>
        <v>0.5</v>
      </c>
      <c r="K245">
        <v>11</v>
      </c>
      <c r="L245" t="s">
        <v>200</v>
      </c>
      <c r="M245" t="str">
        <f>IF(L245="C",E245*COMBIN(Inputs!$B$4,K245),IF(L245="T",(Inputs!$B$4-K245+1)*E245^K245,IF(L245="PT",E245*(Inputs!$B$4-K245+1),IF(AND(L245="E",K245&lt;=E245),Inputs!$B$4*COMBIN(E245,K245),""))))</f>
        <v/>
      </c>
      <c r="N245" t="str">
        <f t="shared" si="49"/>
        <v/>
      </c>
      <c r="O245" t="str">
        <f t="shared" si="50"/>
        <v/>
      </c>
      <c r="P245" t="str">
        <f t="shared" si="51"/>
        <v/>
      </c>
      <c r="Q245" t="str">
        <f t="shared" si="52"/>
        <v/>
      </c>
      <c r="R245" t="str">
        <f t="shared" si="53"/>
        <v/>
      </c>
      <c r="S245" t="str">
        <f>IF(M245="","",IF(L245="C",SUMIFS(Marginal_Model!$J:$J,Marginal_Model!$A:$A,B245,Marginal_Model!$C:$C,K245),IF(L245="T",SUMIFS(Marginal_Model!$K:$K,Marginal_Model!$A:$A,B245,Marginal_Model!$C:$C,K245),IF(L245="PT",SUMIFS(Marginal_Model!$L:$L,Marginal_Model!$A:$A,B245,Marginal_Model!$C:$C,K245),SUMIFS(Marginal_Model!$M:$M,Marginal_Model!$A:$A,B245,Marginal_Model!$C:$C,K245)))))</f>
        <v/>
      </c>
      <c r="T245" t="str">
        <f t="shared" si="54"/>
        <v/>
      </c>
      <c r="U245" t="str">
        <f>IF(M245="","",Inputs!$B$7*R245+Inputs!$B$8*T245)</f>
        <v/>
      </c>
      <c r="V245" t="str">
        <f t="shared" si="55"/>
        <v/>
      </c>
      <c r="W245">
        <f>Inputs!$B$9</f>
        <v>15</v>
      </c>
      <c r="X245" t="str">
        <f t="shared" si="56"/>
        <v/>
      </c>
      <c r="Y245" t="str">
        <f t="shared" si="57"/>
        <v/>
      </c>
      <c r="Z245" t="str">
        <f t="shared" si="58"/>
        <v/>
      </c>
      <c r="AA245" t="str">
        <f>IF(M245="","",Inputs!$B$7*Z245+Inputs!$B$8*T245)</f>
        <v/>
      </c>
      <c r="AB245" t="str">
        <f t="shared" si="59"/>
        <v/>
      </c>
    </row>
    <row r="246" spans="1:28">
      <c r="A246" t="s">
        <v>204</v>
      </c>
      <c r="B246">
        <v>2</v>
      </c>
      <c r="C246">
        <v>6</v>
      </c>
      <c r="D246">
        <v>0.2</v>
      </c>
      <c r="E246">
        <f>IF(B246=1,Inputs!$B$5,Inputs!$B$6)</f>
        <v>5</v>
      </c>
      <c r="F246">
        <f>E246*Inputs!$B$4</f>
        <v>75</v>
      </c>
      <c r="G246">
        <f t="shared" si="45"/>
        <v>12.5</v>
      </c>
      <c r="H246">
        <f t="shared" si="46"/>
        <v>12</v>
      </c>
      <c r="I246">
        <f t="shared" si="47"/>
        <v>13</v>
      </c>
      <c r="J246">
        <f t="shared" si="48"/>
        <v>0.5</v>
      </c>
      <c r="K246">
        <v>12</v>
      </c>
      <c r="L246" t="s">
        <v>197</v>
      </c>
      <c r="M246">
        <f>IF(L246="C",E246*COMBIN(Inputs!$B$4,K246),IF(L246="T",(Inputs!$B$4-K246+1)*E246^K246,IF(L246="PT",E246*(Inputs!$B$4-K246+1),IF(AND(L246="E",K246&lt;=E246),Inputs!$B$4*COMBIN(E246,K246),""))))</f>
        <v>2275.0000000000005</v>
      </c>
      <c r="N246">
        <f t="shared" si="49"/>
        <v>8.7085041744210772E-11</v>
      </c>
      <c r="O246">
        <f t="shared" si="50"/>
        <v>1.1321055426747405E-9</v>
      </c>
      <c r="P246">
        <f t="shared" si="51"/>
        <v>6.0959529220947567E-10</v>
      </c>
      <c r="Q246">
        <f t="shared" si="52"/>
        <v>6.0959526315684798E-10</v>
      </c>
      <c r="R246">
        <f t="shared" si="53"/>
        <v>21.218225881998297</v>
      </c>
      <c r="S246">
        <f>IF(M246="","",IF(L246="C",SUMIFS(Marginal_Model!$J:$J,Marginal_Model!$A:$A,B246,Marginal_Model!$C:$C,K246),IF(L246="T",SUMIFS(Marginal_Model!$K:$K,Marginal_Model!$A:$A,B246,Marginal_Model!$C:$C,K246),IF(L246="PT",SUMIFS(Marginal_Model!$L:$L,Marginal_Model!$A:$A,B246,Marginal_Model!$C:$C,K246),SUMIFS(Marginal_Model!$M:$M,Marginal_Model!$A:$A,B246,Marginal_Model!$C:$C,K246)))))</f>
        <v>8.7085041744210785E-11</v>
      </c>
      <c r="T246">
        <f t="shared" si="54"/>
        <v>23.164135983394729</v>
      </c>
      <c r="U246">
        <f>IF(M246="","",Inputs!$B$7*R246+Inputs!$B$8*T246)</f>
        <v>21.607407902277583</v>
      </c>
      <c r="V246">
        <f t="shared" si="55"/>
        <v>4.1306840700959392E-10</v>
      </c>
      <c r="W246">
        <f>Inputs!$B$9</f>
        <v>15</v>
      </c>
      <c r="X246">
        <f t="shared" si="56"/>
        <v>3.9623693993615899E-8</v>
      </c>
      <c r="Y246">
        <f t="shared" si="57"/>
        <v>3.9623693215418143E-8</v>
      </c>
      <c r="Z246">
        <f t="shared" si="58"/>
        <v>17.043838584083488</v>
      </c>
      <c r="AA246">
        <f>IF(M246="","",Inputs!$B$7*Z246+Inputs!$B$8*T246)</f>
        <v>18.267898063945736</v>
      </c>
      <c r="AB246">
        <f t="shared" si="59"/>
        <v>1.1650717580420179E-8</v>
      </c>
    </row>
    <row r="247" spans="1:28">
      <c r="A247" t="s">
        <v>204</v>
      </c>
      <c r="B247">
        <v>2</v>
      </c>
      <c r="C247">
        <v>6</v>
      </c>
      <c r="D247">
        <v>0.2</v>
      </c>
      <c r="E247">
        <f>IF(B247=1,Inputs!$B$5,Inputs!$B$6)</f>
        <v>5</v>
      </c>
      <c r="F247">
        <f>E247*Inputs!$B$4</f>
        <v>75</v>
      </c>
      <c r="G247">
        <f t="shared" si="45"/>
        <v>12.5</v>
      </c>
      <c r="H247">
        <f t="shared" si="46"/>
        <v>12</v>
      </c>
      <c r="I247">
        <f t="shared" si="47"/>
        <v>13</v>
      </c>
      <c r="J247">
        <f t="shared" si="48"/>
        <v>0.5</v>
      </c>
      <c r="K247">
        <v>12</v>
      </c>
      <c r="L247" t="s">
        <v>198</v>
      </c>
      <c r="M247">
        <f>IF(L247="C",E247*COMBIN(Inputs!$B$4,K247),IF(L247="T",(Inputs!$B$4-K247+1)*E247^K247,IF(L247="PT",E247*(Inputs!$B$4-K247+1),IF(AND(L247="E",K247&lt;=E247),Inputs!$B$4*COMBIN(E247,K247),""))))</f>
        <v>976562500</v>
      </c>
      <c r="N247">
        <f t="shared" si="49"/>
        <v>3.7381971902562994E-5</v>
      </c>
      <c r="O247">
        <f t="shared" si="50"/>
        <v>4.8596563473331911E-4</v>
      </c>
      <c r="P247">
        <f t="shared" si="51"/>
        <v>2.6167380331794106E-4</v>
      </c>
      <c r="Q247">
        <f t="shared" si="52"/>
        <v>2.6163956971436697E-4</v>
      </c>
      <c r="R247">
        <f t="shared" si="53"/>
        <v>8.2485426894439069</v>
      </c>
      <c r="S247">
        <f>IF(M247="","",IF(L247="C",SUMIFS(Marginal_Model!$J:$J,Marginal_Model!$A:$A,B247,Marginal_Model!$C:$C,K247),IF(L247="T",SUMIFS(Marginal_Model!$K:$K,Marginal_Model!$A:$A,B247,Marginal_Model!$C:$C,K247),IF(L247="PT",SUMIFS(Marginal_Model!$L:$L,Marginal_Model!$A:$A,B247,Marginal_Model!$C:$C,K247),SUMIFS(Marginal_Model!$M:$M,Marginal_Model!$A:$A,B247,Marginal_Model!$C:$C,K247)))))</f>
        <v>2.3974328621172353E-10</v>
      </c>
      <c r="T247">
        <f t="shared" si="54"/>
        <v>22.15145240584501</v>
      </c>
      <c r="U247">
        <f>IF(M247="","",Inputs!$B$7*R247+Inputs!$B$8*T247)</f>
        <v>11.029124632724127</v>
      </c>
      <c r="V247">
        <f t="shared" si="55"/>
        <v>1.6222285178647988E-5</v>
      </c>
      <c r="W247">
        <f>Inputs!$B$9</f>
        <v>15</v>
      </c>
      <c r="X247">
        <f t="shared" si="56"/>
        <v>1.7008797215666165E-2</v>
      </c>
      <c r="Y247">
        <f t="shared" si="57"/>
        <v>1.6864964254071801E-2</v>
      </c>
      <c r="Z247">
        <f t="shared" si="58"/>
        <v>4.0825169300040161</v>
      </c>
      <c r="AA247">
        <f>IF(M247="","",Inputs!$B$7*Z247+Inputs!$B$8*T247)</f>
        <v>7.6963040251722141</v>
      </c>
      <c r="AB247">
        <f t="shared" si="59"/>
        <v>4.5450391743170475E-4</v>
      </c>
    </row>
    <row r="248" spans="1:28">
      <c r="A248" t="s">
        <v>204</v>
      </c>
      <c r="B248">
        <v>2</v>
      </c>
      <c r="C248">
        <v>6</v>
      </c>
      <c r="D248">
        <v>0.2</v>
      </c>
      <c r="E248">
        <f>IF(B248=1,Inputs!$B$5,Inputs!$B$6)</f>
        <v>5</v>
      </c>
      <c r="F248">
        <f>E248*Inputs!$B$4</f>
        <v>75</v>
      </c>
      <c r="G248">
        <f t="shared" si="45"/>
        <v>12.5</v>
      </c>
      <c r="H248">
        <f t="shared" si="46"/>
        <v>12</v>
      </c>
      <c r="I248">
        <f t="shared" si="47"/>
        <v>13</v>
      </c>
      <c r="J248">
        <f t="shared" si="48"/>
        <v>0.5</v>
      </c>
      <c r="K248">
        <v>12</v>
      </c>
      <c r="L248" t="s">
        <v>199</v>
      </c>
      <c r="M248">
        <f>IF(L248="C",E248*COMBIN(Inputs!$B$4,K248),IF(L248="T",(Inputs!$B$4-K248+1)*E248^K248,IF(L248="PT",E248*(Inputs!$B$4-K248+1),IF(AND(L248="E",K248&lt;=E248),Inputs!$B$4*COMBIN(E248,K248),""))))</f>
        <v>20</v>
      </c>
      <c r="N248">
        <f t="shared" si="49"/>
        <v>7.6558278456449014E-13</v>
      </c>
      <c r="O248">
        <f t="shared" si="50"/>
        <v>9.9525761993383761E-12</v>
      </c>
      <c r="P248">
        <f t="shared" si="51"/>
        <v>5.3590794919514332E-12</v>
      </c>
      <c r="Q248">
        <f t="shared" si="52"/>
        <v>5.3590465398656306E-12</v>
      </c>
      <c r="R248">
        <f t="shared" si="53"/>
        <v>25.952235041022561</v>
      </c>
      <c r="S248">
        <f>IF(M248="","",IF(L248="C",SUMIFS(Marginal_Model!$J:$J,Marginal_Model!$A:$A,B248,Marginal_Model!$C:$C,K248),IF(L248="T",SUMIFS(Marginal_Model!$K:$K,Marginal_Model!$A:$A,B248,Marginal_Model!$C:$C,K248),IF(L248="PT",SUMIFS(Marginal_Model!$L:$L,Marginal_Model!$A:$A,B248,Marginal_Model!$C:$C,K248),SUMIFS(Marginal_Model!$M:$M,Marginal_Model!$A:$A,B248,Marginal_Model!$C:$C,K248)))))</f>
        <v>4.9099425016161006E-18</v>
      </c>
      <c r="T248">
        <f t="shared" si="54"/>
        <v>39.855269442620113</v>
      </c>
      <c r="U248">
        <f>IF(M248="","",Inputs!$B$7*R248+Inputs!$B$8*T248)</f>
        <v>28.732841921342072</v>
      </c>
      <c r="V248">
        <f t="shared" si="55"/>
        <v>3.3226554168126562E-13</v>
      </c>
      <c r="W248">
        <f>Inputs!$B$9</f>
        <v>15</v>
      </c>
      <c r="X248">
        <f t="shared" si="56"/>
        <v>3.4834016697684304E-10</v>
      </c>
      <c r="Y248">
        <f t="shared" si="57"/>
        <v>3.4834013451501278E-10</v>
      </c>
      <c r="Z248">
        <f t="shared" si="58"/>
        <v>21.777841715464874</v>
      </c>
      <c r="AA248">
        <f>IF(M248="","",Inputs!$B$7*Z248+Inputs!$B$8*T248)</f>
        <v>25.393327260895923</v>
      </c>
      <c r="AB248">
        <f t="shared" si="59"/>
        <v>9.371693862875783E-12</v>
      </c>
    </row>
    <row r="249" spans="1:28">
      <c r="A249" t="s">
        <v>204</v>
      </c>
      <c r="B249">
        <v>2</v>
      </c>
      <c r="C249">
        <v>6</v>
      </c>
      <c r="D249">
        <v>0.2</v>
      </c>
      <c r="E249">
        <f>IF(B249=1,Inputs!$B$5,Inputs!$B$6)</f>
        <v>5</v>
      </c>
      <c r="F249">
        <f>E249*Inputs!$B$4</f>
        <v>75</v>
      </c>
      <c r="G249">
        <f t="shared" si="45"/>
        <v>12.5</v>
      </c>
      <c r="H249">
        <f t="shared" si="46"/>
        <v>12</v>
      </c>
      <c r="I249">
        <f t="shared" si="47"/>
        <v>13</v>
      </c>
      <c r="J249">
        <f t="shared" si="48"/>
        <v>0.5</v>
      </c>
      <c r="K249">
        <v>12</v>
      </c>
      <c r="L249" t="s">
        <v>200</v>
      </c>
      <c r="M249" t="str">
        <f>IF(L249="C",E249*COMBIN(Inputs!$B$4,K249),IF(L249="T",(Inputs!$B$4-K249+1)*E249^K249,IF(L249="PT",E249*(Inputs!$B$4-K249+1),IF(AND(L249="E",K249&lt;=E249),Inputs!$B$4*COMBIN(E249,K249),""))))</f>
        <v/>
      </c>
      <c r="N249" t="str">
        <f t="shared" si="49"/>
        <v/>
      </c>
      <c r="O249" t="str">
        <f t="shared" si="50"/>
        <v/>
      </c>
      <c r="P249" t="str">
        <f t="shared" si="51"/>
        <v/>
      </c>
      <c r="Q249" t="str">
        <f t="shared" si="52"/>
        <v/>
      </c>
      <c r="R249" t="str">
        <f t="shared" si="53"/>
        <v/>
      </c>
      <c r="S249" t="str">
        <f>IF(M249="","",IF(L249="C",SUMIFS(Marginal_Model!$J:$J,Marginal_Model!$A:$A,B249,Marginal_Model!$C:$C,K249),IF(L249="T",SUMIFS(Marginal_Model!$K:$K,Marginal_Model!$A:$A,B249,Marginal_Model!$C:$C,K249),IF(L249="PT",SUMIFS(Marginal_Model!$L:$L,Marginal_Model!$A:$A,B249,Marginal_Model!$C:$C,K249),SUMIFS(Marginal_Model!$M:$M,Marginal_Model!$A:$A,B249,Marginal_Model!$C:$C,K249)))))</f>
        <v/>
      </c>
      <c r="T249" t="str">
        <f t="shared" si="54"/>
        <v/>
      </c>
      <c r="U249" t="str">
        <f>IF(M249="","",Inputs!$B$7*R249+Inputs!$B$8*T249)</f>
        <v/>
      </c>
      <c r="V249" t="str">
        <f t="shared" si="55"/>
        <v/>
      </c>
      <c r="W249">
        <f>Inputs!$B$9</f>
        <v>15</v>
      </c>
      <c r="X249" t="str">
        <f t="shared" si="56"/>
        <v/>
      </c>
      <c r="Y249" t="str">
        <f t="shared" si="57"/>
        <v/>
      </c>
      <c r="Z249" t="str">
        <f t="shared" si="58"/>
        <v/>
      </c>
      <c r="AA249" t="str">
        <f>IF(M249="","",Inputs!$B$7*Z249+Inputs!$B$8*T249)</f>
        <v/>
      </c>
      <c r="AB249" t="str">
        <f t="shared" si="59"/>
        <v/>
      </c>
    </row>
    <row r="250" spans="1:28">
      <c r="A250" t="s">
        <v>204</v>
      </c>
      <c r="B250">
        <v>2</v>
      </c>
      <c r="C250">
        <v>6</v>
      </c>
      <c r="D250">
        <v>0.2</v>
      </c>
      <c r="E250">
        <f>IF(B250=1,Inputs!$B$5,Inputs!$B$6)</f>
        <v>5</v>
      </c>
      <c r="F250">
        <f>E250*Inputs!$B$4</f>
        <v>75</v>
      </c>
      <c r="G250">
        <f t="shared" si="45"/>
        <v>12.5</v>
      </c>
      <c r="H250">
        <f t="shared" si="46"/>
        <v>12</v>
      </c>
      <c r="I250">
        <f t="shared" si="47"/>
        <v>13</v>
      </c>
      <c r="J250">
        <f t="shared" si="48"/>
        <v>0.5</v>
      </c>
      <c r="K250">
        <v>13</v>
      </c>
      <c r="L250" t="s">
        <v>197</v>
      </c>
      <c r="M250">
        <f>IF(L250="C",E250*COMBIN(Inputs!$B$4,K250),IF(L250="T",(Inputs!$B$4-K250+1)*E250^K250,IF(L250="PT",E250*(Inputs!$B$4-K250+1),IF(AND(L250="E",K250&lt;=E250),Inputs!$B$4*COMBIN(E250,K250),""))))</f>
        <v>525</v>
      </c>
      <c r="N250" t="str">
        <f t="shared" si="49"/>
        <v/>
      </c>
      <c r="O250">
        <f t="shared" si="50"/>
        <v>4.146906749724323E-12</v>
      </c>
      <c r="P250" t="e">
        <f t="shared" si="51"/>
        <v>#VALUE!</v>
      </c>
      <c r="Q250" t="e">
        <f t="shared" si="52"/>
        <v>#VALUE!</v>
      </c>
      <c r="R250" t="e">
        <f t="shared" si="53"/>
        <v>#VALUE!</v>
      </c>
      <c r="S250">
        <f>IF(M250="","",IF(L250="C",SUMIFS(Marginal_Model!$J:$J,Marginal_Model!$A:$A,B250,Marginal_Model!$C:$C,K250),IF(L250="T",SUMIFS(Marginal_Model!$K:$K,Marginal_Model!$A:$A,B250,Marginal_Model!$C:$C,K250),IF(L250="PT",SUMIFS(Marginal_Model!$L:$L,Marginal_Model!$A:$A,B250,Marginal_Model!$C:$C,K250),SUMIFS(Marginal_Model!$M:$M,Marginal_Model!$A:$A,B250,Marginal_Model!$C:$C,K250)))))</f>
        <v>4.146906749724323E-12</v>
      </c>
      <c r="T250">
        <f t="shared" si="54"/>
        <v>26.208658421118155</v>
      </c>
      <c r="U250" t="e">
        <f>IF(M250="","",Inputs!$B$7*R250+Inputs!$B$8*T250)</f>
        <v>#VALUE!</v>
      </c>
      <c r="V250" t="e">
        <f t="shared" si="55"/>
        <v>#VALUE!</v>
      </c>
      <c r="W250">
        <f>Inputs!$B$9</f>
        <v>15</v>
      </c>
      <c r="X250">
        <f t="shared" si="56"/>
        <v>4.3542520872105379E-10</v>
      </c>
      <c r="Y250">
        <f t="shared" si="57"/>
        <v>4.3542525141049282E-10</v>
      </c>
      <c r="Z250">
        <f t="shared" si="58"/>
        <v>21.554697972919829</v>
      </c>
      <c r="AA250">
        <f>IF(M250="","",Inputs!$B$7*Z250+Inputs!$B$8*T250)</f>
        <v>22.485490062559496</v>
      </c>
      <c r="AB250">
        <f t="shared" si="59"/>
        <v>1.7166262248340935E-10</v>
      </c>
    </row>
    <row r="251" spans="1:28">
      <c r="A251" t="s">
        <v>204</v>
      </c>
      <c r="B251">
        <v>2</v>
      </c>
      <c r="C251">
        <v>6</v>
      </c>
      <c r="D251">
        <v>0.2</v>
      </c>
      <c r="E251">
        <f>IF(B251=1,Inputs!$B$5,Inputs!$B$6)</f>
        <v>5</v>
      </c>
      <c r="F251">
        <f>E251*Inputs!$B$4</f>
        <v>75</v>
      </c>
      <c r="G251">
        <f t="shared" si="45"/>
        <v>12.5</v>
      </c>
      <c r="H251">
        <f t="shared" si="46"/>
        <v>12</v>
      </c>
      <c r="I251">
        <f t="shared" si="47"/>
        <v>13</v>
      </c>
      <c r="J251">
        <f t="shared" si="48"/>
        <v>0.5</v>
      </c>
      <c r="K251">
        <v>13</v>
      </c>
      <c r="L251" t="s">
        <v>198</v>
      </c>
      <c r="M251">
        <f>IF(L251="C",E251*COMBIN(Inputs!$B$4,K251),IF(L251="T",(Inputs!$B$4-K251+1)*E251^K251,IF(L251="PT",E251*(Inputs!$B$4-K251+1),IF(AND(L251="E",K251&lt;=E251),Inputs!$B$4*COMBIN(E251,K251),""))))</f>
        <v>3662109375</v>
      </c>
      <c r="N251" t="str">
        <f t="shared" si="49"/>
        <v/>
      </c>
      <c r="O251">
        <f t="shared" si="50"/>
        <v>2.8926525876983283E-5</v>
      </c>
      <c r="P251" t="e">
        <f t="shared" si="51"/>
        <v>#VALUE!</v>
      </c>
      <c r="Q251" t="e">
        <f t="shared" si="52"/>
        <v>#VALUE!</v>
      </c>
      <c r="R251" t="e">
        <f t="shared" si="53"/>
        <v>#VALUE!</v>
      </c>
      <c r="S251">
        <f>IF(M251="","",IF(L251="C",SUMIFS(Marginal_Model!$J:$J,Marginal_Model!$A:$A,B251,Marginal_Model!$C:$C,K251),IF(L251="T",SUMIFS(Marginal_Model!$K:$K,Marginal_Model!$A:$A,B251,Marginal_Model!$C:$C,K251),IF(L251="PT",SUMIFS(Marginal_Model!$L:$L,Marginal_Model!$A:$A,B251,Marginal_Model!$C:$C,K251),SUMIFS(Marginal_Model!$M:$M,Marginal_Model!$A:$A,B251,Marginal_Model!$C:$C,K251)))))</f>
        <v>2.8540867406157561E-11</v>
      </c>
      <c r="T251">
        <f t="shared" si="54"/>
        <v>24.279684111694277</v>
      </c>
      <c r="U251" t="e">
        <f>IF(M251="","",Inputs!$B$7*R251+Inputs!$B$8*T251)</f>
        <v>#VALUE!</v>
      </c>
      <c r="V251" t="e">
        <f t="shared" si="55"/>
        <v>#VALUE!</v>
      </c>
      <c r="W251">
        <f>Inputs!$B$9</f>
        <v>15</v>
      </c>
      <c r="X251">
        <f t="shared" si="56"/>
        <v>3.0372852170832436E-3</v>
      </c>
      <c r="Y251">
        <f t="shared" si="57"/>
        <v>3.0326773326718737E-3</v>
      </c>
      <c r="Z251">
        <f t="shared" si="58"/>
        <v>5.7983094414701908</v>
      </c>
      <c r="AA251">
        <f>IF(M251="","",Inputs!$B$7*Z251+Inputs!$B$8*T251)</f>
        <v>9.4945843755150072</v>
      </c>
      <c r="AB251">
        <f t="shared" si="59"/>
        <v>7.5258298938816386E-5</v>
      </c>
    </row>
    <row r="252" spans="1:28">
      <c r="A252" t="s">
        <v>204</v>
      </c>
      <c r="B252">
        <v>2</v>
      </c>
      <c r="C252">
        <v>6</v>
      </c>
      <c r="D252">
        <v>0.2</v>
      </c>
      <c r="E252">
        <f>IF(B252=1,Inputs!$B$5,Inputs!$B$6)</f>
        <v>5</v>
      </c>
      <c r="F252">
        <f>E252*Inputs!$B$4</f>
        <v>75</v>
      </c>
      <c r="G252">
        <f t="shared" si="45"/>
        <v>12.5</v>
      </c>
      <c r="H252">
        <f t="shared" si="46"/>
        <v>12</v>
      </c>
      <c r="I252">
        <f t="shared" si="47"/>
        <v>13</v>
      </c>
      <c r="J252">
        <f t="shared" si="48"/>
        <v>0.5</v>
      </c>
      <c r="K252">
        <v>13</v>
      </c>
      <c r="L252" t="s">
        <v>199</v>
      </c>
      <c r="M252">
        <f>IF(L252="C",E252*COMBIN(Inputs!$B$4,K252),IF(L252="T",(Inputs!$B$4-K252+1)*E252^K252,IF(L252="PT",E252*(Inputs!$B$4-K252+1),IF(AND(L252="E",K252&lt;=E252),Inputs!$B$4*COMBIN(E252,K252),""))))</f>
        <v>15</v>
      </c>
      <c r="N252" t="str">
        <f t="shared" si="49"/>
        <v/>
      </c>
      <c r="O252">
        <f t="shared" si="50"/>
        <v>1.1848304999212352E-13</v>
      </c>
      <c r="P252" t="e">
        <f t="shared" si="51"/>
        <v>#VALUE!</v>
      </c>
      <c r="Q252" t="e">
        <f t="shared" si="52"/>
        <v>#VALUE!</v>
      </c>
      <c r="R252" t="e">
        <f t="shared" si="53"/>
        <v>#VALUE!</v>
      </c>
      <c r="S252">
        <f>IF(M252="","",IF(L252="C",SUMIFS(Marginal_Model!$J:$J,Marginal_Model!$A:$A,B252,Marginal_Model!$C:$C,K252),IF(L252="T",SUMIFS(Marginal_Model!$K:$K,Marginal_Model!$A:$A,B252,Marginal_Model!$C:$C,K252),IF(L252="PT",SUMIFS(Marginal_Model!$L:$L,Marginal_Model!$A:$A,B252,Marginal_Model!$C:$C,K252),SUMIFS(Marginal_Model!$M:$M,Marginal_Model!$A:$A,B252,Marginal_Model!$C:$C,K252)))))</f>
        <v>1.1690339289562144E-19</v>
      </c>
      <c r="T252">
        <f t="shared" si="54"/>
        <v>43.592939060903483</v>
      </c>
      <c r="U252" t="e">
        <f>IF(M252="","",Inputs!$B$7*R252+Inputs!$B$8*T252)</f>
        <v>#VALUE!</v>
      </c>
      <c r="V252" t="e">
        <f t="shared" si="55"/>
        <v>#VALUE!</v>
      </c>
      <c r="W252">
        <f>Inputs!$B$9</f>
        <v>15</v>
      </c>
      <c r="X252">
        <f t="shared" si="56"/>
        <v>1.2440720249172966E-11</v>
      </c>
      <c r="Y252">
        <f t="shared" si="57"/>
        <v>1.2440715124739654E-11</v>
      </c>
      <c r="Z252">
        <f t="shared" si="58"/>
        <v>25.110046544358219</v>
      </c>
      <c r="AA252">
        <f>IF(M252="","",Inputs!$B$7*Z252+Inputs!$B$8*T252)</f>
        <v>28.806625047667275</v>
      </c>
      <c r="AB252">
        <f t="shared" si="59"/>
        <v>3.0863253041164989E-13</v>
      </c>
    </row>
    <row r="253" spans="1:28">
      <c r="A253" t="s">
        <v>204</v>
      </c>
      <c r="B253">
        <v>2</v>
      </c>
      <c r="C253">
        <v>6</v>
      </c>
      <c r="D253">
        <v>0.2</v>
      </c>
      <c r="E253">
        <f>IF(B253=1,Inputs!$B$5,Inputs!$B$6)</f>
        <v>5</v>
      </c>
      <c r="F253">
        <f>E253*Inputs!$B$4</f>
        <v>75</v>
      </c>
      <c r="G253">
        <f t="shared" si="45"/>
        <v>12.5</v>
      </c>
      <c r="H253">
        <f t="shared" si="46"/>
        <v>12</v>
      </c>
      <c r="I253">
        <f t="shared" si="47"/>
        <v>13</v>
      </c>
      <c r="J253">
        <f t="shared" si="48"/>
        <v>0.5</v>
      </c>
      <c r="K253">
        <v>13</v>
      </c>
      <c r="L253" t="s">
        <v>200</v>
      </c>
      <c r="M253" t="str">
        <f>IF(L253="C",E253*COMBIN(Inputs!$B$4,K253),IF(L253="T",(Inputs!$B$4-K253+1)*E253^K253,IF(L253="PT",E253*(Inputs!$B$4-K253+1),IF(AND(L253="E",K253&lt;=E253),Inputs!$B$4*COMBIN(E253,K253),""))))</f>
        <v/>
      </c>
      <c r="N253" t="str">
        <f t="shared" si="49"/>
        <v/>
      </c>
      <c r="O253" t="str">
        <f t="shared" si="50"/>
        <v/>
      </c>
      <c r="P253" t="str">
        <f t="shared" si="51"/>
        <v/>
      </c>
      <c r="Q253" t="str">
        <f t="shared" si="52"/>
        <v/>
      </c>
      <c r="R253" t="str">
        <f t="shared" si="53"/>
        <v/>
      </c>
      <c r="S253" t="str">
        <f>IF(M253="","",IF(L253="C",SUMIFS(Marginal_Model!$J:$J,Marginal_Model!$A:$A,B253,Marginal_Model!$C:$C,K253),IF(L253="T",SUMIFS(Marginal_Model!$K:$K,Marginal_Model!$A:$A,B253,Marginal_Model!$C:$C,K253),IF(L253="PT",SUMIFS(Marginal_Model!$L:$L,Marginal_Model!$A:$A,B253,Marginal_Model!$C:$C,K253),SUMIFS(Marginal_Model!$M:$M,Marginal_Model!$A:$A,B253,Marginal_Model!$C:$C,K253)))))</f>
        <v/>
      </c>
      <c r="T253" t="str">
        <f t="shared" si="54"/>
        <v/>
      </c>
      <c r="U253" t="str">
        <f>IF(M253="","",Inputs!$B$7*R253+Inputs!$B$8*T253)</f>
        <v/>
      </c>
      <c r="V253" t="str">
        <f t="shared" si="55"/>
        <v/>
      </c>
      <c r="W253">
        <f>Inputs!$B$9</f>
        <v>15</v>
      </c>
      <c r="X253" t="str">
        <f t="shared" si="56"/>
        <v/>
      </c>
      <c r="Y253" t="str">
        <f t="shared" si="57"/>
        <v/>
      </c>
      <c r="Z253" t="str">
        <f t="shared" si="58"/>
        <v/>
      </c>
      <c r="AA253" t="str">
        <f>IF(M253="","",Inputs!$B$7*Z253+Inputs!$B$8*T253)</f>
        <v/>
      </c>
      <c r="AB253" t="str">
        <f t="shared" si="59"/>
        <v/>
      </c>
    </row>
    <row r="254" spans="1:28">
      <c r="A254" t="s">
        <v>204</v>
      </c>
      <c r="B254">
        <v>2</v>
      </c>
      <c r="C254">
        <v>6</v>
      </c>
      <c r="D254">
        <v>0.2</v>
      </c>
      <c r="E254">
        <f>IF(B254=1,Inputs!$B$5,Inputs!$B$6)</f>
        <v>5</v>
      </c>
      <c r="F254">
        <f>E254*Inputs!$B$4</f>
        <v>75</v>
      </c>
      <c r="G254">
        <f t="shared" si="45"/>
        <v>12.5</v>
      </c>
      <c r="H254">
        <f t="shared" si="46"/>
        <v>12</v>
      </c>
      <c r="I254">
        <f t="shared" si="47"/>
        <v>13</v>
      </c>
      <c r="J254">
        <f t="shared" si="48"/>
        <v>0.5</v>
      </c>
      <c r="K254">
        <v>14</v>
      </c>
      <c r="L254" t="s">
        <v>197</v>
      </c>
      <c r="M254">
        <f>IF(L254="C",E254*COMBIN(Inputs!$B$4,K254),IF(L254="T",(Inputs!$B$4-K254+1)*E254^K254,IF(L254="PT",E254*(Inputs!$B$4-K254+1),IF(AND(L254="E",K254&lt;=E254),Inputs!$B$4*COMBIN(E254,K254),""))))</f>
        <v>75</v>
      </c>
      <c r="N254" t="str">
        <f t="shared" si="49"/>
        <v/>
      </c>
      <c r="O254" t="str">
        <f t="shared" si="50"/>
        <v/>
      </c>
      <c r="P254" t="e">
        <f t="shared" si="51"/>
        <v>#VALUE!</v>
      </c>
      <c r="Q254" t="e">
        <f t="shared" si="52"/>
        <v>#VALUE!</v>
      </c>
      <c r="R254" t="e">
        <f t="shared" si="53"/>
        <v>#VALUE!</v>
      </c>
      <c r="S254">
        <f>IF(M254="","",IF(L254="C",SUMIFS(Marginal_Model!$J:$J,Marginal_Model!$A:$A,B254,Marginal_Model!$C:$C,K254),IF(L254="T",SUMIFS(Marginal_Model!$K:$K,Marginal_Model!$A:$A,B254,Marginal_Model!$C:$C,K254),IF(L254="PT",SUMIFS(Marginal_Model!$L:$L,Marginal_Model!$A:$A,B254,Marginal_Model!$C:$C,K254),SUMIFS(Marginal_Model!$M:$M,Marginal_Model!$A:$A,B254,Marginal_Model!$C:$C,K254)))))</f>
        <v>1.3377118547497815E-13</v>
      </c>
      <c r="T254">
        <f t="shared" si="54"/>
        <v>29.642645625603301</v>
      </c>
      <c r="U254" t="e">
        <f>IF(M254="","",Inputs!$B$7*R254+Inputs!$B$8*T254)</f>
        <v>#VALUE!</v>
      </c>
      <c r="V254" t="e">
        <f t="shared" si="55"/>
        <v>#VALUE!</v>
      </c>
      <c r="W254">
        <f>Inputs!$B$9</f>
        <v>15</v>
      </c>
      <c r="X254">
        <f t="shared" si="56"/>
        <v>2.0065677821246717E-12</v>
      </c>
      <c r="Y254">
        <f t="shared" si="57"/>
        <v>2.0066170947075079E-12</v>
      </c>
      <c r="Z254">
        <f t="shared" si="58"/>
        <v>26.934570849215202</v>
      </c>
      <c r="AA254">
        <f>IF(M254="","",Inputs!$B$7*Z254+Inputs!$B$8*T254)</f>
        <v>27.476185804492822</v>
      </c>
      <c r="AB254">
        <f t="shared" si="59"/>
        <v>1.1674656770258772E-12</v>
      </c>
    </row>
    <row r="255" spans="1:28">
      <c r="A255" t="s">
        <v>204</v>
      </c>
      <c r="B255">
        <v>2</v>
      </c>
      <c r="C255">
        <v>6</v>
      </c>
      <c r="D255">
        <v>0.2</v>
      </c>
      <c r="E255">
        <f>IF(B255=1,Inputs!$B$5,Inputs!$B$6)</f>
        <v>5</v>
      </c>
      <c r="F255">
        <f>E255*Inputs!$B$4</f>
        <v>75</v>
      </c>
      <c r="G255">
        <f t="shared" si="45"/>
        <v>12.5</v>
      </c>
      <c r="H255">
        <f t="shared" si="46"/>
        <v>12</v>
      </c>
      <c r="I255">
        <f t="shared" si="47"/>
        <v>13</v>
      </c>
      <c r="J255">
        <f t="shared" si="48"/>
        <v>0.5</v>
      </c>
      <c r="K255">
        <v>14</v>
      </c>
      <c r="L255" t="s">
        <v>198</v>
      </c>
      <c r="M255">
        <f>IF(L255="C",E255*COMBIN(Inputs!$B$4,K255),IF(L255="T",(Inputs!$B$4-K255+1)*E255^K255,IF(L255="PT",E255*(Inputs!$B$4-K255+1),IF(AND(L255="E",K255&lt;=E255),Inputs!$B$4*COMBIN(E255,K255),""))))</f>
        <v>12207031250</v>
      </c>
      <c r="N255" t="str">
        <f t="shared" si="49"/>
        <v/>
      </c>
      <c r="O255" t="str">
        <f t="shared" si="50"/>
        <v/>
      </c>
      <c r="P255" t="e">
        <f t="shared" si="51"/>
        <v>#VALUE!</v>
      </c>
      <c r="Q255" t="e">
        <f t="shared" si="52"/>
        <v>#VALUE!</v>
      </c>
      <c r="R255" t="e">
        <f t="shared" si="53"/>
        <v>#VALUE!</v>
      </c>
      <c r="S255">
        <f>IF(M255="","",IF(L255="C",SUMIFS(Marginal_Model!$J:$J,Marginal_Model!$A:$A,B255,Marginal_Model!$C:$C,K255),IF(L255="T",SUMIFS(Marginal_Model!$K:$K,Marginal_Model!$A:$A,B255,Marginal_Model!$C:$C,K255),IF(L255="PT",SUMIFS(Marginal_Model!$L:$L,Marginal_Model!$A:$A,B255,Marginal_Model!$C:$C,K255),SUMIFS(Marginal_Model!$M:$M,Marginal_Model!$A:$A,B255,Marginal_Model!$C:$C,K255)))))</f>
        <v>3.0689104737803827E-12</v>
      </c>
      <c r="T255">
        <f t="shared" si="54"/>
        <v>26.50969851185349</v>
      </c>
      <c r="U255" t="e">
        <f>IF(M255="","",Inputs!$B$7*R255+Inputs!$B$8*T255)</f>
        <v>#VALUE!</v>
      </c>
      <c r="V255" t="e">
        <f t="shared" si="55"/>
        <v>#VALUE!</v>
      </c>
      <c r="W255">
        <f>Inputs!$B$9</f>
        <v>15</v>
      </c>
      <c r="X255">
        <f t="shared" si="56"/>
        <v>3.2658980828852082E-4</v>
      </c>
      <c r="Y255">
        <f t="shared" si="57"/>
        <v>3.2653648364233678E-4</v>
      </c>
      <c r="Z255">
        <f t="shared" si="58"/>
        <v>8.0269688738599854</v>
      </c>
      <c r="AA255">
        <f>IF(M255="","",Inputs!$B$7*Z255+Inputs!$B$8*T255)</f>
        <v>11.723514801458684</v>
      </c>
      <c r="AB255">
        <f t="shared" si="59"/>
        <v>8.1010667983446648E-6</v>
      </c>
    </row>
    <row r="256" spans="1:28">
      <c r="A256" t="s">
        <v>204</v>
      </c>
      <c r="B256">
        <v>2</v>
      </c>
      <c r="C256">
        <v>6</v>
      </c>
      <c r="D256">
        <v>0.2</v>
      </c>
      <c r="E256">
        <f>IF(B256=1,Inputs!$B$5,Inputs!$B$6)</f>
        <v>5</v>
      </c>
      <c r="F256">
        <f>E256*Inputs!$B$4</f>
        <v>75</v>
      </c>
      <c r="G256">
        <f t="shared" si="45"/>
        <v>12.5</v>
      </c>
      <c r="H256">
        <f t="shared" si="46"/>
        <v>12</v>
      </c>
      <c r="I256">
        <f t="shared" si="47"/>
        <v>13</v>
      </c>
      <c r="J256">
        <f t="shared" si="48"/>
        <v>0.5</v>
      </c>
      <c r="K256">
        <v>14</v>
      </c>
      <c r="L256" t="s">
        <v>199</v>
      </c>
      <c r="M256">
        <f>IF(L256="C",E256*COMBIN(Inputs!$B$4,K256),IF(L256="T",(Inputs!$B$4-K256+1)*E256^K256,IF(L256="PT",E256*(Inputs!$B$4-K256+1),IF(AND(L256="E",K256&lt;=E256),Inputs!$B$4*COMBIN(E256,K256),""))))</f>
        <v>10</v>
      </c>
      <c r="N256" t="str">
        <f t="shared" si="49"/>
        <v/>
      </c>
      <c r="O256" t="str">
        <f t="shared" si="50"/>
        <v/>
      </c>
      <c r="P256" t="e">
        <f t="shared" si="51"/>
        <v>#VALUE!</v>
      </c>
      <c r="Q256" t="e">
        <f t="shared" si="52"/>
        <v>#VALUE!</v>
      </c>
      <c r="R256" t="e">
        <f t="shared" si="53"/>
        <v>#VALUE!</v>
      </c>
      <c r="S256">
        <f>IF(M256="","",IF(L256="C",SUMIFS(Marginal_Model!$J:$J,Marginal_Model!$A:$A,B256,Marginal_Model!$C:$C,K256),IF(L256="T",SUMIFS(Marginal_Model!$K:$K,Marginal_Model!$A:$A,B256,Marginal_Model!$C:$C,K256),IF(L256="PT",SUMIFS(Marginal_Model!$L:$L,Marginal_Model!$A:$A,B256,Marginal_Model!$C:$C,K256),SUMIFS(Marginal_Model!$M:$M,Marginal_Model!$A:$A,B256,Marginal_Model!$C:$C,K256)))))</f>
        <v>2.5140514601208912E-21</v>
      </c>
      <c r="T256">
        <f t="shared" si="54"/>
        <v>47.432391373496792</v>
      </c>
      <c r="U256" t="e">
        <f>IF(M256="","",Inputs!$B$7*R256+Inputs!$B$8*T256)</f>
        <v>#VALUE!</v>
      </c>
      <c r="V256" t="e">
        <f t="shared" si="55"/>
        <v>#VALUE!</v>
      </c>
      <c r="W256">
        <f>Inputs!$B$9</f>
        <v>15</v>
      </c>
      <c r="X256">
        <f t="shared" si="56"/>
        <v>2.6754237094995625E-13</v>
      </c>
      <c r="Y256">
        <f t="shared" si="57"/>
        <v>2.6756374893466273E-13</v>
      </c>
      <c r="Z256">
        <f t="shared" si="58"/>
        <v>28.949418543192401</v>
      </c>
      <c r="AA256">
        <f>IF(M256="","",Inputs!$B$7*Z256+Inputs!$B$8*T256)</f>
        <v>32.646013109253282</v>
      </c>
      <c r="AB256">
        <f t="shared" si="59"/>
        <v>6.6376851827887385E-15</v>
      </c>
    </row>
    <row r="257" spans="1:28">
      <c r="A257" t="s">
        <v>204</v>
      </c>
      <c r="B257">
        <v>2</v>
      </c>
      <c r="C257">
        <v>6</v>
      </c>
      <c r="D257">
        <v>0.2</v>
      </c>
      <c r="E257">
        <f>IF(B257=1,Inputs!$B$5,Inputs!$B$6)</f>
        <v>5</v>
      </c>
      <c r="F257">
        <f>E257*Inputs!$B$4</f>
        <v>75</v>
      </c>
      <c r="G257">
        <f t="shared" si="45"/>
        <v>12.5</v>
      </c>
      <c r="H257">
        <f t="shared" si="46"/>
        <v>12</v>
      </c>
      <c r="I257">
        <f t="shared" si="47"/>
        <v>13</v>
      </c>
      <c r="J257">
        <f t="shared" si="48"/>
        <v>0.5</v>
      </c>
      <c r="K257">
        <v>14</v>
      </c>
      <c r="L257" t="s">
        <v>200</v>
      </c>
      <c r="M257" t="str">
        <f>IF(L257="C",E257*COMBIN(Inputs!$B$4,K257),IF(L257="T",(Inputs!$B$4-K257+1)*E257^K257,IF(L257="PT",E257*(Inputs!$B$4-K257+1),IF(AND(L257="E",K257&lt;=E257),Inputs!$B$4*COMBIN(E257,K257),""))))</f>
        <v/>
      </c>
      <c r="N257" t="str">
        <f t="shared" si="49"/>
        <v/>
      </c>
      <c r="O257" t="str">
        <f t="shared" si="50"/>
        <v/>
      </c>
      <c r="P257" t="str">
        <f t="shared" si="51"/>
        <v/>
      </c>
      <c r="Q257" t="str">
        <f t="shared" si="52"/>
        <v/>
      </c>
      <c r="R257" t="str">
        <f t="shared" si="53"/>
        <v/>
      </c>
      <c r="S257" t="str">
        <f>IF(M257="","",IF(L257="C",SUMIFS(Marginal_Model!$J:$J,Marginal_Model!$A:$A,B257,Marginal_Model!$C:$C,K257),IF(L257="T",SUMIFS(Marginal_Model!$K:$K,Marginal_Model!$A:$A,B257,Marginal_Model!$C:$C,K257),IF(L257="PT",SUMIFS(Marginal_Model!$L:$L,Marginal_Model!$A:$A,B257,Marginal_Model!$C:$C,K257),SUMIFS(Marginal_Model!$M:$M,Marginal_Model!$A:$A,B257,Marginal_Model!$C:$C,K257)))))</f>
        <v/>
      </c>
      <c r="T257" t="str">
        <f t="shared" si="54"/>
        <v/>
      </c>
      <c r="U257" t="str">
        <f>IF(M257="","",Inputs!$B$7*R257+Inputs!$B$8*T257)</f>
        <v/>
      </c>
      <c r="V257" t="str">
        <f t="shared" si="55"/>
        <v/>
      </c>
      <c r="W257">
        <f>Inputs!$B$9</f>
        <v>15</v>
      </c>
      <c r="X257" t="str">
        <f t="shared" si="56"/>
        <v/>
      </c>
      <c r="Y257" t="str">
        <f t="shared" si="57"/>
        <v/>
      </c>
      <c r="Z257" t="str">
        <f t="shared" si="58"/>
        <v/>
      </c>
      <c r="AA257" t="str">
        <f>IF(M257="","",Inputs!$B$7*Z257+Inputs!$B$8*T257)</f>
        <v/>
      </c>
      <c r="AB257" t="str">
        <f t="shared" si="59"/>
        <v/>
      </c>
    </row>
    <row r="258" spans="1:28">
      <c r="A258" t="s">
        <v>204</v>
      </c>
      <c r="B258">
        <v>2</v>
      </c>
      <c r="C258">
        <v>6</v>
      </c>
      <c r="D258">
        <v>0.2</v>
      </c>
      <c r="E258">
        <f>IF(B258=1,Inputs!$B$5,Inputs!$B$6)</f>
        <v>5</v>
      </c>
      <c r="F258">
        <f>E258*Inputs!$B$4</f>
        <v>75</v>
      </c>
      <c r="G258">
        <f t="shared" ref="G258:G321" si="60">F258/C258</f>
        <v>12.5</v>
      </c>
      <c r="H258">
        <f t="shared" ref="H258:H321" si="61">ROUNDDOWN(G258,0)</f>
        <v>12</v>
      </c>
      <c r="I258">
        <f t="shared" si="47"/>
        <v>13</v>
      </c>
      <c r="J258">
        <f t="shared" si="48"/>
        <v>0.5</v>
      </c>
      <c r="K258">
        <v>15</v>
      </c>
      <c r="L258" t="s">
        <v>197</v>
      </c>
      <c r="M258">
        <f>IF(L258="C",E258*COMBIN(Inputs!$B$4,K258),IF(L258="T",(Inputs!$B$4-K258+1)*E258^K258,IF(L258="PT",E258*(Inputs!$B$4-K258+1),IF(AND(L258="E",K258&lt;=E258),Inputs!$B$4*COMBIN(E258,K258),""))))</f>
        <v>5</v>
      </c>
      <c r="N258" t="str">
        <f t="shared" ref="N258:N321" si="62">IF(OR(M258="",H258&lt;K258),"",M258*COMBIN(F258-K258,H258-K258)/COMBIN(F258,H258))</f>
        <v/>
      </c>
      <c r="O258" t="str">
        <f t="shared" si="50"/>
        <v/>
      </c>
      <c r="P258" t="e">
        <f t="shared" ref="P258:P321" si="63">IF(M258="","",IF(H258=I258,N258,(1-J258)*N258+J258*O258))</f>
        <v>#VALUE!</v>
      </c>
      <c r="Q258" t="e">
        <f t="shared" ref="Q258:Q321" si="64">IF(P258="","",1-EXP(-P258))</f>
        <v>#VALUE!</v>
      </c>
      <c r="R258" t="e">
        <f t="shared" ref="R258:R321" si="65">IF(Q258="","",-LN(Q258))</f>
        <v>#VALUE!</v>
      </c>
      <c r="S258">
        <f>IF(M258="","",IF(L258="C",SUMIFS(Marginal_Model!$J:$J,Marginal_Model!$A:$A,B258,Marginal_Model!$C:$C,K258),IF(L258="T",SUMIFS(Marginal_Model!$K:$K,Marginal_Model!$A:$A,B258,Marginal_Model!$C:$C,K258),IF(L258="PT",SUMIFS(Marginal_Model!$L:$L,Marginal_Model!$A:$A,B258,Marginal_Model!$C:$C,K258),SUMIFS(Marginal_Model!$M:$M,Marginal_Model!$A:$A,B258,Marginal_Model!$C:$C,K258)))))</f>
        <v>2.1929702536881667E-15</v>
      </c>
      <c r="T258">
        <f t="shared" ref="T258:T321" si="66">IF(S258="","",-LN(S258))</f>
        <v>33.753519489776615</v>
      </c>
      <c r="U258" t="e">
        <f>IF(M258="","",Inputs!$B$7*R258+Inputs!$B$8*T258)</f>
        <v>#VALUE!</v>
      </c>
      <c r="V258" t="e">
        <f t="shared" ref="V258:V321" si="67">IF(U258="","",EXP(-U258))</f>
        <v>#VALUE!</v>
      </c>
      <c r="W258">
        <f>Inputs!$B$9</f>
        <v>15</v>
      </c>
      <c r="X258">
        <f t="shared" ref="X258:X321" si="68">IF(OR(M258="",W258&lt;K258),"",M258*COMBIN(F258-K258,W258-K258)/COMBIN(F258,W258))</f>
        <v>2.1929702536881659E-15</v>
      </c>
      <c r="Y258">
        <f t="shared" ref="Y258:Y321" si="69">IF(X258="","",1-EXP(-X258))</f>
        <v>2.2204460492503131E-15</v>
      </c>
      <c r="Z258">
        <f t="shared" ref="Z258:Z321" si="70">IF(Y258="","",-LN(Y258))</f>
        <v>33.74106829612311</v>
      </c>
      <c r="AA258">
        <f>IF(M258="","",Inputs!$B$7*Z258+Inputs!$B$8*T258)</f>
        <v>33.743558534853811</v>
      </c>
      <c r="AB258">
        <f t="shared" ref="AB258:AB321" si="71">IF(AA258="","",EXP(-AA258))</f>
        <v>2.2149234876014103E-15</v>
      </c>
    </row>
    <row r="259" spans="1:28">
      <c r="A259" t="s">
        <v>204</v>
      </c>
      <c r="B259">
        <v>2</v>
      </c>
      <c r="C259">
        <v>6</v>
      </c>
      <c r="D259">
        <v>0.2</v>
      </c>
      <c r="E259">
        <f>IF(B259=1,Inputs!$B$5,Inputs!$B$6)</f>
        <v>5</v>
      </c>
      <c r="F259">
        <f>E259*Inputs!$B$4</f>
        <v>75</v>
      </c>
      <c r="G259">
        <f t="shared" si="60"/>
        <v>12.5</v>
      </c>
      <c r="H259">
        <f t="shared" si="61"/>
        <v>12</v>
      </c>
      <c r="I259">
        <f t="shared" si="47"/>
        <v>13</v>
      </c>
      <c r="J259">
        <f t="shared" si="48"/>
        <v>0.5</v>
      </c>
      <c r="K259">
        <v>15</v>
      </c>
      <c r="L259" t="s">
        <v>198</v>
      </c>
      <c r="M259">
        <f>IF(L259="C",E259*COMBIN(Inputs!$B$4,K259),IF(L259="T",(Inputs!$B$4-K259+1)*E259^K259,IF(L259="PT",E259*(Inputs!$B$4-K259+1),IF(AND(L259="E",K259&lt;=E259),Inputs!$B$4*COMBIN(E259,K259),""))))</f>
        <v>30517578125</v>
      </c>
      <c r="N259" t="str">
        <f t="shared" si="62"/>
        <v/>
      </c>
      <c r="O259" t="str">
        <f t="shared" si="50"/>
        <v/>
      </c>
      <c r="P259" t="e">
        <f t="shared" si="63"/>
        <v>#VALUE!</v>
      </c>
      <c r="Q259" t="e">
        <f t="shared" si="64"/>
        <v>#VALUE!</v>
      </c>
      <c r="R259" t="e">
        <f t="shared" si="65"/>
        <v>#VALUE!</v>
      </c>
      <c r="S259">
        <f>IF(M259="","",IF(L259="C",SUMIFS(Marginal_Model!$J:$J,Marginal_Model!$A:$A,B259,Marginal_Model!$C:$C,K259),IF(L259="T",SUMIFS(Marginal_Model!$K:$K,Marginal_Model!$A:$A,B259,Marginal_Model!$C:$C,K259),IF(L259="PT",SUMIFS(Marginal_Model!$L:$L,Marginal_Model!$A:$A,B259,Marginal_Model!$C:$C,K259),SUMIFS(Marginal_Model!$M:$M,Marginal_Model!$A:$A,B259,Marginal_Model!$C:$C,K259)))))</f>
        <v>2.515500388344576E-13</v>
      </c>
      <c r="T259">
        <f t="shared" si="66"/>
        <v>29.0111344635927</v>
      </c>
      <c r="U259" t="e">
        <f>IF(M259="","",Inputs!$B$7*R259+Inputs!$B$8*T259)</f>
        <v>#VALUE!</v>
      </c>
      <c r="V259" t="e">
        <f t="shared" si="67"/>
        <v>#VALUE!</v>
      </c>
      <c r="W259">
        <f>Inputs!$B$9</f>
        <v>15</v>
      </c>
      <c r="X259">
        <f t="shared" si="68"/>
        <v>1.3384828208545935E-5</v>
      </c>
      <c r="Y259">
        <f t="shared" si="69"/>
        <v>1.3384738632105098E-5</v>
      </c>
      <c r="Z259">
        <f t="shared" si="70"/>
        <v>11.221395408107893</v>
      </c>
      <c r="AA259">
        <f>IF(M259="","",Inputs!$B$7*Z259+Inputs!$B$8*T259)</f>
        <v>14.779343219204854</v>
      </c>
      <c r="AB259">
        <f t="shared" si="71"/>
        <v>3.8142819587516711E-7</v>
      </c>
    </row>
    <row r="260" spans="1:28">
      <c r="A260" t="s">
        <v>204</v>
      </c>
      <c r="B260">
        <v>2</v>
      </c>
      <c r="C260">
        <v>6</v>
      </c>
      <c r="D260">
        <v>0.2</v>
      </c>
      <c r="E260">
        <f>IF(B260=1,Inputs!$B$5,Inputs!$B$6)</f>
        <v>5</v>
      </c>
      <c r="F260">
        <f>E260*Inputs!$B$4</f>
        <v>75</v>
      </c>
      <c r="G260">
        <f t="shared" si="60"/>
        <v>12.5</v>
      </c>
      <c r="H260">
        <f t="shared" si="61"/>
        <v>12</v>
      </c>
      <c r="I260">
        <f t="shared" si="47"/>
        <v>13</v>
      </c>
      <c r="J260">
        <f t="shared" si="48"/>
        <v>0.5</v>
      </c>
      <c r="K260">
        <v>15</v>
      </c>
      <c r="L260" t="s">
        <v>199</v>
      </c>
      <c r="M260">
        <f>IF(L260="C",E260*COMBIN(Inputs!$B$4,K260),IF(L260="T",(Inputs!$B$4-K260+1)*E260^K260,IF(L260="PT",E260*(Inputs!$B$4-K260+1),IF(AND(L260="E",K260&lt;=E260),Inputs!$B$4*COMBIN(E260,K260),""))))</f>
        <v>5</v>
      </c>
      <c r="N260" t="str">
        <f t="shared" si="62"/>
        <v/>
      </c>
      <c r="O260" t="str">
        <f t="shared" si="50"/>
        <v/>
      </c>
      <c r="P260" t="e">
        <f t="shared" si="63"/>
        <v>#VALUE!</v>
      </c>
      <c r="Q260" t="e">
        <f t="shared" si="64"/>
        <v>#VALUE!</v>
      </c>
      <c r="R260" t="e">
        <f t="shared" si="65"/>
        <v>#VALUE!</v>
      </c>
      <c r="S260">
        <f>IF(M260="","",IF(L260="C",SUMIFS(Marginal_Model!$J:$J,Marginal_Model!$A:$A,B260,Marginal_Model!$C:$C,K260),IF(L260="T",SUMIFS(Marginal_Model!$K:$K,Marginal_Model!$A:$A,B260,Marginal_Model!$C:$C,K260),IF(L260="PT",SUMIFS(Marginal_Model!$L:$L,Marginal_Model!$A:$A,B260,Marginal_Model!$C:$C,K260),SUMIFS(Marginal_Model!$M:$M,Marginal_Model!$A:$A,B260,Marginal_Model!$C:$C,K260)))))</f>
        <v>4.1213958362637565E-23</v>
      </c>
      <c r="T260">
        <f t="shared" si="66"/>
        <v>51.543265237670106</v>
      </c>
      <c r="U260" t="e">
        <f>IF(M260="","",Inputs!$B$7*R260+Inputs!$B$8*T260)</f>
        <v>#VALUE!</v>
      </c>
      <c r="V260" t="e">
        <f t="shared" si="67"/>
        <v>#VALUE!</v>
      </c>
      <c r="W260">
        <f>Inputs!$B$9</f>
        <v>15</v>
      </c>
      <c r="X260">
        <f t="shared" si="68"/>
        <v>2.1929702536881659E-15</v>
      </c>
      <c r="Y260">
        <f t="shared" si="69"/>
        <v>2.2204460492503131E-15</v>
      </c>
      <c r="Z260">
        <f t="shared" si="70"/>
        <v>33.74106829612311</v>
      </c>
      <c r="AA260">
        <f>IF(M260="","",Inputs!$B$7*Z260+Inputs!$B$8*T260)</f>
        <v>37.301507684432508</v>
      </c>
      <c r="AB260">
        <f t="shared" si="71"/>
        <v>6.3119136077592845E-17</v>
      </c>
    </row>
    <row r="261" spans="1:28">
      <c r="A261" t="s">
        <v>204</v>
      </c>
      <c r="B261">
        <v>2</v>
      </c>
      <c r="C261">
        <v>6</v>
      </c>
      <c r="D261">
        <v>0.2</v>
      </c>
      <c r="E261">
        <f>IF(B261=1,Inputs!$B$5,Inputs!$B$6)</f>
        <v>5</v>
      </c>
      <c r="F261">
        <f>E261*Inputs!$B$4</f>
        <v>75</v>
      </c>
      <c r="G261">
        <f t="shared" si="60"/>
        <v>12.5</v>
      </c>
      <c r="H261">
        <f t="shared" si="61"/>
        <v>12</v>
      </c>
      <c r="I261">
        <f t="shared" si="47"/>
        <v>13</v>
      </c>
      <c r="J261">
        <f t="shared" si="48"/>
        <v>0.5</v>
      </c>
      <c r="K261">
        <v>15</v>
      </c>
      <c r="L261" t="s">
        <v>200</v>
      </c>
      <c r="M261" t="str">
        <f>IF(L261="C",E261*COMBIN(Inputs!$B$4,K261),IF(L261="T",(Inputs!$B$4-K261+1)*E261^K261,IF(L261="PT",E261*(Inputs!$B$4-K261+1),IF(AND(L261="E",K261&lt;=E261),Inputs!$B$4*COMBIN(E261,K261),""))))</f>
        <v/>
      </c>
      <c r="N261" t="str">
        <f t="shared" si="62"/>
        <v/>
      </c>
      <c r="O261" t="str">
        <f t="shared" si="50"/>
        <v/>
      </c>
      <c r="P261" t="str">
        <f t="shared" si="63"/>
        <v/>
      </c>
      <c r="Q261" t="str">
        <f t="shared" si="64"/>
        <v/>
      </c>
      <c r="R261" t="str">
        <f t="shared" si="65"/>
        <v/>
      </c>
      <c r="S261" t="str">
        <f>IF(M261="","",IF(L261="C",SUMIFS(Marginal_Model!$J:$J,Marginal_Model!$A:$A,B261,Marginal_Model!$C:$C,K261),IF(L261="T",SUMIFS(Marginal_Model!$K:$K,Marginal_Model!$A:$A,B261,Marginal_Model!$C:$C,K261),IF(L261="PT",SUMIFS(Marginal_Model!$L:$L,Marginal_Model!$A:$A,B261,Marginal_Model!$C:$C,K261),SUMIFS(Marginal_Model!$M:$M,Marginal_Model!$A:$A,B261,Marginal_Model!$C:$C,K261)))))</f>
        <v/>
      </c>
      <c r="T261" t="str">
        <f t="shared" si="66"/>
        <v/>
      </c>
      <c r="U261" t="str">
        <f>IF(M261="","",Inputs!$B$7*R261+Inputs!$B$8*T261)</f>
        <v/>
      </c>
      <c r="V261" t="str">
        <f t="shared" si="67"/>
        <v/>
      </c>
      <c r="W261">
        <f>Inputs!$B$9</f>
        <v>15</v>
      </c>
      <c r="X261" t="str">
        <f t="shared" si="68"/>
        <v/>
      </c>
      <c r="Y261" t="str">
        <f t="shared" si="69"/>
        <v/>
      </c>
      <c r="Z261" t="str">
        <f t="shared" si="70"/>
        <v/>
      </c>
      <c r="AA261" t="str">
        <f>IF(M261="","",Inputs!$B$7*Z261+Inputs!$B$8*T261)</f>
        <v/>
      </c>
      <c r="AB261" t="str">
        <f t="shared" si="71"/>
        <v/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2"/>
  <sheetViews>
    <sheetView workbookViewId="0"/>
  </sheetViews>
  <sheetFormatPr defaultRowHeight="14.15"/>
  <cols>
    <col min="1" max="1" width="8" customWidth="1"/>
    <col min="2" max="13" width="13" customWidth="1"/>
  </cols>
  <sheetData>
    <row r="1" spans="1:13">
      <c r="A1" s="29" t="s">
        <v>205</v>
      </c>
    </row>
    <row r="2" spans="1:13" ht="24" customHeight="1">
      <c r="A2" s="46" t="s">
        <v>206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spans="1:13">
      <c r="A4" s="50" t="s">
        <v>207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>
      <c r="A5" s="35" t="s">
        <v>91</v>
      </c>
      <c r="B5" s="35" t="s">
        <v>208</v>
      </c>
      <c r="C5" s="35" t="s">
        <v>209</v>
      </c>
      <c r="D5" s="35" t="s">
        <v>210</v>
      </c>
      <c r="E5" s="35" t="s">
        <v>211</v>
      </c>
      <c r="F5" s="35" t="s">
        <v>212</v>
      </c>
      <c r="G5" s="35" t="s">
        <v>213</v>
      </c>
      <c r="H5" s="35" t="s">
        <v>214</v>
      </c>
      <c r="I5" s="35" t="s">
        <v>215</v>
      </c>
      <c r="J5" s="35" t="s">
        <v>216</v>
      </c>
      <c r="K5" s="35" t="s">
        <v>217</v>
      </c>
      <c r="L5" s="35" t="s">
        <v>218</v>
      </c>
      <c r="M5" s="35" t="s">
        <v>219</v>
      </c>
    </row>
    <row r="6" spans="1:13">
      <c r="A6" s="37">
        <v>3</v>
      </c>
      <c r="B6" s="36">
        <f>IFERROR(SUMIFS(PC_Model!$Z$2:$Z$261,PC_Model!$K$2:$K$261,$A6,PC_Model!$L$2:$L$261,"C",PC_Model!$Z$2:$Z$261,"&gt;=0")/COUNTIFS(PC_Model!$K$2:$K$261,$A6,PC_Model!$L$2:$L$261,"C",PC_Model!$Z$2:$Z$261,"&gt;=0"),"")</f>
        <v>8.803007007923676E-8</v>
      </c>
      <c r="C6" s="36">
        <f>IFERROR(SUMIFS(PC_Model!$R$2:$R$261,PC_Model!$K$2:$K$261,$A6,PC_Model!$L$2:$L$261,"C",PC_Model!$R$2:$R$261,"&gt;=0")/COUNTIFS(PC_Model!$K$2:$K$261,$A6,PC_Model!$L$2:$L$261,"C",PC_Model!$R$2:$R$261,"&gt;=0"),"")</f>
        <v>3.9781377495771964E-5</v>
      </c>
      <c r="D6" s="36">
        <f t="shared" ref="D6:D18" si="0">IF(OR(B6="",C6=""),"",C6-B6)</f>
        <v>3.9693347425692728E-5</v>
      </c>
      <c r="E6" s="36">
        <f>IFERROR(SUMIFS(PC_Model!$Z$2:$Z$261,PC_Model!$K$2:$K$261,$A6,PC_Model!$L$2:$L$261,"T",PC_Model!$Z$2:$Z$261,"&gt;=0")/COUNTIFS(PC_Model!$K$2:$K$261,$A6,PC_Model!$L$2:$L$261,"T",PC_Model!$Z$2:$Z$261,"&gt;=0"),"")</f>
        <v>1.6439345984300596E-5</v>
      </c>
      <c r="F6" s="36">
        <f>IFERROR(SUMIFS(PC_Model!$R$2:$R$261,PC_Model!$K$2:$K$261,$A6,PC_Model!$L$2:$L$261,"T",PC_Model!$R$2:$R$261,"&gt;=0")/COUNTIFS(PC_Model!$K$2:$K$261,$A6,PC_Model!$L$2:$L$261,"T",PC_Model!$R$2:$R$261,"&gt;=0"),"")</f>
        <v>4.609346664631758E-4</v>
      </c>
      <c r="G6" s="36">
        <f t="shared" ref="G6:G18" si="1">IF(OR(E6="",F6=""),"",F6-E6)</f>
        <v>4.444953204788752E-4</v>
      </c>
      <c r="H6" s="36">
        <f>IFERROR(SUMIFS(PC_Model!$Z$2:$Z$261,PC_Model!$K$2:$K$261,$A6,PC_Model!$L$2:$L$261,"PT",PC_Model!$Z$2:$Z$261,"&gt;=0")/COUNTIFS(PC_Model!$K$2:$K$261,$A6,PC_Model!$L$2:$L$261,"PT",PC_Model!$Z$2:$Z$261,"&gt;=0"),"")</f>
        <v>0.83156579683024245</v>
      </c>
      <c r="I6" s="36">
        <f>IFERROR(SUMIFS(PC_Model!$R$2:$R$261,PC_Model!$K$2:$K$261,$A6,PC_Model!$L$2:$L$261,"PT",PC_Model!$R$2:$R$261,"&gt;=0")/COUNTIFS(PC_Model!$K$2:$K$261,$A6,PC_Model!$L$2:$L$261,"PT",PC_Model!$R$2:$R$261,"&gt;=0"),"")</f>
        <v>0.69199720592137992</v>
      </c>
      <c r="J6" s="36">
        <f t="shared" ref="J6:J18" si="2">IF(OR(H6="",I6=""),"",I6-H6)</f>
        <v>-0.13956859090886253</v>
      </c>
      <c r="K6" s="36">
        <f>IFERROR(SUMIFS(PC_Model!$Z$2:$Z$261,PC_Model!$K$2:$K$261,$A6,PC_Model!$L$2:$L$261,"E",PC_Model!$Z$2:$Z$261,"&gt;=0")/COUNTIFS(PC_Model!$K$2:$K$261,$A6,PC_Model!$L$2:$L$261,"E",PC_Model!$Z$2:$Z$261,"&gt;=0"),"")</f>
        <v>0.54005182666481544</v>
      </c>
      <c r="L6" s="36">
        <f>IFERROR(SUMIFS(PC_Model!$R$2:$R$261,PC_Model!$K$2:$K$261,$A6,PC_Model!$L$2:$L$261,"E",PC_Model!$R$2:$R$261,"&gt;=0")/COUNTIFS(PC_Model!$K$2:$K$261,$A6,PC_Model!$L$2:$L$261,"E",PC_Model!$R$2:$R$261,"&gt;=0"),"")</f>
        <v>0.40828571979498662</v>
      </c>
      <c r="M6" s="36">
        <f t="shared" ref="M6:M18" si="3">IF(OR(K6="",L6=""),"",L6-K6)</f>
        <v>-0.13176610686982881</v>
      </c>
    </row>
    <row r="7" spans="1:13">
      <c r="A7" s="37">
        <v>4</v>
      </c>
      <c r="B7" s="36">
        <f>IFERROR(SUMIFS(PC_Model!$Z$2:$Z$261,PC_Model!$K$2:$K$261,$A7,PC_Model!$L$2:$L$261,"C",PC_Model!$Z$2:$Z$261,"&gt;=0")/COUNTIFS(PC_Model!$K$2:$K$261,$A7,PC_Model!$L$2:$L$261,"C",PC_Model!$Z$2:$Z$261,"&gt;=0"),"")</f>
        <v>1.8781110710475347E-4</v>
      </c>
      <c r="C7" s="36">
        <f>IFERROR(SUMIFS(PC_Model!$R$2:$R$261,PC_Model!$K$2:$K$261,$A7,PC_Model!$L$2:$L$261,"C",PC_Model!$R$2:$R$261,"&gt;=0")/COUNTIFS(PC_Model!$K$2:$K$261,$A7,PC_Model!$L$2:$L$261,"C",PC_Model!$R$2:$R$261,"&gt;=0"),"")</f>
        <v>6.9018280007242024E-3</v>
      </c>
      <c r="D7" s="36">
        <f t="shared" si="0"/>
        <v>6.714016893619449E-3</v>
      </c>
      <c r="E7" s="36">
        <f>IFERROR(SUMIFS(PC_Model!$Z$2:$Z$261,PC_Model!$K$2:$K$261,$A7,PC_Model!$L$2:$L$261,"T",PC_Model!$Z$2:$Z$261,"&gt;=0")/COUNTIFS(PC_Model!$K$2:$K$261,$A7,PC_Model!$L$2:$L$261,"T",PC_Model!$Z$2:$Z$261,"&gt;=0"),"")</f>
        <v>1.9848844881270106E-4</v>
      </c>
      <c r="F7" s="36">
        <f>IFERROR(SUMIFS(PC_Model!$R$2:$R$261,PC_Model!$K$2:$K$261,$A7,PC_Model!$L$2:$L$261,"T",PC_Model!$R$2:$R$261,"&gt;=0")/COUNTIFS(PC_Model!$K$2:$K$261,$A7,PC_Model!$L$2:$L$261,"T",PC_Model!$R$2:$R$261,"&gt;=0"),"")</f>
        <v>4.9222532119698979E-3</v>
      </c>
      <c r="G7" s="36">
        <f t="shared" si="1"/>
        <v>4.7237647631571972E-3</v>
      </c>
      <c r="H7" s="36">
        <f>IFERROR(SUMIFS(PC_Model!$Z$2:$Z$261,PC_Model!$K$2:$K$261,$A7,PC_Model!$L$2:$L$261,"PT",PC_Model!$Z$2:$Z$261,"&gt;=0")/COUNTIFS(PC_Model!$K$2:$K$261,$A7,PC_Model!$L$2:$L$261,"PT",PC_Model!$Z$2:$Z$261,"&gt;=0"),"")</f>
        <v>2.3365336993118029</v>
      </c>
      <c r="I7" s="36">
        <f>IFERROR(SUMIFS(PC_Model!$R$2:$R$261,PC_Model!$K$2:$K$261,$A7,PC_Model!$L$2:$L$261,"PT",PC_Model!$R$2:$R$261,"&gt;=0")/COUNTIFS(PC_Model!$K$2:$K$261,$A7,PC_Model!$L$2:$L$261,"PT",PC_Model!$R$2:$R$261,"&gt;=0"),"")</f>
        <v>1.8739244517174805</v>
      </c>
      <c r="J7" s="36">
        <f t="shared" si="2"/>
        <v>-0.46260924759432243</v>
      </c>
      <c r="K7" s="36">
        <f>IFERROR(SUMIFS(PC_Model!$Z$2:$Z$261,PC_Model!$K$2:$K$261,$A7,PC_Model!$L$2:$L$261,"E",PC_Model!$Z$2:$Z$261,"&gt;=0")/COUNTIFS(PC_Model!$K$2:$K$261,$A7,PC_Model!$L$2:$L$261,"E",PC_Model!$Z$2:$Z$261,"&gt;=0"),"")</f>
        <v>2.921188190501939</v>
      </c>
      <c r="L7" s="36">
        <f>IFERROR(SUMIFS(PC_Model!$R$2:$R$261,PC_Model!$K$2:$K$261,$A7,PC_Model!$L$2:$L$261,"E",PC_Model!$R$2:$R$261,"&gt;=0")/COUNTIFS(PC_Model!$K$2:$K$261,$A7,PC_Model!$L$2:$L$261,"E",PC_Model!$R$2:$R$261,"&gt;=0"),"")</f>
        <v>2.3107721348935244</v>
      </c>
      <c r="M7" s="36">
        <f t="shared" si="3"/>
        <v>-0.61041605560841461</v>
      </c>
    </row>
    <row r="8" spans="1:13">
      <c r="A8" s="37">
        <v>5</v>
      </c>
      <c r="B8" s="36">
        <f>IFERROR(SUMIFS(PC_Model!$Z$2:$Z$261,PC_Model!$K$2:$K$261,$A8,PC_Model!$L$2:$L$261,"C",PC_Model!$Z$2:$Z$261,"&gt;=0")/COUNTIFS(PC_Model!$K$2:$K$261,$A8,PC_Model!$L$2:$L$261,"C",PC_Model!$Z$2:$Z$261,"&gt;=0"),"")</f>
        <v>3.128523381198519E-2</v>
      </c>
      <c r="C8" s="36">
        <f>IFERROR(SUMIFS(PC_Model!$R$2:$R$261,PC_Model!$K$2:$K$261,$A8,PC_Model!$L$2:$L$261,"C",PC_Model!$R$2:$R$261,"&gt;=0")/COUNTIFS(PC_Model!$K$2:$K$261,$A8,PC_Model!$L$2:$L$261,"C",PC_Model!$R$2:$R$261,"&gt;=0"),"")</f>
        <v>0.11928379205754554</v>
      </c>
      <c r="D8" s="36">
        <f t="shared" si="0"/>
        <v>8.7998558245560354E-2</v>
      </c>
      <c r="E8" s="36">
        <f>IFERROR(SUMIFS(PC_Model!$Z$2:$Z$261,PC_Model!$K$2:$K$261,$A8,PC_Model!$L$2:$L$261,"T",PC_Model!$Z$2:$Z$261,"&gt;=0")/COUNTIFS(PC_Model!$K$2:$K$261,$A8,PC_Model!$L$2:$L$261,"T",PC_Model!$Z$2:$Z$261,"&gt;=0"),"")</f>
        <v>2.23868586412813E-3</v>
      </c>
      <c r="F8" s="36">
        <f>IFERROR(SUMIFS(PC_Model!$R$2:$R$261,PC_Model!$K$2:$K$261,$A8,PC_Model!$L$2:$L$261,"T",PC_Model!$R$2:$R$261,"&gt;=0")/COUNTIFS(PC_Model!$K$2:$K$261,$A8,PC_Model!$L$2:$L$261,"T",PC_Model!$R$2:$R$261,"&gt;=0"),"")</f>
        <v>2.7882533042441381E-2</v>
      </c>
      <c r="G8" s="36">
        <f t="shared" si="1"/>
        <v>2.564384717831325E-2</v>
      </c>
      <c r="H8" s="36">
        <f>IFERROR(SUMIFS(PC_Model!$Z$2:$Z$261,PC_Model!$K$2:$K$261,$A8,PC_Model!$L$2:$L$261,"PT",PC_Model!$Z$2:$Z$261,"&gt;=0")/COUNTIFS(PC_Model!$K$2:$K$261,$A8,PC_Model!$L$2:$L$261,"PT",PC_Model!$Z$2:$Z$261,"&gt;=0"),"")</f>
        <v>4.1018301231961329</v>
      </c>
      <c r="I8" s="36">
        <f>IFERROR(SUMIFS(PC_Model!$R$2:$R$261,PC_Model!$K$2:$K$261,$A8,PC_Model!$L$2:$L$261,"PT",PC_Model!$R$2:$R$261,"&gt;=0")/COUNTIFS(PC_Model!$K$2:$K$261,$A8,PC_Model!$L$2:$L$261,"PT",PC_Model!$R$2:$R$261,"&gt;=0"),"")</f>
        <v>3.3246017645780719</v>
      </c>
      <c r="J8" s="36">
        <f t="shared" si="2"/>
        <v>-0.77722835861806105</v>
      </c>
      <c r="K8" s="36">
        <f>IFERROR(SUMIFS(PC_Model!$Z$2:$Z$261,PC_Model!$K$2:$K$261,$A8,PC_Model!$L$2:$L$261,"E",PC_Model!$Z$2:$Z$261,"&gt;=0")/COUNTIFS(PC_Model!$K$2:$K$261,$A8,PC_Model!$L$2:$L$261,"E",PC_Model!$Z$2:$Z$261,"&gt;=0"),"")</f>
        <v>5.9497542900981548</v>
      </c>
      <c r="L8" s="36">
        <f>IFERROR(SUMIFS(PC_Model!$R$2:$R$261,PC_Model!$K$2:$K$261,$A8,PC_Model!$L$2:$L$261,"E",PC_Model!$R$2:$R$261,"&gt;=0")/COUNTIFS(PC_Model!$K$2:$K$261,$A8,PC_Model!$L$2:$L$261,"E",PC_Model!$R$2:$R$261,"&gt;=0"),"")</f>
        <v>6.4797637797445429</v>
      </c>
      <c r="M8" s="36">
        <f t="shared" si="3"/>
        <v>0.53000948964638805</v>
      </c>
    </row>
    <row r="9" spans="1:13">
      <c r="A9" s="37">
        <v>6</v>
      </c>
      <c r="B9" s="36">
        <f>IFERROR(SUMIFS(PC_Model!$Z$2:$Z$261,PC_Model!$K$2:$K$261,$A9,PC_Model!$L$2:$L$261,"C",PC_Model!$Z$2:$Z$261,"&gt;=0")/COUNTIFS(PC_Model!$K$2:$K$261,$A9,PC_Model!$L$2:$L$261,"C",PC_Model!$Z$2:$Z$261,"&gt;=0"),"")</f>
        <v>0.39500075895740994</v>
      </c>
      <c r="C9" s="36">
        <f>IFERROR(SUMIFS(PC_Model!$R$2:$R$261,PC_Model!$K$2:$K$261,$A9,PC_Model!$L$2:$L$261,"C",PC_Model!$R$2:$R$261,"&gt;=0")/COUNTIFS(PC_Model!$K$2:$K$261,$A9,PC_Model!$L$2:$L$261,"C",PC_Model!$R$2:$R$261,"&gt;=0"),"")</f>
        <v>0.5606794550868045</v>
      </c>
      <c r="D9" s="36">
        <f t="shared" si="0"/>
        <v>0.16567869612939456</v>
      </c>
      <c r="E9" s="36">
        <f>IFERROR(SUMIFS(PC_Model!$Z$2:$Z$261,PC_Model!$K$2:$K$261,$A9,PC_Model!$L$2:$L$261,"T",PC_Model!$Z$2:$Z$261,"&gt;=0")/COUNTIFS(PC_Model!$K$2:$K$261,$A9,PC_Model!$L$2:$L$261,"T",PC_Model!$Z$2:$Z$261,"&gt;=0"),"")</f>
        <v>1.8394168628285485E-2</v>
      </c>
      <c r="F9" s="36">
        <f>IFERROR(SUMIFS(PC_Model!$R$2:$R$261,PC_Model!$K$2:$K$261,$A9,PC_Model!$L$2:$L$261,"T",PC_Model!$R$2:$R$261,"&gt;=0")/COUNTIFS(PC_Model!$K$2:$K$261,$A9,PC_Model!$L$2:$L$261,"T",PC_Model!$R$2:$R$261,"&gt;=0"),"")</f>
        <v>9.6478746900988357E-2</v>
      </c>
      <c r="G9" s="36">
        <f t="shared" si="1"/>
        <v>7.8084578272702876E-2</v>
      </c>
      <c r="H9" s="36">
        <f>IFERROR(SUMIFS(PC_Model!$Z$2:$Z$261,PC_Model!$K$2:$K$261,$A9,PC_Model!$L$2:$L$261,"PT",PC_Model!$Z$2:$Z$261,"&gt;=0")/COUNTIFS(PC_Model!$K$2:$K$261,$A9,PC_Model!$L$2:$L$261,"PT",PC_Model!$Z$2:$Z$261,"&gt;=0"),"")</f>
        <v>5.9906452748971519</v>
      </c>
      <c r="I9" s="36">
        <f>IFERROR(SUMIFS(PC_Model!$R$2:$R$261,PC_Model!$K$2:$K$261,$A9,PC_Model!$L$2:$L$261,"PT",PC_Model!$R$2:$R$261,"&gt;=0")/COUNTIFS(PC_Model!$K$2:$K$261,$A9,PC_Model!$L$2:$L$261,"PT",PC_Model!$R$2:$R$261,"&gt;=0"),"")</f>
        <v>4.9403707160536481</v>
      </c>
      <c r="J9" s="36">
        <f t="shared" si="2"/>
        <v>-1.0502745588435038</v>
      </c>
      <c r="K9" s="36" t="str">
        <f>IFERROR(SUMIFS(PC_Model!$Z$2:$Z$261,PC_Model!$K$2:$K$261,$A9,PC_Model!$L$2:$L$261,"E",PC_Model!$Z$2:$Z$261,"&gt;=0")/COUNTIFS(PC_Model!$K$2:$K$261,$A9,PC_Model!$L$2:$L$261,"E",PC_Model!$Z$2:$Z$261,"&gt;=0"),"")</f>
        <v/>
      </c>
      <c r="L9" s="36" t="str">
        <f>IFERROR(SUMIFS(PC_Model!$R$2:$R$261,PC_Model!$K$2:$K$261,$A9,PC_Model!$L$2:$L$261,"E",PC_Model!$R$2:$R$261,"&gt;=0")/COUNTIFS(PC_Model!$K$2:$K$261,$A9,PC_Model!$L$2:$L$261,"E",PC_Model!$R$2:$R$261,"&gt;=0"),"")</f>
        <v/>
      </c>
      <c r="M9" s="36" t="str">
        <f t="shared" si="3"/>
        <v/>
      </c>
    </row>
    <row r="10" spans="1:13">
      <c r="A10" s="37">
        <v>7</v>
      </c>
      <c r="B10" s="36">
        <f>IFERROR(SUMIFS(PC_Model!$Z$2:$Z$261,PC_Model!$K$2:$K$261,$A10,PC_Model!$L$2:$L$261,"C",PC_Model!$Z$2:$Z$261,"&gt;=0")/COUNTIFS(PC_Model!$K$2:$K$261,$A10,PC_Model!$L$2:$L$261,"C",PC_Model!$Z$2:$Z$261,"&gt;=0"),"")</f>
        <v>1.5568383353409512</v>
      </c>
      <c r="C10" s="36">
        <f>IFERROR(SUMIFS(PC_Model!$R$2:$R$261,PC_Model!$K$2:$K$261,$A10,PC_Model!$L$2:$L$261,"C",PC_Model!$R$2:$R$261,"&gt;=0")/COUNTIFS(PC_Model!$K$2:$K$261,$A10,PC_Model!$L$2:$L$261,"C",PC_Model!$R$2:$R$261,"&gt;=0"),"")</f>
        <v>1.4554083132076658</v>
      </c>
      <c r="D10" s="36">
        <f t="shared" si="0"/>
        <v>-0.10143002213328534</v>
      </c>
      <c r="E10" s="36">
        <f>IFERROR(SUMIFS(PC_Model!$Z$2:$Z$261,PC_Model!$K$2:$K$261,$A10,PC_Model!$L$2:$L$261,"T",PC_Model!$Z$2:$Z$261,"&gt;=0")/COUNTIFS(PC_Model!$K$2:$K$261,$A10,PC_Model!$L$2:$L$261,"T",PC_Model!$Z$2:$Z$261,"&gt;=0"),"")</f>
        <v>9.6936089670463549E-2</v>
      </c>
      <c r="F10" s="36">
        <f>IFERROR(SUMIFS(PC_Model!$R$2:$R$261,PC_Model!$K$2:$K$261,$A10,PC_Model!$L$2:$L$261,"T",PC_Model!$R$2:$R$261,"&gt;=0")/COUNTIFS(PC_Model!$K$2:$K$261,$A10,PC_Model!$L$2:$L$261,"T",PC_Model!$R$2:$R$261,"&gt;=0"),"")</f>
        <v>0.24457271135405745</v>
      </c>
      <c r="G10" s="36">
        <f t="shared" si="1"/>
        <v>0.1476366216835939</v>
      </c>
      <c r="H10" s="36">
        <f>IFERROR(SUMIFS(PC_Model!$Z$2:$Z$261,PC_Model!$K$2:$K$261,$A10,PC_Model!$L$2:$L$261,"PT",PC_Model!$Z$2:$Z$261,"&gt;=0")/COUNTIFS(PC_Model!$K$2:$K$261,$A10,PC_Model!$L$2:$L$261,"PT",PC_Model!$Z$2:$Z$261,"&gt;=0"),"")</f>
        <v>7.9845755600257009</v>
      </c>
      <c r="I10" s="36">
        <f>IFERROR(SUMIFS(PC_Model!$R$2:$R$261,PC_Model!$K$2:$K$261,$A10,PC_Model!$L$2:$L$261,"PT",PC_Model!$R$2:$R$261,"&gt;=0")/COUNTIFS(PC_Model!$K$2:$K$261,$A10,PC_Model!$L$2:$L$261,"PT",PC_Model!$R$2:$R$261,"&gt;=0"),"")</f>
        <v>6.681789971024763</v>
      </c>
      <c r="J10" s="36">
        <f t="shared" si="2"/>
        <v>-1.3027855890009379</v>
      </c>
      <c r="K10" s="36" t="str">
        <f>IFERROR(SUMIFS(PC_Model!$Z$2:$Z$261,PC_Model!$K$2:$K$261,$A10,PC_Model!$L$2:$L$261,"E",PC_Model!$Z$2:$Z$261,"&gt;=0")/COUNTIFS(PC_Model!$K$2:$K$261,$A10,PC_Model!$L$2:$L$261,"E",PC_Model!$Z$2:$Z$261,"&gt;=0"),"")</f>
        <v/>
      </c>
      <c r="L10" s="36" t="str">
        <f>IFERROR(SUMIFS(PC_Model!$R$2:$R$261,PC_Model!$K$2:$K$261,$A10,PC_Model!$L$2:$L$261,"E",PC_Model!$R$2:$R$261,"&gt;=0")/COUNTIFS(PC_Model!$K$2:$K$261,$A10,PC_Model!$L$2:$L$261,"E",PC_Model!$R$2:$R$261,"&gt;=0"),"")</f>
        <v/>
      </c>
      <c r="M10" s="36" t="str">
        <f t="shared" si="3"/>
        <v/>
      </c>
    </row>
    <row r="11" spans="1:13">
      <c r="A11" s="37">
        <v>8</v>
      </c>
      <c r="B11" s="36">
        <f>IFERROR(SUMIFS(PC_Model!$Z$2:$Z$261,PC_Model!$K$2:$K$261,$A11,PC_Model!$L$2:$L$261,"C",PC_Model!$Z$2:$Z$261,"&gt;=0")/COUNTIFS(PC_Model!$K$2:$K$261,$A11,PC_Model!$L$2:$L$261,"C",PC_Model!$Z$2:$Z$261,"&gt;=0"),"")</f>
        <v>3.4243887993746354</v>
      </c>
      <c r="C11" s="36">
        <f>IFERROR(SUMIFS(PC_Model!$R$2:$R$261,PC_Model!$K$2:$K$261,$A11,PC_Model!$L$2:$L$261,"C",PC_Model!$R$2:$R$261,"&gt;=0")/COUNTIFS(PC_Model!$K$2:$K$261,$A11,PC_Model!$L$2:$L$261,"C",PC_Model!$R$2:$R$261,"&gt;=0"),"")</f>
        <v>2.777062940985386</v>
      </c>
      <c r="D11" s="36">
        <f t="shared" si="0"/>
        <v>-0.64732585838924939</v>
      </c>
      <c r="E11" s="36">
        <f>IFERROR(SUMIFS(PC_Model!$Z$2:$Z$261,PC_Model!$K$2:$K$261,$A11,PC_Model!$L$2:$L$261,"T",PC_Model!$Z$2:$Z$261,"&gt;=0")/COUNTIFS(PC_Model!$K$2:$K$261,$A11,PC_Model!$L$2:$L$261,"T",PC_Model!$Z$2:$Z$261,"&gt;=0"),"")</f>
        <v>0.33153300819164411</v>
      </c>
      <c r="F11" s="36">
        <f>IFERROR(SUMIFS(PC_Model!$R$2:$R$261,PC_Model!$K$2:$K$261,$A11,PC_Model!$L$2:$L$261,"T",PC_Model!$R$2:$R$261,"&gt;=0")/COUNTIFS(PC_Model!$K$2:$K$261,$A11,PC_Model!$L$2:$L$261,"T",PC_Model!$R$2:$R$261,"&gt;=0"),"")</f>
        <v>0.5112280613201261</v>
      </c>
      <c r="G11" s="36">
        <f t="shared" si="1"/>
        <v>0.179695053128482</v>
      </c>
      <c r="H11" s="36">
        <f>IFERROR(SUMIFS(PC_Model!$Z$2:$Z$261,PC_Model!$K$2:$K$261,$A11,PC_Model!$L$2:$L$261,"PT",PC_Model!$Z$2:$Z$261,"&gt;=0")/COUNTIFS(PC_Model!$K$2:$K$261,$A11,PC_Model!$L$2:$L$261,"PT",PC_Model!$Z$2:$Z$261,"&gt;=0"),"")</f>
        <v>10.092713360034342</v>
      </c>
      <c r="I11" s="36">
        <f>IFERROR(SUMIFS(PC_Model!$R$2:$R$261,PC_Model!$K$2:$K$261,$A11,PC_Model!$L$2:$L$261,"PT",PC_Model!$R$2:$R$261,"&gt;=0")/COUNTIFS(PC_Model!$K$2:$K$261,$A11,PC_Model!$L$2:$L$261,"PT",PC_Model!$R$2:$R$261,"&gt;=0"),"")</f>
        <v>8.5381140800244335</v>
      </c>
      <c r="J11" s="36">
        <f t="shared" si="2"/>
        <v>-1.5545992800099082</v>
      </c>
      <c r="K11" s="36" t="str">
        <f>IFERROR(SUMIFS(PC_Model!$Z$2:$Z$261,PC_Model!$K$2:$K$261,$A11,PC_Model!$L$2:$L$261,"E",PC_Model!$Z$2:$Z$261,"&gt;=0")/COUNTIFS(PC_Model!$K$2:$K$261,$A11,PC_Model!$L$2:$L$261,"E",PC_Model!$Z$2:$Z$261,"&gt;=0"),"")</f>
        <v/>
      </c>
      <c r="L11" s="36" t="str">
        <f>IFERROR(SUMIFS(PC_Model!$R$2:$R$261,PC_Model!$K$2:$K$261,$A11,PC_Model!$L$2:$L$261,"E",PC_Model!$R$2:$R$261,"&gt;=0")/COUNTIFS(PC_Model!$K$2:$K$261,$A11,PC_Model!$L$2:$L$261,"E",PC_Model!$R$2:$R$261,"&gt;=0"),"")</f>
        <v/>
      </c>
      <c r="M11" s="36" t="str">
        <f t="shared" si="3"/>
        <v/>
      </c>
    </row>
    <row r="12" spans="1:13">
      <c r="A12" s="37">
        <v>9</v>
      </c>
      <c r="B12" s="36">
        <f>IFERROR(SUMIFS(PC_Model!$Z$2:$Z$261,PC_Model!$K$2:$K$261,$A12,PC_Model!$L$2:$L$261,"C",PC_Model!$Z$2:$Z$261,"&gt;=0")/COUNTIFS(PC_Model!$K$2:$K$261,$A12,PC_Model!$L$2:$L$261,"C",PC_Model!$Z$2:$Z$261,"&gt;=0"),"")</f>
        <v>5.7628798282320934</v>
      </c>
      <c r="C12" s="36">
        <f>IFERROR(SUMIFS(PC_Model!$R$2:$R$261,PC_Model!$K$2:$K$261,$A12,PC_Model!$L$2:$L$261,"C",PC_Model!$R$2:$R$261,"&gt;=0")/COUNTIFS(PC_Model!$K$2:$K$261,$A12,PC_Model!$L$2:$L$261,"C",PC_Model!$R$2:$R$261,"&gt;=0"),"")</f>
        <v>4.5564357920070879</v>
      </c>
      <c r="D12" s="36">
        <f t="shared" si="0"/>
        <v>-1.2064440362250055</v>
      </c>
      <c r="E12" s="36">
        <f>IFERROR(SUMIFS(PC_Model!$Z$2:$Z$261,PC_Model!$K$2:$K$261,$A12,PC_Model!$L$2:$L$261,"T",PC_Model!$Z$2:$Z$261,"&gt;=0")/COUNTIFS(PC_Model!$K$2:$K$261,$A12,PC_Model!$L$2:$L$261,"T",PC_Model!$Z$2:$Z$261,"&gt;=0"),"")</f>
        <v>0.80930699199455902</v>
      </c>
      <c r="F12" s="36">
        <f>IFERROR(SUMIFS(PC_Model!$R$2:$R$261,PC_Model!$K$2:$K$261,$A12,PC_Model!$L$2:$L$261,"T",PC_Model!$R$2:$R$261,"&gt;=0")/COUNTIFS(PC_Model!$K$2:$K$261,$A12,PC_Model!$L$2:$L$261,"T",PC_Model!$R$2:$R$261,"&gt;=0"),"")</f>
        <v>0.92827724652820653</v>
      </c>
      <c r="G12" s="36">
        <f t="shared" si="1"/>
        <v>0.11897025453364751</v>
      </c>
      <c r="H12" s="36">
        <f>IFERROR(SUMIFS(PC_Model!$Z$2:$Z$261,PC_Model!$K$2:$K$261,$A12,PC_Model!$L$2:$L$261,"PT",PC_Model!$Z$2:$Z$261,"&gt;=0")/COUNTIFS(PC_Model!$K$2:$K$261,$A12,PC_Model!$L$2:$L$261,"PT",PC_Model!$Z$2:$Z$261,"&gt;=0"),"")</f>
        <v>12.332933809888649</v>
      </c>
      <c r="I12" s="36">
        <f>IFERROR(SUMIFS(PC_Model!$R$2:$R$261,PC_Model!$K$2:$K$261,$A12,PC_Model!$L$2:$L$261,"PT",PC_Model!$R$2:$R$261,"&gt;=0")/COUNTIFS(PC_Model!$K$2:$K$261,$A12,PC_Model!$L$2:$L$261,"PT",PC_Model!$R$2:$R$261,"&gt;=0"),"")</f>
        <v>10.515552848691183</v>
      </c>
      <c r="J12" s="36">
        <f t="shared" si="2"/>
        <v>-1.8173809611974665</v>
      </c>
      <c r="K12" s="36" t="str">
        <f>IFERROR(SUMIFS(PC_Model!$Z$2:$Z$261,PC_Model!$K$2:$K$261,$A12,PC_Model!$L$2:$L$261,"E",PC_Model!$Z$2:$Z$261,"&gt;=0")/COUNTIFS(PC_Model!$K$2:$K$261,$A12,PC_Model!$L$2:$L$261,"E",PC_Model!$Z$2:$Z$261,"&gt;=0"),"")</f>
        <v/>
      </c>
      <c r="L12" s="36" t="str">
        <f>IFERROR(SUMIFS(PC_Model!$R$2:$R$261,PC_Model!$K$2:$K$261,$A12,PC_Model!$L$2:$L$261,"E",PC_Model!$R$2:$R$261,"&gt;=0")/COUNTIFS(PC_Model!$K$2:$K$261,$A12,PC_Model!$L$2:$L$261,"E",PC_Model!$R$2:$R$261,"&gt;=0"),"")</f>
        <v/>
      </c>
      <c r="M12" s="36" t="str">
        <f t="shared" si="3"/>
        <v/>
      </c>
    </row>
    <row r="13" spans="1:13">
      <c r="A13" s="37">
        <v>10</v>
      </c>
      <c r="B13" s="36">
        <f>IFERROR(SUMIFS(PC_Model!$Z$2:$Z$261,PC_Model!$K$2:$K$261,$A13,PC_Model!$L$2:$L$261,"C",PC_Model!$Z$2:$Z$261,"&gt;=0")/COUNTIFS(PC_Model!$K$2:$K$261,$A13,PC_Model!$L$2:$L$261,"C",PC_Model!$Z$2:$Z$261,"&gt;=0"),"")</f>
        <v>8.5148259826941235</v>
      </c>
      <c r="C13" s="36">
        <f>IFERROR(SUMIFS(PC_Model!$R$2:$R$261,PC_Model!$K$2:$K$261,$A13,PC_Model!$L$2:$L$261,"C",PC_Model!$R$2:$R$261,"&gt;=0")/COUNTIFS(PC_Model!$K$2:$K$261,$A13,PC_Model!$L$2:$L$261,"C",PC_Model!$R$2:$R$261,"&gt;=0"),"")</f>
        <v>6.7338349387383687</v>
      </c>
      <c r="D13" s="36">
        <f t="shared" si="0"/>
        <v>-1.7809910439557548</v>
      </c>
      <c r="E13" s="36">
        <f>IFERROR(SUMIFS(PC_Model!$Z$2:$Z$261,PC_Model!$K$2:$K$261,$A13,PC_Model!$L$2:$L$261,"T",PC_Model!$Z$2:$Z$261,"&gt;=0")/COUNTIFS(PC_Model!$K$2:$K$261,$A13,PC_Model!$L$2:$L$261,"T",PC_Model!$Z$2:$Z$261,"&gt;=0"),"")</f>
        <v>1.5656253062121614</v>
      </c>
      <c r="F13" s="36">
        <f>IFERROR(SUMIFS(PC_Model!$R$2:$R$261,PC_Model!$K$2:$K$261,$A13,PC_Model!$L$2:$L$261,"T",PC_Model!$R$2:$R$261,"&gt;=0")/COUNTIFS(PC_Model!$K$2:$K$261,$A13,PC_Model!$L$2:$L$261,"T",PC_Model!$R$2:$R$261,"&gt;=0"),"")</f>
        <v>1.5107510094466057</v>
      </c>
      <c r="G13" s="36">
        <f t="shared" si="1"/>
        <v>-5.4874296765555775E-2</v>
      </c>
      <c r="H13" s="36">
        <f>IFERROR(SUMIFS(PC_Model!$Z$2:$Z$261,PC_Model!$K$2:$K$261,$A13,PC_Model!$L$2:$L$261,"PT",PC_Model!$Z$2:$Z$261,"&gt;=0")/COUNTIFS(PC_Model!$K$2:$K$261,$A13,PC_Model!$L$2:$L$261,"PT",PC_Model!$Z$2:$Z$261,"&gt;=0"),"")</f>
        <v>14.730279482637243</v>
      </c>
      <c r="I13" s="36">
        <f>IFERROR(SUMIFS(PC_Model!$R$2:$R$261,PC_Model!$K$2:$K$261,$A13,PC_Model!$L$2:$L$261,"PT",PC_Model!$R$2:$R$261,"&gt;=0")/COUNTIFS(PC_Model!$K$2:$K$261,$A13,PC_Model!$L$2:$L$261,"PT",PC_Model!$R$2:$R$261,"&gt;=0"),"")</f>
        <v>12.632564533370829</v>
      </c>
      <c r="J13" s="36">
        <f t="shared" si="2"/>
        <v>-2.0977149492664147</v>
      </c>
      <c r="K13" s="36" t="str">
        <f>IFERROR(SUMIFS(PC_Model!$Z$2:$Z$261,PC_Model!$K$2:$K$261,$A13,PC_Model!$L$2:$L$261,"E",PC_Model!$Z$2:$Z$261,"&gt;=0")/COUNTIFS(PC_Model!$K$2:$K$261,$A13,PC_Model!$L$2:$L$261,"E",PC_Model!$Z$2:$Z$261,"&gt;=0"),"")</f>
        <v/>
      </c>
      <c r="L13" s="36" t="str">
        <f>IFERROR(SUMIFS(PC_Model!$R$2:$R$261,PC_Model!$K$2:$K$261,$A13,PC_Model!$L$2:$L$261,"E",PC_Model!$R$2:$R$261,"&gt;=0")/COUNTIFS(PC_Model!$K$2:$K$261,$A13,PC_Model!$L$2:$L$261,"E",PC_Model!$R$2:$R$261,"&gt;=0"),"")</f>
        <v/>
      </c>
      <c r="M13" s="36" t="str">
        <f t="shared" si="3"/>
        <v/>
      </c>
    </row>
    <row r="14" spans="1:13">
      <c r="A14" s="37">
        <v>11</v>
      </c>
      <c r="B14" s="36">
        <f>IFERROR(SUMIFS(PC_Model!$Z$2:$Z$261,PC_Model!$K$2:$K$261,$A14,PC_Model!$L$2:$L$261,"C",PC_Model!$Z$2:$Z$261,"&gt;=0")/COUNTIFS(PC_Model!$K$2:$K$261,$A14,PC_Model!$L$2:$L$261,"C",PC_Model!$Z$2:$Z$261,"&gt;=0"),"")</f>
        <v>11.710666639129276</v>
      </c>
      <c r="C14" s="36">
        <f>IFERROR(SUMIFS(PC_Model!$R$2:$R$261,PC_Model!$K$2:$K$261,$A14,PC_Model!$L$2:$L$261,"C",PC_Model!$R$2:$R$261,"&gt;=0")/COUNTIFS(PC_Model!$K$2:$K$261,$A14,PC_Model!$L$2:$L$261,"C",PC_Model!$R$2:$R$261,"&gt;=0"),"")</f>
        <v>9.3921986825067254</v>
      </c>
      <c r="D14" s="36">
        <f t="shared" si="0"/>
        <v>-2.3184679566225501</v>
      </c>
      <c r="E14" s="36">
        <f>IFERROR(SUMIFS(PC_Model!$Z$2:$Z$261,PC_Model!$K$2:$K$261,$A14,PC_Model!$L$2:$L$261,"T",PC_Model!$Z$2:$Z$261,"&gt;=0")/COUNTIFS(PC_Model!$K$2:$K$261,$A14,PC_Model!$L$2:$L$261,"T",PC_Model!$Z$2:$Z$261,"&gt;=0"),"")</f>
        <v>2.6030285170177963</v>
      </c>
      <c r="F14" s="36">
        <f>IFERROR(SUMIFS(PC_Model!$R$2:$R$261,PC_Model!$K$2:$K$261,$A14,PC_Model!$L$2:$L$261,"T",PC_Model!$R$2:$R$261,"&gt;=0")/COUNTIFS(PC_Model!$K$2:$K$261,$A14,PC_Model!$L$2:$L$261,"T",PC_Model!$R$2:$R$261,"&gt;=0"),"")</f>
        <v>2.269339782299876</v>
      </c>
      <c r="G14" s="36">
        <f t="shared" si="1"/>
        <v>-0.33368873471792027</v>
      </c>
      <c r="H14" s="36">
        <f>IFERROR(SUMIFS(PC_Model!$Z$2:$Z$261,PC_Model!$K$2:$K$261,$A14,PC_Model!$L$2:$L$261,"PT",PC_Model!$Z$2:$Z$261,"&gt;=0")/COUNTIFS(PC_Model!$K$2:$K$261,$A14,PC_Model!$L$2:$L$261,"PT",PC_Model!$Z$2:$Z$261,"&gt;=0"),"")</f>
        <v>17.320131552855038</v>
      </c>
      <c r="I14" s="36">
        <f>IFERROR(SUMIFS(PC_Model!$R$2:$R$261,PC_Model!$K$2:$K$261,$A14,PC_Model!$L$2:$L$261,"PT",PC_Model!$R$2:$R$261,"&gt;=0")/COUNTIFS(PC_Model!$K$2:$K$261,$A14,PC_Model!$L$2:$L$261,"PT",PC_Model!$R$2:$R$261,"&gt;=0"),"")</f>
        <v>14.92095947508227</v>
      </c>
      <c r="J14" s="36">
        <f t="shared" si="2"/>
        <v>-2.3991720777727679</v>
      </c>
      <c r="K14" s="36" t="str">
        <f>IFERROR(SUMIFS(PC_Model!$Z$2:$Z$261,PC_Model!$K$2:$K$261,$A14,PC_Model!$L$2:$L$261,"E",PC_Model!$Z$2:$Z$261,"&gt;=0")/COUNTIFS(PC_Model!$K$2:$K$261,$A14,PC_Model!$L$2:$L$261,"E",PC_Model!$Z$2:$Z$261,"&gt;=0"),"")</f>
        <v/>
      </c>
      <c r="L14" s="36" t="str">
        <f>IFERROR(SUMIFS(PC_Model!$R$2:$R$261,PC_Model!$K$2:$K$261,$A14,PC_Model!$L$2:$L$261,"E",PC_Model!$R$2:$R$261,"&gt;=0")/COUNTIFS(PC_Model!$K$2:$K$261,$A14,PC_Model!$L$2:$L$261,"E",PC_Model!$R$2:$R$261,"&gt;=0"),"")</f>
        <v/>
      </c>
      <c r="M14" s="36" t="str">
        <f t="shared" si="3"/>
        <v/>
      </c>
    </row>
    <row r="15" spans="1:13">
      <c r="A15" s="37">
        <v>12</v>
      </c>
      <c r="B15" s="36">
        <f>IFERROR(SUMIFS(PC_Model!$Z$2:$Z$261,PC_Model!$K$2:$K$261,$A15,PC_Model!$L$2:$L$261,"C",PC_Model!$Z$2:$Z$261,"&gt;=0")/COUNTIFS(PC_Model!$K$2:$K$261,$A15,PC_Model!$L$2:$L$261,"C",PC_Model!$Z$2:$Z$261,"&gt;=0"),"")</f>
        <v>15.421623259634021</v>
      </c>
      <c r="C15" s="36">
        <f>IFERROR(SUMIFS(PC_Model!$R$2:$R$261,PC_Model!$K$2:$K$261,$A15,PC_Model!$L$2:$L$261,"C",PC_Model!$R$2:$R$261,"&gt;=0")/COUNTIFS(PC_Model!$K$2:$K$261,$A15,PC_Model!$L$2:$L$261,"C",PC_Model!$R$2:$R$261,"&gt;=0"),"")</f>
        <v>12.711904637405443</v>
      </c>
      <c r="D15" s="36">
        <f t="shared" si="0"/>
        <v>-2.7097186222285785</v>
      </c>
      <c r="E15" s="36">
        <f>IFERROR(SUMIFS(PC_Model!$Z$2:$Z$261,PC_Model!$K$2:$K$261,$A15,PC_Model!$L$2:$L$261,"T",PC_Model!$Z$2:$Z$261,"&gt;=0")/COUNTIFS(PC_Model!$K$2:$K$261,$A15,PC_Model!$L$2:$L$261,"T",PC_Model!$Z$2:$Z$261,"&gt;=0"),"")</f>
        <v>3.9344876807396028</v>
      </c>
      <c r="F15" s="36">
        <f>IFERROR(SUMIFS(PC_Model!$R$2:$R$261,PC_Model!$K$2:$K$261,$A15,PC_Model!$L$2:$L$261,"T",PC_Model!$R$2:$R$261,"&gt;=0")/COUNTIFS(PC_Model!$K$2:$K$261,$A15,PC_Model!$L$2:$L$261,"T",PC_Model!$R$2:$R$261,"&gt;=0"),"")</f>
        <v>3.2338485691960925</v>
      </c>
      <c r="G15" s="36">
        <f t="shared" si="1"/>
        <v>-0.70063911154351022</v>
      </c>
      <c r="H15" s="36">
        <f>IFERROR(SUMIFS(PC_Model!$Z$2:$Z$261,PC_Model!$K$2:$K$261,$A15,PC_Model!$L$2:$L$261,"PT",PC_Model!$Z$2:$Z$261,"&gt;=0")/COUNTIFS(PC_Model!$K$2:$K$261,$A15,PC_Model!$L$2:$L$261,"PT",PC_Model!$Z$2:$Z$261,"&gt;=0"),"")</f>
        <v>20.155626169255807</v>
      </c>
      <c r="I15" s="36">
        <f>IFERROR(SUMIFS(PC_Model!$R$2:$R$261,PC_Model!$K$2:$K$261,$A15,PC_Model!$L$2:$L$261,"PT",PC_Model!$R$2:$R$261,"&gt;=0")/COUNTIFS(PC_Model!$K$2:$K$261,$A15,PC_Model!$L$2:$L$261,"PT",PC_Model!$R$2:$R$261,"&gt;=0"),"")</f>
        <v>17.434847691084919</v>
      </c>
      <c r="J15" s="36">
        <f t="shared" si="2"/>
        <v>-2.7207784781708888</v>
      </c>
      <c r="K15" s="36" t="str">
        <f>IFERROR(SUMIFS(PC_Model!$Z$2:$Z$261,PC_Model!$K$2:$K$261,$A15,PC_Model!$L$2:$L$261,"E",PC_Model!$Z$2:$Z$261,"&gt;=0")/COUNTIFS(PC_Model!$K$2:$K$261,$A15,PC_Model!$L$2:$L$261,"E",PC_Model!$Z$2:$Z$261,"&gt;=0"),"")</f>
        <v/>
      </c>
      <c r="L15" s="36" t="str">
        <f>IFERROR(SUMIFS(PC_Model!$R$2:$R$261,PC_Model!$K$2:$K$261,$A15,PC_Model!$L$2:$L$261,"E",PC_Model!$R$2:$R$261,"&gt;=0")/COUNTIFS(PC_Model!$K$2:$K$261,$A15,PC_Model!$L$2:$L$261,"E",PC_Model!$R$2:$R$261,"&gt;=0"),"")</f>
        <v/>
      </c>
      <c r="M15" s="36" t="str">
        <f t="shared" si="3"/>
        <v/>
      </c>
    </row>
    <row r="16" spans="1:13">
      <c r="A16" s="37">
        <v>13</v>
      </c>
      <c r="B16" s="36">
        <f>IFERROR(SUMIFS(PC_Model!$Z$2:$Z$261,PC_Model!$K$2:$K$261,$A16,PC_Model!$L$2:$L$261,"C",PC_Model!$Z$2:$Z$261,"&gt;=0")/COUNTIFS(PC_Model!$K$2:$K$261,$A16,PC_Model!$L$2:$L$261,"C",PC_Model!$Z$2:$Z$261,"&gt;=0"),"")</f>
        <v>19.769322314110223</v>
      </c>
      <c r="C16" s="36">
        <f>IFERROR(SUMIFS(PC_Model!$R$2:$R$261,PC_Model!$K$2:$K$261,$A16,PC_Model!$L$2:$L$261,"C",PC_Model!$R$2:$R$261,"&gt;=0")/COUNTIFS(PC_Model!$K$2:$K$261,$A16,PC_Model!$L$2:$L$261,"C",PC_Model!$R$2:$R$261,"&gt;=0"),"")</f>
        <v>14.186352668653171</v>
      </c>
      <c r="D16" s="36">
        <f t="shared" si="0"/>
        <v>-5.5829696454570517</v>
      </c>
      <c r="E16" s="36">
        <f>IFERROR(SUMIFS(PC_Model!$Z$2:$Z$261,PC_Model!$K$2:$K$261,$A16,PC_Model!$L$2:$L$261,"T",PC_Model!$Z$2:$Z$261,"&gt;=0")/COUNTIFS(PC_Model!$K$2:$K$261,$A16,PC_Model!$L$2:$L$261,"T",PC_Model!$Z$2:$Z$261,"&gt;=0"),"")</f>
        <v>5.6198833140461328</v>
      </c>
      <c r="F16" s="36">
        <f>IFERROR(SUMIFS(PC_Model!$R$2:$R$261,PC_Model!$K$2:$K$261,$A16,PC_Model!$L$2:$L$261,"T",PC_Model!$R$2:$R$261,"&gt;=0")/COUNTIFS(PC_Model!$K$2:$K$261,$A16,PC_Model!$L$2:$L$261,"T",PC_Model!$R$2:$R$261,"&gt;=0"),"")</f>
        <v>2.8373113332833473</v>
      </c>
      <c r="G16" s="36">
        <f t="shared" si="1"/>
        <v>-2.7825719807627856</v>
      </c>
      <c r="H16" s="36">
        <f>IFERROR(SUMIFS(PC_Model!$Z$2:$Z$261,PC_Model!$K$2:$K$261,$A16,PC_Model!$L$2:$L$261,"PT",PC_Model!$Z$2:$Z$261,"&gt;=0")/COUNTIFS(PC_Model!$K$2:$K$261,$A16,PC_Model!$L$2:$L$261,"PT",PC_Model!$Z$2:$Z$261,"&gt;=0"),"")</f>
        <v>23.32467050933796</v>
      </c>
      <c r="I16" s="36">
        <f>IFERROR(SUMIFS(PC_Model!$R$2:$R$261,PC_Model!$K$2:$K$261,$A16,PC_Model!$L$2:$L$261,"PT",PC_Model!$R$2:$R$261,"&gt;=0")/COUNTIFS(PC_Model!$K$2:$K$261,$A16,PC_Model!$L$2:$L$261,"PT",PC_Model!$R$2:$R$261,"&gt;=0"),"")</f>
        <v>17.740518948936945</v>
      </c>
      <c r="J16" s="36">
        <f t="shared" si="2"/>
        <v>-5.5841515604010148</v>
      </c>
      <c r="K16" s="36" t="str">
        <f>IFERROR(SUMIFS(PC_Model!$Z$2:$Z$261,PC_Model!$K$2:$K$261,$A16,PC_Model!$L$2:$L$261,"E",PC_Model!$Z$2:$Z$261,"&gt;=0")/COUNTIFS(PC_Model!$K$2:$K$261,$A16,PC_Model!$L$2:$L$261,"E",PC_Model!$Z$2:$Z$261,"&gt;=0"),"")</f>
        <v/>
      </c>
      <c r="L16" s="36" t="str">
        <f>IFERROR(SUMIFS(PC_Model!$R$2:$R$261,PC_Model!$K$2:$K$261,$A16,PC_Model!$L$2:$L$261,"E",PC_Model!$R$2:$R$261,"&gt;=0")/COUNTIFS(PC_Model!$K$2:$K$261,$A16,PC_Model!$L$2:$L$261,"E",PC_Model!$R$2:$R$261,"&gt;=0"),"")</f>
        <v/>
      </c>
      <c r="M16" s="36" t="str">
        <f t="shared" si="3"/>
        <v/>
      </c>
    </row>
    <row r="17" spans="1:13">
      <c r="A17" s="37">
        <v>14</v>
      </c>
      <c r="B17" s="36">
        <f>IFERROR(SUMIFS(PC_Model!$Z$2:$Z$261,PC_Model!$K$2:$K$261,$A17,PC_Model!$L$2:$L$261,"C",PC_Model!$Z$2:$Z$261,"&gt;=0")/COUNTIFS(PC_Model!$K$2:$K$261,$A17,PC_Model!$L$2:$L$261,"C",PC_Model!$Z$2:$Z$261,"&gt;=0"),"")</f>
        <v>24.983017436033908</v>
      </c>
      <c r="C17" s="36">
        <f>IFERROR(SUMIFS(PC_Model!$R$2:$R$261,PC_Model!$K$2:$K$261,$A17,PC_Model!$L$2:$L$261,"C",PC_Model!$R$2:$R$261,"&gt;=0")/COUNTIFS(PC_Model!$K$2:$K$261,$A17,PC_Model!$L$2:$L$261,"C",PC_Model!$R$2:$R$261,"&gt;=0"),"")</f>
        <v>18.509142600905278</v>
      </c>
      <c r="D17" s="36">
        <f t="shared" si="0"/>
        <v>-6.4738748351286297</v>
      </c>
      <c r="E17" s="36">
        <f>IFERROR(SUMIFS(PC_Model!$Z$2:$Z$261,PC_Model!$K$2:$K$261,$A17,PC_Model!$L$2:$L$261,"T",PC_Model!$Z$2:$Z$261,"&gt;=0")/COUNTIFS(PC_Model!$K$2:$K$261,$A17,PC_Model!$L$2:$L$261,"T",PC_Model!$Z$2:$Z$261,"&gt;=0"),"")</f>
        <v>7.815962083923031</v>
      </c>
      <c r="F17" s="36">
        <f>IFERROR(SUMIFS(PC_Model!$R$2:$R$261,PC_Model!$K$2:$K$261,$A17,PC_Model!$L$2:$L$261,"T",PC_Model!$R$2:$R$261,"&gt;=0")/COUNTIFS(PC_Model!$K$2:$K$261,$A17,PC_Model!$L$2:$L$261,"T",PC_Model!$R$2:$R$261,"&gt;=0"),"")</f>
        <v>4.0151975897503984</v>
      </c>
      <c r="G17" s="36">
        <f t="shared" si="1"/>
        <v>-3.8007644941726326</v>
      </c>
      <c r="H17" s="36">
        <f>IFERROR(SUMIFS(PC_Model!$Z$2:$Z$261,PC_Model!$K$2:$K$261,$A17,PC_Model!$L$2:$L$261,"PT",PC_Model!$Z$2:$Z$261,"&gt;=0")/COUNTIFS(PC_Model!$K$2:$K$261,$A17,PC_Model!$L$2:$L$261,"PT",PC_Model!$Z$2:$Z$261,"&gt;=0"),"")</f>
        <v>26.997902177523351</v>
      </c>
      <c r="I17" s="36">
        <f>IFERROR(SUMIFS(PC_Model!$R$2:$R$261,PC_Model!$K$2:$K$261,$A17,PC_Model!$L$2:$L$261,"PT",PC_Model!$R$2:$R$261,"&gt;=0")/COUNTIFS(PC_Model!$K$2:$K$261,$A17,PC_Model!$L$2:$L$261,"PT",PC_Model!$R$2:$R$261,"&gt;=0"),"")</f>
        <v>20.523978889037345</v>
      </c>
      <c r="J17" s="36">
        <f t="shared" si="2"/>
        <v>-6.4739232884860058</v>
      </c>
      <c r="K17" s="36" t="str">
        <f>IFERROR(SUMIFS(PC_Model!$Z$2:$Z$261,PC_Model!$K$2:$K$261,$A17,PC_Model!$L$2:$L$261,"E",PC_Model!$Z$2:$Z$261,"&gt;=0")/COUNTIFS(PC_Model!$K$2:$K$261,$A17,PC_Model!$L$2:$L$261,"E",PC_Model!$Z$2:$Z$261,"&gt;=0"),"")</f>
        <v/>
      </c>
      <c r="L17" s="36" t="str">
        <f>IFERROR(SUMIFS(PC_Model!$R$2:$R$261,PC_Model!$K$2:$K$261,$A17,PC_Model!$L$2:$L$261,"E",PC_Model!$R$2:$R$261,"&gt;=0")/COUNTIFS(PC_Model!$K$2:$K$261,$A17,PC_Model!$L$2:$L$261,"E",PC_Model!$R$2:$R$261,"&gt;=0"),"")</f>
        <v/>
      </c>
      <c r="M17" s="36" t="str">
        <f t="shared" si="3"/>
        <v/>
      </c>
    </row>
    <row r="18" spans="1:13">
      <c r="A18" s="37">
        <v>15</v>
      </c>
      <c r="B18" s="36">
        <f>IFERROR(SUMIFS(PC_Model!$Z$2:$Z$261,PC_Model!$K$2:$K$261,$A18,PC_Model!$L$2:$L$261,"C",PC_Model!$Z$2:$Z$261,"&gt;=0")/COUNTIFS(PC_Model!$K$2:$K$261,$A18,PC_Model!$L$2:$L$261,"C",PC_Model!$Z$2:$Z$261,"&gt;=0"),"")</f>
        <v>31.627904896508134</v>
      </c>
      <c r="C18" s="36">
        <f>IFERROR(SUMIFS(PC_Model!$R$2:$R$261,PC_Model!$K$2:$K$261,$A18,PC_Model!$L$2:$L$261,"C",PC_Model!$R$2:$R$261,"&gt;=0")/COUNTIFS(PC_Model!$K$2:$K$261,$A18,PC_Model!$L$2:$L$261,"C",PC_Model!$R$2:$R$261,"&gt;=0"),"")</f>
        <v>23.972251136796906</v>
      </c>
      <c r="D18" s="36">
        <f t="shared" si="0"/>
        <v>-7.6556537597112282</v>
      </c>
      <c r="E18" s="36">
        <f>IFERROR(SUMIFS(PC_Model!$Z$2:$Z$261,PC_Model!$K$2:$K$261,$A18,PC_Model!$L$2:$L$261,"T",PC_Model!$Z$2:$Z$261,"&gt;=0")/COUNTIFS(PC_Model!$K$2:$K$261,$A18,PC_Model!$L$2:$L$261,"T",PC_Model!$Z$2:$Z$261,"&gt;=0"),"")</f>
        <v>10.974896009184969</v>
      </c>
      <c r="F18" s="36">
        <f>IFERROR(SUMIFS(PC_Model!$R$2:$R$261,PC_Model!$K$2:$K$261,$A18,PC_Model!$L$2:$L$261,"T",PC_Model!$R$2:$R$261,"&gt;=0")/COUNTIFS(PC_Model!$K$2:$K$261,$A18,PC_Model!$L$2:$L$261,"T",PC_Model!$R$2:$R$261,"&gt;=0"),"")</f>
        <v>5.8365143827859924</v>
      </c>
      <c r="G18" s="36">
        <f t="shared" si="1"/>
        <v>-5.1383816263989761</v>
      </c>
      <c r="H18" s="36">
        <f>IFERROR(SUMIFS(PC_Model!$Z$2:$Z$261,PC_Model!$K$2:$K$261,$A18,PC_Model!$L$2:$L$261,"PT",PC_Model!$Z$2:$Z$261,"&gt;=0")/COUNTIFS(PC_Model!$K$2:$K$261,$A18,PC_Model!$L$2:$L$261,"PT",PC_Model!$Z$2:$Z$261,"&gt;=0"),"")</f>
        <v>31.627904896508134</v>
      </c>
      <c r="I18" s="36">
        <f>IFERROR(SUMIFS(PC_Model!$R$2:$R$261,PC_Model!$K$2:$K$261,$A18,PC_Model!$L$2:$L$261,"PT",PC_Model!$R$2:$R$261,"&gt;=0")/COUNTIFS(PC_Model!$K$2:$K$261,$A18,PC_Model!$L$2:$L$261,"PT",PC_Model!$R$2:$R$261,"&gt;=0"),"")</f>
        <v>23.972251136796906</v>
      </c>
      <c r="J18" s="36">
        <f t="shared" si="2"/>
        <v>-7.6556537597112282</v>
      </c>
      <c r="K18" s="36" t="str">
        <f>IFERROR(SUMIFS(PC_Model!$Z$2:$Z$261,PC_Model!$K$2:$K$261,$A18,PC_Model!$L$2:$L$261,"E",PC_Model!$Z$2:$Z$261,"&gt;=0")/COUNTIFS(PC_Model!$K$2:$K$261,$A18,PC_Model!$L$2:$L$261,"E",PC_Model!$Z$2:$Z$261,"&gt;=0"),"")</f>
        <v/>
      </c>
      <c r="L18" s="36" t="str">
        <f>IFERROR(SUMIFS(PC_Model!$R$2:$R$261,PC_Model!$K$2:$K$261,$A18,PC_Model!$L$2:$L$261,"E",PC_Model!$R$2:$R$261,"&gt;=0")/COUNTIFS(PC_Model!$K$2:$K$261,$A18,PC_Model!$L$2:$L$261,"E",PC_Model!$R$2:$R$261,"&gt;=0"),"")</f>
        <v/>
      </c>
      <c r="M18" s="36" t="str">
        <f t="shared" si="3"/>
        <v/>
      </c>
    </row>
    <row r="21" spans="1:13">
      <c r="A21" s="50" t="s">
        <v>220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</row>
    <row r="22" spans="1:13">
      <c r="A22" s="35" t="s">
        <v>91</v>
      </c>
      <c r="B22" s="35" t="s">
        <v>208</v>
      </c>
      <c r="C22" s="35" t="s">
        <v>209</v>
      </c>
      <c r="D22" s="35" t="s">
        <v>210</v>
      </c>
      <c r="E22" s="35" t="s">
        <v>211</v>
      </c>
      <c r="F22" s="35" t="s">
        <v>212</v>
      </c>
      <c r="G22" s="35" t="s">
        <v>213</v>
      </c>
      <c r="H22" s="35" t="s">
        <v>214</v>
      </c>
      <c r="I22" s="35" t="s">
        <v>215</v>
      </c>
      <c r="J22" s="35" t="s">
        <v>216</v>
      </c>
      <c r="K22" s="35" t="s">
        <v>217</v>
      </c>
      <c r="L22" s="35" t="s">
        <v>218</v>
      </c>
      <c r="M22" s="35" t="s">
        <v>219</v>
      </c>
    </row>
    <row r="23" spans="1:13">
      <c r="A23" s="37">
        <v>3</v>
      </c>
      <c r="B23" s="36">
        <f>IFERROR(SUMIFS(PC_Model!$T$2:$T$261,PC_Model!$K$2:$K$261,$A23,PC_Model!$L$2:$L$261,"C",PC_Model!$T$2:$T$261,"&gt;=0")/COUNTIFS(PC_Model!$K$2:$K$261,$A23,PC_Model!$L$2:$L$261,"C",PC_Model!$T$2:$T$261,"&gt;=0"),"")</f>
        <v>3.1165913993355119</v>
      </c>
      <c r="C23" s="36">
        <f>IFERROR(SUMIFS(PC_Model!$T$2:$T$261,PC_Model!$K$2:$K$261,$A23,PC_Model!$L$2:$L$261,"C",PC_Model!$T$2:$T$261,"&gt;=0")/COUNTIFS(PC_Model!$K$2:$K$261,$A23,PC_Model!$L$2:$L$261,"C",PC_Model!$T$2:$T$261,"&gt;=0"),"")</f>
        <v>3.1165913993355119</v>
      </c>
      <c r="D23" s="36">
        <f t="shared" ref="D23:D35" si="4">IF(OR(B23="",C23=""),"",C23-B23)</f>
        <v>0</v>
      </c>
      <c r="E23" s="36">
        <f>IFERROR(SUMIFS(PC_Model!$T$2:$T$261,PC_Model!$K$2:$K$261,$A23,PC_Model!$L$2:$L$261,"T",PC_Model!$T$2:$T$261,"&gt;=0")/COUNTIFS(PC_Model!$K$2:$K$261,$A23,PC_Model!$L$2:$L$261,"T",PC_Model!$T$2:$T$261,"&gt;=0"),"")</f>
        <v>3.7208358975337772</v>
      </c>
      <c r="F23" s="36">
        <f>IFERROR(SUMIFS(PC_Model!$T$2:$T$261,PC_Model!$K$2:$K$261,$A23,PC_Model!$L$2:$L$261,"T",PC_Model!$T$2:$T$261,"&gt;=0")/COUNTIFS(PC_Model!$K$2:$K$261,$A23,PC_Model!$L$2:$L$261,"T",PC_Model!$T$2:$T$261,"&gt;=0"),"")</f>
        <v>3.7208358975337772</v>
      </c>
      <c r="G23" s="36">
        <f t="shared" ref="G23:G35" si="5">IF(OR(E23="",F23=""),"",F23-E23)</f>
        <v>0</v>
      </c>
      <c r="H23" s="36">
        <f>IFERROR(SUMIFS(PC_Model!$T$2:$T$261,PC_Model!$K$2:$K$261,$A23,PC_Model!$L$2:$L$261,"PT",PC_Model!$T$2:$T$261,"&gt;=0")/COUNTIFS(PC_Model!$K$2:$K$261,$A23,PC_Model!$L$2:$L$261,"PT",PC_Model!$T$2:$T$261,"&gt;=0"),"")</f>
        <v>6.6719394608249258</v>
      </c>
      <c r="I23" s="36">
        <f>IFERROR(SUMIFS(PC_Model!$T$2:$T$261,PC_Model!$K$2:$K$261,$A23,PC_Model!$L$2:$L$261,"PT",PC_Model!$T$2:$T$261,"&gt;=0")/COUNTIFS(PC_Model!$K$2:$K$261,$A23,PC_Model!$L$2:$L$261,"PT",PC_Model!$T$2:$T$261,"&gt;=0"),"")</f>
        <v>6.6719394608249258</v>
      </c>
      <c r="J23" s="36">
        <f t="shared" ref="J23:J35" si="6">IF(OR(H23="",I23=""),"",I23-H23)</f>
        <v>0</v>
      </c>
      <c r="K23" s="36">
        <f>IFERROR(SUMIFS(PC_Model!$T$2:$T$261,PC_Model!$K$2:$K$261,$A23,PC_Model!$L$2:$L$261,"E",PC_Model!$T$2:$T$261,"&gt;=0")/COUNTIFS(PC_Model!$K$2:$K$261,$A23,PC_Model!$L$2:$L$261,"E",PC_Model!$T$2:$T$261,"&gt;=0"),"")</f>
        <v>6.2515797449602744</v>
      </c>
      <c r="L23" s="36">
        <f>IFERROR(SUMIFS(PC_Model!$T$2:$T$261,PC_Model!$K$2:$K$261,$A23,PC_Model!$L$2:$L$261,"E",PC_Model!$T$2:$T$261,"&gt;=0")/COUNTIFS(PC_Model!$K$2:$K$261,$A23,PC_Model!$L$2:$L$261,"E",PC_Model!$T$2:$T$261,"&gt;=0"),"")</f>
        <v>6.2515797449602744</v>
      </c>
      <c r="M23" s="36">
        <f t="shared" ref="M23:M35" si="7">IF(OR(K23="",L23=""),"",L23-K23)</f>
        <v>0</v>
      </c>
    </row>
    <row r="24" spans="1:13">
      <c r="A24" s="37">
        <v>4</v>
      </c>
      <c r="B24" s="36">
        <f>IFERROR(SUMIFS(PC_Model!$T$2:$T$261,PC_Model!$K$2:$K$261,$A24,PC_Model!$L$2:$L$261,"C",PC_Model!$T$2:$T$261,"&gt;=0")/COUNTIFS(PC_Model!$K$2:$K$261,$A24,PC_Model!$L$2:$L$261,"C",PC_Model!$T$2:$T$261,"&gt;=0"),"")</f>
        <v>4.7681819578546643</v>
      </c>
      <c r="C24" s="36">
        <f>IFERROR(SUMIFS(PC_Model!$T$2:$T$261,PC_Model!$K$2:$K$261,$A24,PC_Model!$L$2:$L$261,"C",PC_Model!$T$2:$T$261,"&gt;=0")/COUNTIFS(PC_Model!$K$2:$K$261,$A24,PC_Model!$L$2:$L$261,"C",PC_Model!$T$2:$T$261,"&gt;=0"),"")</f>
        <v>4.7681819578546643</v>
      </c>
      <c r="D24" s="36">
        <f t="shared" si="4"/>
        <v>0</v>
      </c>
      <c r="E24" s="36">
        <f>IFERROR(SUMIFS(PC_Model!$T$2:$T$261,PC_Model!$K$2:$K$261,$A24,PC_Model!$L$2:$L$261,"T",PC_Model!$T$2:$T$261,"&gt;=0")/COUNTIFS(PC_Model!$K$2:$K$261,$A24,PC_Model!$L$2:$L$261,"T",PC_Model!$T$2:$T$261,"&gt;=0"),"")</f>
        <v>5.7686768513089461</v>
      </c>
      <c r="F24" s="36">
        <f>IFERROR(SUMIFS(PC_Model!$T$2:$T$261,PC_Model!$K$2:$K$261,$A24,PC_Model!$L$2:$L$261,"T",PC_Model!$T$2:$T$261,"&gt;=0")/COUNTIFS(PC_Model!$K$2:$K$261,$A24,PC_Model!$L$2:$L$261,"T",PC_Model!$T$2:$T$261,"&gt;=0"),"")</f>
        <v>5.7686768513089461</v>
      </c>
      <c r="G24" s="36">
        <f t="shared" si="5"/>
        <v>0</v>
      </c>
      <c r="H24" s="36">
        <f>IFERROR(SUMIFS(PC_Model!$T$2:$T$261,PC_Model!$K$2:$K$261,$A24,PC_Model!$L$2:$L$261,"PT",PC_Model!$T$2:$T$261,"&gt;=0")/COUNTIFS(PC_Model!$K$2:$K$261,$A24,PC_Model!$L$2:$L$261,"PT",PC_Model!$T$2:$T$261,"&gt;=0"),"")</f>
        <v>10.195332196245669</v>
      </c>
      <c r="I24" s="36">
        <f>IFERROR(SUMIFS(PC_Model!$T$2:$T$261,PC_Model!$K$2:$K$261,$A24,PC_Model!$L$2:$L$261,"PT",PC_Model!$T$2:$T$261,"&gt;=0")/COUNTIFS(PC_Model!$K$2:$K$261,$A24,PC_Model!$L$2:$L$261,"PT",PC_Model!$T$2:$T$261,"&gt;=0"),"")</f>
        <v>10.195332196245669</v>
      </c>
      <c r="J24" s="36">
        <f t="shared" si="6"/>
        <v>0</v>
      </c>
      <c r="K24" s="36">
        <f>IFERROR(SUMIFS(PC_Model!$T$2:$T$261,PC_Model!$K$2:$K$261,$A24,PC_Model!$L$2:$L$261,"E",PC_Model!$T$2:$T$261,"&gt;=0")/COUNTIFS(PC_Model!$K$2:$K$261,$A24,PC_Model!$L$2:$L$261,"E",PC_Model!$T$2:$T$261,"&gt;=0"),"")</f>
        <v>10.110818081043449</v>
      </c>
      <c r="L24" s="36">
        <f>IFERROR(SUMIFS(PC_Model!$T$2:$T$261,PC_Model!$K$2:$K$261,$A24,PC_Model!$L$2:$L$261,"E",PC_Model!$T$2:$T$261,"&gt;=0")/COUNTIFS(PC_Model!$K$2:$K$261,$A24,PC_Model!$L$2:$L$261,"E",PC_Model!$T$2:$T$261,"&gt;=0"),"")</f>
        <v>10.110818081043449</v>
      </c>
      <c r="M24" s="36">
        <f t="shared" si="7"/>
        <v>0</v>
      </c>
    </row>
    <row r="25" spans="1:13">
      <c r="A25" s="37">
        <v>5</v>
      </c>
      <c r="B25" s="36">
        <f>IFERROR(SUMIFS(PC_Model!$T$2:$T$261,PC_Model!$K$2:$K$261,$A25,PC_Model!$L$2:$L$261,"C",PC_Model!$T$2:$T$261,"&gt;=0")/COUNTIFS(PC_Model!$K$2:$K$261,$A25,PC_Model!$L$2:$L$261,"C",PC_Model!$T$2:$T$261,"&gt;=0"),"")</f>
        <v>6.4905696503139083</v>
      </c>
      <c r="C25" s="36">
        <f>IFERROR(SUMIFS(PC_Model!$T$2:$T$261,PC_Model!$K$2:$K$261,$A25,PC_Model!$L$2:$L$261,"C",PC_Model!$T$2:$T$261,"&gt;=0")/COUNTIFS(PC_Model!$K$2:$K$261,$A25,PC_Model!$L$2:$L$261,"C",PC_Model!$T$2:$T$261,"&gt;=0"),"")</f>
        <v>6.4905696503139083</v>
      </c>
      <c r="D25" s="36">
        <f t="shared" si="4"/>
        <v>0</v>
      </c>
      <c r="E25" s="36">
        <f>IFERROR(SUMIFS(PC_Model!$T$2:$T$261,PC_Model!$K$2:$K$261,$A25,PC_Model!$L$2:$L$261,"T",PC_Model!$T$2:$T$261,"&gt;=0")/COUNTIFS(PC_Model!$K$2:$K$261,$A25,PC_Model!$L$2:$L$261,"T",PC_Model!$T$2:$T$261,"&gt;=0"),"")</f>
        <v>7.8072722313506713</v>
      </c>
      <c r="F25" s="36">
        <f>IFERROR(SUMIFS(PC_Model!$T$2:$T$261,PC_Model!$K$2:$K$261,$A25,PC_Model!$L$2:$L$261,"T",PC_Model!$T$2:$T$261,"&gt;=0")/COUNTIFS(PC_Model!$K$2:$K$261,$A25,PC_Model!$L$2:$L$261,"T",PC_Model!$T$2:$T$261,"&gt;=0"),"")</f>
        <v>7.8072722313506713</v>
      </c>
      <c r="G25" s="36">
        <f t="shared" si="5"/>
        <v>0</v>
      </c>
      <c r="H25" s="36">
        <f>IFERROR(SUMIFS(PC_Model!$T$2:$T$261,PC_Model!$K$2:$K$261,$A25,PC_Model!$L$2:$L$261,"PT",PC_Model!$T$2:$T$261,"&gt;=0")/COUNTIFS(PC_Model!$K$2:$K$261,$A25,PC_Model!$L$2:$L$261,"PT",PC_Model!$T$2:$T$261,"&gt;=0"),"")</f>
        <v>13.709479357932969</v>
      </c>
      <c r="I25" s="36">
        <f>IFERROR(SUMIFS(PC_Model!$T$2:$T$261,PC_Model!$K$2:$K$261,$A25,PC_Model!$L$2:$L$261,"PT",PC_Model!$T$2:$T$261,"&gt;=0")/COUNTIFS(PC_Model!$K$2:$K$261,$A25,PC_Model!$L$2:$L$261,"PT",PC_Model!$T$2:$T$261,"&gt;=0"),"")</f>
        <v>13.709479357932969</v>
      </c>
      <c r="J25" s="36">
        <f t="shared" si="6"/>
        <v>0</v>
      </c>
      <c r="K25" s="36">
        <f>IFERROR(SUMIFS(PC_Model!$T$2:$T$261,PC_Model!$K$2:$K$261,$A25,PC_Model!$L$2:$L$261,"E",PC_Model!$T$2:$T$261,"&gt;=0")/COUNTIFS(PC_Model!$K$2:$K$261,$A25,PC_Model!$L$2:$L$261,"E",PC_Model!$T$2:$T$261,"&gt;=0"),"")</f>
        <v>13.955816700061986</v>
      </c>
      <c r="L25" s="36">
        <f>IFERROR(SUMIFS(PC_Model!$T$2:$T$261,PC_Model!$K$2:$K$261,$A25,PC_Model!$L$2:$L$261,"E",PC_Model!$T$2:$T$261,"&gt;=0")/COUNTIFS(PC_Model!$K$2:$K$261,$A25,PC_Model!$L$2:$L$261,"E",PC_Model!$T$2:$T$261,"&gt;=0"),"")</f>
        <v>13.955816700061986</v>
      </c>
      <c r="M25" s="36">
        <f t="shared" si="7"/>
        <v>0</v>
      </c>
    </row>
    <row r="26" spans="1:13">
      <c r="A26" s="37">
        <v>6</v>
      </c>
      <c r="B26" s="36">
        <f>IFERROR(SUMIFS(PC_Model!$T$2:$T$261,PC_Model!$K$2:$K$261,$A26,PC_Model!$L$2:$L$261,"C",PC_Model!$T$2:$T$261,"&gt;=0")/COUNTIFS(PC_Model!$K$2:$K$261,$A26,PC_Model!$L$2:$L$261,"C",PC_Model!$T$2:$T$261,"&gt;=0"),"")</f>
        <v>8.2917825652790889</v>
      </c>
      <c r="C26" s="36">
        <f>IFERROR(SUMIFS(PC_Model!$T$2:$T$261,PC_Model!$K$2:$K$261,$A26,PC_Model!$L$2:$L$261,"C",PC_Model!$T$2:$T$261,"&gt;=0")/COUNTIFS(PC_Model!$K$2:$K$261,$A26,PC_Model!$L$2:$L$261,"C",PC_Model!$T$2:$T$261,"&gt;=0"),"")</f>
        <v>8.2917825652790889</v>
      </c>
      <c r="D26" s="36">
        <f t="shared" si="4"/>
        <v>0</v>
      </c>
      <c r="E26" s="36">
        <f>IFERROR(SUMIFS(PC_Model!$T$2:$T$261,PC_Model!$K$2:$K$261,$A26,PC_Model!$L$2:$L$261,"T",PC_Model!$T$2:$T$261,"&gt;=0")/COUNTIFS(PC_Model!$K$2:$K$261,$A26,PC_Model!$L$2:$L$261,"T",PC_Model!$T$2:$T$261,"&gt;=0"),"")</f>
        <v>9.8376814569087028</v>
      </c>
      <c r="F26" s="36">
        <f>IFERROR(SUMIFS(PC_Model!$T$2:$T$261,PC_Model!$K$2:$K$261,$A26,PC_Model!$L$2:$L$261,"T",PC_Model!$T$2:$T$261,"&gt;=0")/COUNTIFS(PC_Model!$K$2:$K$261,$A26,PC_Model!$L$2:$L$261,"T",PC_Model!$T$2:$T$261,"&gt;=0"),"")</f>
        <v>9.8376814569087028</v>
      </c>
      <c r="G26" s="36">
        <f t="shared" si="5"/>
        <v>0</v>
      </c>
      <c r="H26" s="36">
        <f>IFERROR(SUMIFS(PC_Model!$T$2:$T$261,PC_Model!$K$2:$K$261,$A26,PC_Model!$L$2:$L$261,"PT",PC_Model!$T$2:$T$261,"&gt;=0")/COUNTIFS(PC_Model!$K$2:$K$261,$A26,PC_Model!$L$2:$L$261,"PT",PC_Model!$T$2:$T$261,"&gt;=0"),"")</f>
        <v>17.215440365136573</v>
      </c>
      <c r="I26" s="36">
        <f>IFERROR(SUMIFS(PC_Model!$T$2:$T$261,PC_Model!$K$2:$K$261,$A26,PC_Model!$L$2:$L$261,"PT",PC_Model!$T$2:$T$261,"&gt;=0")/COUNTIFS(PC_Model!$K$2:$K$261,$A26,PC_Model!$L$2:$L$261,"PT",PC_Model!$T$2:$T$261,"&gt;=0"),"")</f>
        <v>17.215440365136573</v>
      </c>
      <c r="J26" s="36">
        <f t="shared" si="6"/>
        <v>0</v>
      </c>
      <c r="K26" s="36" t="str">
        <f>IFERROR(SUMIFS(PC_Model!$T$2:$T$261,PC_Model!$K$2:$K$261,$A26,PC_Model!$L$2:$L$261,"E",PC_Model!$T$2:$T$261,"&gt;=0")/COUNTIFS(PC_Model!$K$2:$K$261,$A26,PC_Model!$L$2:$L$261,"E",PC_Model!$T$2:$T$261,"&gt;=0"),"")</f>
        <v/>
      </c>
      <c r="L26" s="36" t="str">
        <f>IFERROR(SUMIFS(PC_Model!$T$2:$T$261,PC_Model!$K$2:$K$261,$A26,PC_Model!$L$2:$L$261,"E",PC_Model!$T$2:$T$261,"&gt;=0")/COUNTIFS(PC_Model!$K$2:$K$261,$A26,PC_Model!$L$2:$L$261,"E",PC_Model!$T$2:$T$261,"&gt;=0"),"")</f>
        <v/>
      </c>
      <c r="M26" s="36" t="str">
        <f t="shared" si="7"/>
        <v/>
      </c>
    </row>
    <row r="27" spans="1:13">
      <c r="A27" s="37">
        <v>7</v>
      </c>
      <c r="B27" s="36">
        <f>IFERROR(SUMIFS(PC_Model!$T$2:$T$261,PC_Model!$K$2:$K$261,$A27,PC_Model!$L$2:$L$261,"C",PC_Model!$T$2:$T$261,"&gt;=0")/COUNTIFS(PC_Model!$K$2:$K$261,$A27,PC_Model!$L$2:$L$261,"C",PC_Model!$T$2:$T$261,"&gt;=0"),"")</f>
        <v>10.18159101772034</v>
      </c>
      <c r="C27" s="36">
        <f>IFERROR(SUMIFS(PC_Model!$T$2:$T$261,PC_Model!$K$2:$K$261,$A27,PC_Model!$L$2:$L$261,"C",PC_Model!$T$2:$T$261,"&gt;=0")/COUNTIFS(PC_Model!$K$2:$K$261,$A27,PC_Model!$L$2:$L$261,"C",PC_Model!$T$2:$T$261,"&gt;=0"),"")</f>
        <v>10.18159101772034</v>
      </c>
      <c r="D27" s="36">
        <f t="shared" si="4"/>
        <v>0</v>
      </c>
      <c r="E27" s="36">
        <f>IFERROR(SUMIFS(PC_Model!$T$2:$T$261,PC_Model!$K$2:$K$261,$A27,PC_Model!$L$2:$L$261,"T",PC_Model!$T$2:$T$261,"&gt;=0")/COUNTIFS(PC_Model!$K$2:$K$261,$A27,PC_Model!$L$2:$L$261,"T",PC_Model!$T$2:$T$261,"&gt;=0"),"")</f>
        <v>11.861376040138477</v>
      </c>
      <c r="F27" s="36">
        <f>IFERROR(SUMIFS(PC_Model!$T$2:$T$261,PC_Model!$K$2:$K$261,$A27,PC_Model!$L$2:$L$261,"T",PC_Model!$T$2:$T$261,"&gt;=0")/COUNTIFS(PC_Model!$K$2:$K$261,$A27,PC_Model!$L$2:$L$261,"T",PC_Model!$T$2:$T$261,"&gt;=0"),"")</f>
        <v>11.861376040138477</v>
      </c>
      <c r="G27" s="36">
        <f t="shared" si="5"/>
        <v>0</v>
      </c>
      <c r="H27" s="36">
        <f>IFERROR(SUMIFS(PC_Model!$T$2:$T$261,PC_Model!$K$2:$K$261,$A27,PC_Model!$L$2:$L$261,"PT",PC_Model!$T$2:$T$261,"&gt;=0")/COUNTIFS(PC_Model!$K$2:$K$261,$A27,PC_Model!$L$2:$L$261,"PT",PC_Model!$T$2:$T$261,"&gt;=0"),"")</f>
        <v>20.714686730011927</v>
      </c>
      <c r="I27" s="36">
        <f>IFERROR(SUMIFS(PC_Model!$T$2:$T$261,PC_Model!$K$2:$K$261,$A27,PC_Model!$L$2:$L$261,"PT",PC_Model!$T$2:$T$261,"&gt;=0")/COUNTIFS(PC_Model!$K$2:$K$261,$A27,PC_Model!$L$2:$L$261,"PT",PC_Model!$T$2:$T$261,"&gt;=0"),"")</f>
        <v>20.714686730011927</v>
      </c>
      <c r="J27" s="36">
        <f t="shared" si="6"/>
        <v>0</v>
      </c>
      <c r="K27" s="36" t="str">
        <f>IFERROR(SUMIFS(PC_Model!$T$2:$T$261,PC_Model!$K$2:$K$261,$A27,PC_Model!$L$2:$L$261,"E",PC_Model!$T$2:$T$261,"&gt;=0")/COUNTIFS(PC_Model!$K$2:$K$261,$A27,PC_Model!$L$2:$L$261,"E",PC_Model!$T$2:$T$261,"&gt;=0"),"")</f>
        <v/>
      </c>
      <c r="L27" s="36" t="str">
        <f>IFERROR(SUMIFS(PC_Model!$T$2:$T$261,PC_Model!$K$2:$K$261,$A27,PC_Model!$L$2:$L$261,"E",PC_Model!$T$2:$T$261,"&gt;=0")/COUNTIFS(PC_Model!$K$2:$K$261,$A27,PC_Model!$L$2:$L$261,"E",PC_Model!$T$2:$T$261,"&gt;=0"),"")</f>
        <v/>
      </c>
      <c r="M27" s="36" t="str">
        <f t="shared" si="7"/>
        <v/>
      </c>
    </row>
    <row r="28" spans="1:13">
      <c r="A28" s="37">
        <v>8</v>
      </c>
      <c r="B28" s="36">
        <f>IFERROR(SUMIFS(PC_Model!$T$2:$T$261,PC_Model!$K$2:$K$261,$A28,PC_Model!$L$2:$L$261,"C",PC_Model!$T$2:$T$261,"&gt;=0")/COUNTIFS(PC_Model!$K$2:$K$261,$A28,PC_Model!$L$2:$L$261,"C",PC_Model!$T$2:$T$261,"&gt;=0"),"")</f>
        <v>12.172127706242218</v>
      </c>
      <c r="C28" s="36">
        <f>IFERROR(SUMIFS(PC_Model!$T$2:$T$261,PC_Model!$K$2:$K$261,$A28,PC_Model!$L$2:$L$261,"C",PC_Model!$T$2:$T$261,"&gt;=0")/COUNTIFS(PC_Model!$K$2:$K$261,$A28,PC_Model!$L$2:$L$261,"C",PC_Model!$T$2:$T$261,"&gt;=0"),"")</f>
        <v>12.172127706242218</v>
      </c>
      <c r="D28" s="36">
        <f t="shared" si="4"/>
        <v>0</v>
      </c>
      <c r="E28" s="36">
        <f>IFERROR(SUMIFS(PC_Model!$T$2:$T$261,PC_Model!$K$2:$K$261,$A28,PC_Model!$L$2:$L$261,"T",PC_Model!$T$2:$T$261,"&gt;=0")/COUNTIFS(PC_Model!$K$2:$K$261,$A28,PC_Model!$L$2:$L$261,"T",PC_Model!$T$2:$T$261,"&gt;=0"),"")</f>
        <v>13.880438343791056</v>
      </c>
      <c r="F28" s="36">
        <f>IFERROR(SUMIFS(PC_Model!$T$2:$T$261,PC_Model!$K$2:$K$261,$A28,PC_Model!$L$2:$L$261,"T",PC_Model!$T$2:$T$261,"&gt;=0")/COUNTIFS(PC_Model!$K$2:$K$261,$A28,PC_Model!$L$2:$L$261,"T",PC_Model!$T$2:$T$261,"&gt;=0"),"")</f>
        <v>13.880438343791056</v>
      </c>
      <c r="G28" s="36">
        <f t="shared" si="5"/>
        <v>0</v>
      </c>
      <c r="H28" s="36">
        <f>IFERROR(SUMIFS(PC_Model!$T$2:$T$261,PC_Model!$K$2:$K$261,$A28,PC_Model!$L$2:$L$261,"PT",PC_Model!$T$2:$T$261,"&gt;=0")/COUNTIFS(PC_Model!$K$2:$K$261,$A28,PC_Model!$L$2:$L$261,"PT",PC_Model!$T$2:$T$261,"&gt;=0"),"")</f>
        <v>24.20930081531008</v>
      </c>
      <c r="I28" s="36">
        <f>IFERROR(SUMIFS(PC_Model!$T$2:$T$261,PC_Model!$K$2:$K$261,$A28,PC_Model!$L$2:$L$261,"PT",PC_Model!$T$2:$T$261,"&gt;=0")/COUNTIFS(PC_Model!$K$2:$K$261,$A28,PC_Model!$L$2:$L$261,"PT",PC_Model!$T$2:$T$261,"&gt;=0"),"")</f>
        <v>24.20930081531008</v>
      </c>
      <c r="J28" s="36">
        <f t="shared" si="6"/>
        <v>0</v>
      </c>
      <c r="K28" s="36" t="str">
        <f>IFERROR(SUMIFS(PC_Model!$T$2:$T$261,PC_Model!$K$2:$K$261,$A28,PC_Model!$L$2:$L$261,"E",PC_Model!$T$2:$T$261,"&gt;=0")/COUNTIFS(PC_Model!$K$2:$K$261,$A28,PC_Model!$L$2:$L$261,"E",PC_Model!$T$2:$T$261,"&gt;=0"),"")</f>
        <v/>
      </c>
      <c r="L28" s="36" t="str">
        <f>IFERROR(SUMIFS(PC_Model!$T$2:$T$261,PC_Model!$K$2:$K$261,$A28,PC_Model!$L$2:$L$261,"E",PC_Model!$T$2:$T$261,"&gt;=0")/COUNTIFS(PC_Model!$K$2:$K$261,$A28,PC_Model!$L$2:$L$261,"E",PC_Model!$T$2:$T$261,"&gt;=0"),"")</f>
        <v/>
      </c>
      <c r="M28" s="36" t="str">
        <f t="shared" si="7"/>
        <v/>
      </c>
    </row>
    <row r="29" spans="1:13">
      <c r="A29" s="37">
        <v>9</v>
      </c>
      <c r="B29" s="36">
        <f>IFERROR(SUMIFS(PC_Model!$T$2:$T$261,PC_Model!$K$2:$K$261,$A29,PC_Model!$L$2:$L$261,"C",PC_Model!$T$2:$T$261,"&gt;=0")/COUNTIFS(PC_Model!$K$2:$K$261,$A29,PC_Model!$L$2:$L$261,"C",PC_Model!$T$2:$T$261,"&gt;=0"),"")</f>
        <v>14.278840836092149</v>
      </c>
      <c r="C29" s="36">
        <f>IFERROR(SUMIFS(PC_Model!$T$2:$T$261,PC_Model!$K$2:$K$261,$A29,PC_Model!$L$2:$L$261,"C",PC_Model!$T$2:$T$261,"&gt;=0")/COUNTIFS(PC_Model!$K$2:$K$261,$A29,PC_Model!$L$2:$L$261,"C",PC_Model!$T$2:$T$261,"&gt;=0"),"")</f>
        <v>14.278840836092149</v>
      </c>
      <c r="D29" s="36">
        <f t="shared" si="4"/>
        <v>0</v>
      </c>
      <c r="E29" s="36">
        <f>IFERROR(SUMIFS(PC_Model!$T$2:$T$261,PC_Model!$K$2:$K$261,$A29,PC_Model!$L$2:$L$261,"T",PC_Model!$T$2:$T$261,"&gt;=0")/COUNTIFS(PC_Model!$K$2:$K$261,$A29,PC_Model!$L$2:$L$261,"T",PC_Model!$T$2:$T$261,"&gt;=0"),"")</f>
        <v>15.897894053115303</v>
      </c>
      <c r="F29" s="36">
        <f>IFERROR(SUMIFS(PC_Model!$T$2:$T$261,PC_Model!$K$2:$K$261,$A29,PC_Model!$L$2:$L$261,"T",PC_Model!$T$2:$T$261,"&gt;=0")/COUNTIFS(PC_Model!$K$2:$K$261,$A29,PC_Model!$L$2:$L$261,"T",PC_Model!$T$2:$T$261,"&gt;=0"),"")</f>
        <v>15.897894053115303</v>
      </c>
      <c r="G29" s="36">
        <f t="shared" si="5"/>
        <v>0</v>
      </c>
      <c r="H29" s="36">
        <f>IFERROR(SUMIFS(PC_Model!$T$2:$T$261,PC_Model!$K$2:$K$261,$A29,PC_Model!$L$2:$L$261,"PT",PC_Model!$T$2:$T$261,"&gt;=0")/COUNTIFS(PC_Model!$K$2:$K$261,$A29,PC_Model!$L$2:$L$261,"PT",PC_Model!$T$2:$T$261,"&gt;=0"),"")</f>
        <v>27.7023083062799</v>
      </c>
      <c r="I29" s="36">
        <f>IFERROR(SUMIFS(PC_Model!$T$2:$T$261,PC_Model!$K$2:$K$261,$A29,PC_Model!$L$2:$L$261,"PT",PC_Model!$T$2:$T$261,"&gt;=0")/COUNTIFS(PC_Model!$K$2:$K$261,$A29,PC_Model!$L$2:$L$261,"PT",PC_Model!$T$2:$T$261,"&gt;=0"),"")</f>
        <v>27.7023083062799</v>
      </c>
      <c r="J29" s="36">
        <f t="shared" si="6"/>
        <v>0</v>
      </c>
      <c r="K29" s="36" t="str">
        <f>IFERROR(SUMIFS(PC_Model!$T$2:$T$261,PC_Model!$K$2:$K$261,$A29,PC_Model!$L$2:$L$261,"E",PC_Model!$T$2:$T$261,"&gt;=0")/COUNTIFS(PC_Model!$K$2:$K$261,$A29,PC_Model!$L$2:$L$261,"E",PC_Model!$T$2:$T$261,"&gt;=0"),"")</f>
        <v/>
      </c>
      <c r="L29" s="36" t="str">
        <f>IFERROR(SUMIFS(PC_Model!$T$2:$T$261,PC_Model!$K$2:$K$261,$A29,PC_Model!$L$2:$L$261,"E",PC_Model!$T$2:$T$261,"&gt;=0")/COUNTIFS(PC_Model!$K$2:$K$261,$A29,PC_Model!$L$2:$L$261,"E",PC_Model!$T$2:$T$261,"&gt;=0"),"")</f>
        <v/>
      </c>
      <c r="M29" s="36" t="str">
        <f t="shared" si="7"/>
        <v/>
      </c>
    </row>
    <row r="30" spans="1:13">
      <c r="A30" s="37">
        <v>10</v>
      </c>
      <c r="B30" s="36">
        <f>IFERROR(SUMIFS(PC_Model!$T$2:$T$261,PC_Model!$K$2:$K$261,$A30,PC_Model!$L$2:$L$261,"C",PC_Model!$T$2:$T$261,"&gt;=0")/COUNTIFS(PC_Model!$K$2:$K$261,$A30,PC_Model!$L$2:$L$261,"C",PC_Model!$T$2:$T$261,"&gt;=0"),"")</f>
        <v>16.522038643309259</v>
      </c>
      <c r="C30" s="36">
        <f>IFERROR(SUMIFS(PC_Model!$T$2:$T$261,PC_Model!$K$2:$K$261,$A30,PC_Model!$L$2:$L$261,"C",PC_Model!$T$2:$T$261,"&gt;=0")/COUNTIFS(PC_Model!$K$2:$K$261,$A30,PC_Model!$L$2:$L$261,"C",PC_Model!$T$2:$T$261,"&gt;=0"),"")</f>
        <v>16.522038643309259</v>
      </c>
      <c r="D30" s="36">
        <f t="shared" si="4"/>
        <v>0</v>
      </c>
      <c r="E30" s="36">
        <f>IFERROR(SUMIFS(PC_Model!$T$2:$T$261,PC_Model!$K$2:$K$261,$A30,PC_Model!$L$2:$L$261,"T",PC_Model!$T$2:$T$261,"&gt;=0")/COUNTIFS(PC_Model!$K$2:$K$261,$A30,PC_Model!$L$2:$L$261,"T",PC_Model!$T$2:$T$261,"&gt;=0"),"")</f>
        <v>17.91830304718221</v>
      </c>
      <c r="F30" s="36">
        <f>IFERROR(SUMIFS(PC_Model!$T$2:$T$261,PC_Model!$K$2:$K$261,$A30,PC_Model!$L$2:$L$261,"T",PC_Model!$T$2:$T$261,"&gt;=0")/COUNTIFS(PC_Model!$K$2:$K$261,$A30,PC_Model!$L$2:$L$261,"T",PC_Model!$T$2:$T$261,"&gt;=0"),"")</f>
        <v>17.91830304718221</v>
      </c>
      <c r="G30" s="36">
        <f t="shared" si="5"/>
        <v>0</v>
      </c>
      <c r="H30" s="36">
        <f>IFERROR(SUMIFS(PC_Model!$T$2:$T$261,PC_Model!$K$2:$K$261,$A30,PC_Model!$L$2:$L$261,"PT",PC_Model!$T$2:$T$261,"&gt;=0")/COUNTIFS(PC_Model!$K$2:$K$261,$A30,PC_Model!$L$2:$L$261,"PT",PC_Model!$T$2:$T$261,"&gt;=0"),"")</f>
        <v>31.198269081992372</v>
      </c>
      <c r="I30" s="36">
        <f>IFERROR(SUMIFS(PC_Model!$T$2:$T$261,PC_Model!$K$2:$K$261,$A30,PC_Model!$L$2:$L$261,"PT",PC_Model!$T$2:$T$261,"&gt;=0")/COUNTIFS(PC_Model!$K$2:$K$261,$A30,PC_Model!$L$2:$L$261,"PT",PC_Model!$T$2:$T$261,"&gt;=0"),"")</f>
        <v>31.198269081992372</v>
      </c>
      <c r="J30" s="36">
        <f t="shared" si="6"/>
        <v>0</v>
      </c>
      <c r="K30" s="36" t="str">
        <f>IFERROR(SUMIFS(PC_Model!$T$2:$T$261,PC_Model!$K$2:$K$261,$A30,PC_Model!$L$2:$L$261,"E",PC_Model!$T$2:$T$261,"&gt;=0")/COUNTIFS(PC_Model!$K$2:$K$261,$A30,PC_Model!$L$2:$L$261,"E",PC_Model!$T$2:$T$261,"&gt;=0"),"")</f>
        <v/>
      </c>
      <c r="L30" s="36" t="str">
        <f>IFERROR(SUMIFS(PC_Model!$T$2:$T$261,PC_Model!$K$2:$K$261,$A30,PC_Model!$L$2:$L$261,"E",PC_Model!$T$2:$T$261,"&gt;=0")/COUNTIFS(PC_Model!$K$2:$K$261,$A30,PC_Model!$L$2:$L$261,"E",PC_Model!$T$2:$T$261,"&gt;=0"),"")</f>
        <v/>
      </c>
      <c r="M30" s="36" t="str">
        <f t="shared" si="7"/>
        <v/>
      </c>
    </row>
    <row r="31" spans="1:13">
      <c r="A31" s="37">
        <v>11</v>
      </c>
      <c r="B31" s="36">
        <f>IFERROR(SUMIFS(PC_Model!$T$2:$T$261,PC_Model!$K$2:$K$261,$A31,PC_Model!$L$2:$L$261,"C",PC_Model!$T$2:$T$261,"&gt;=0")/COUNTIFS(PC_Model!$K$2:$K$261,$A31,PC_Model!$L$2:$L$261,"C",PC_Model!$T$2:$T$261,"&gt;=0"),"")</f>
        <v>18.929569442090305</v>
      </c>
      <c r="C31" s="36">
        <f>IFERROR(SUMIFS(PC_Model!$T$2:$T$261,PC_Model!$K$2:$K$261,$A31,PC_Model!$L$2:$L$261,"C",PC_Model!$T$2:$T$261,"&gt;=0")/COUNTIFS(PC_Model!$K$2:$K$261,$A31,PC_Model!$L$2:$L$261,"C",PC_Model!$T$2:$T$261,"&gt;=0"),"")</f>
        <v>18.929569442090305</v>
      </c>
      <c r="D31" s="36">
        <f t="shared" si="4"/>
        <v>0</v>
      </c>
      <c r="E31" s="36">
        <f>IFERROR(SUMIFS(PC_Model!$T$2:$T$261,PC_Model!$K$2:$K$261,$A31,PC_Model!$L$2:$L$261,"T",PC_Model!$T$2:$T$261,"&gt;=0")/COUNTIFS(PC_Model!$K$2:$K$261,$A31,PC_Model!$L$2:$L$261,"T",PC_Model!$T$2:$T$261,"&gt;=0"),"")</f>
        <v>19.948894352985786</v>
      </c>
      <c r="F31" s="36">
        <f>IFERROR(SUMIFS(PC_Model!$T$2:$T$261,PC_Model!$K$2:$K$261,$A31,PC_Model!$L$2:$L$261,"T",PC_Model!$T$2:$T$261,"&gt;=0")/COUNTIFS(PC_Model!$K$2:$K$261,$A31,PC_Model!$L$2:$L$261,"T",PC_Model!$T$2:$T$261,"&gt;=0"),"")</f>
        <v>19.948894352985786</v>
      </c>
      <c r="G31" s="36">
        <f t="shared" si="5"/>
        <v>0</v>
      </c>
      <c r="H31" s="36">
        <f>IFERROR(SUMIFS(PC_Model!$T$2:$T$261,PC_Model!$K$2:$K$261,$A31,PC_Model!$L$2:$L$261,"PT",PC_Model!$T$2:$T$261,"&gt;=0")/COUNTIFS(PC_Model!$K$2:$K$261,$A31,PC_Model!$L$2:$L$261,"PT",PC_Model!$T$2:$T$261,"&gt;=0"),"")</f>
        <v>34.704412169441532</v>
      </c>
      <c r="I31" s="36">
        <f>IFERROR(SUMIFS(PC_Model!$T$2:$T$261,PC_Model!$K$2:$K$261,$A31,PC_Model!$L$2:$L$261,"PT",PC_Model!$T$2:$T$261,"&gt;=0")/COUNTIFS(PC_Model!$K$2:$K$261,$A31,PC_Model!$L$2:$L$261,"PT",PC_Model!$T$2:$T$261,"&gt;=0"),"")</f>
        <v>34.704412169441532</v>
      </c>
      <c r="J31" s="36">
        <f t="shared" si="6"/>
        <v>0</v>
      </c>
      <c r="K31" s="36" t="str">
        <f>IFERROR(SUMIFS(PC_Model!$T$2:$T$261,PC_Model!$K$2:$K$261,$A31,PC_Model!$L$2:$L$261,"E",PC_Model!$T$2:$T$261,"&gt;=0")/COUNTIFS(PC_Model!$K$2:$K$261,$A31,PC_Model!$L$2:$L$261,"E",PC_Model!$T$2:$T$261,"&gt;=0"),"")</f>
        <v/>
      </c>
      <c r="L31" s="36" t="str">
        <f>IFERROR(SUMIFS(PC_Model!$T$2:$T$261,PC_Model!$K$2:$K$261,$A31,PC_Model!$L$2:$L$261,"E",PC_Model!$T$2:$T$261,"&gt;=0")/COUNTIFS(PC_Model!$K$2:$K$261,$A31,PC_Model!$L$2:$L$261,"E",PC_Model!$T$2:$T$261,"&gt;=0"),"")</f>
        <v/>
      </c>
      <c r="M31" s="36" t="str">
        <f t="shared" si="7"/>
        <v/>
      </c>
    </row>
    <row r="32" spans="1:13">
      <c r="A32" s="37">
        <v>12</v>
      </c>
      <c r="B32" s="36">
        <f>IFERROR(SUMIFS(PC_Model!$T$2:$T$261,PC_Model!$K$2:$K$261,$A32,PC_Model!$L$2:$L$261,"C",PC_Model!$T$2:$T$261,"&gt;=0")/COUNTIFS(PC_Model!$K$2:$K$261,$A32,PC_Model!$L$2:$L$261,"C",PC_Model!$T$2:$T$261,"&gt;=0"),"")</f>
        <v>21.541920493180655</v>
      </c>
      <c r="C32" s="36">
        <f>IFERROR(SUMIFS(PC_Model!$T$2:$T$261,PC_Model!$K$2:$K$261,$A32,PC_Model!$L$2:$L$261,"C",PC_Model!$T$2:$T$261,"&gt;=0")/COUNTIFS(PC_Model!$K$2:$K$261,$A32,PC_Model!$L$2:$L$261,"C",PC_Model!$T$2:$T$261,"&gt;=0"),"")</f>
        <v>21.541920493180655</v>
      </c>
      <c r="D32" s="36">
        <f t="shared" si="4"/>
        <v>0</v>
      </c>
      <c r="E32" s="36">
        <f>IFERROR(SUMIFS(PC_Model!$T$2:$T$261,PC_Model!$K$2:$K$261,$A32,PC_Model!$L$2:$L$261,"T",PC_Model!$T$2:$T$261,"&gt;=0")/COUNTIFS(PC_Model!$K$2:$K$261,$A32,PC_Model!$L$2:$L$261,"T",PC_Model!$T$2:$T$261,"&gt;=0"),"")</f>
        <v>22.001984354304717</v>
      </c>
      <c r="F32" s="36">
        <f>IFERROR(SUMIFS(PC_Model!$T$2:$T$261,PC_Model!$K$2:$K$261,$A32,PC_Model!$L$2:$L$261,"T",PC_Model!$T$2:$T$261,"&gt;=0")/COUNTIFS(PC_Model!$K$2:$K$261,$A32,PC_Model!$L$2:$L$261,"T",PC_Model!$T$2:$T$261,"&gt;=0"),"")</f>
        <v>22.001984354304717</v>
      </c>
      <c r="G32" s="36">
        <f t="shared" si="5"/>
        <v>0</v>
      </c>
      <c r="H32" s="36">
        <f>IFERROR(SUMIFS(PC_Model!$T$2:$T$261,PC_Model!$K$2:$K$261,$A32,PC_Model!$L$2:$L$261,"PT",PC_Model!$T$2:$T$261,"&gt;=0")/COUNTIFS(PC_Model!$K$2:$K$261,$A32,PC_Model!$L$2:$L$261,"PT",PC_Model!$T$2:$T$261,"&gt;=0"),"")</f>
        <v>38.233053952406038</v>
      </c>
      <c r="I32" s="36">
        <f>IFERROR(SUMIFS(PC_Model!$T$2:$T$261,PC_Model!$K$2:$K$261,$A32,PC_Model!$L$2:$L$261,"PT",PC_Model!$T$2:$T$261,"&gt;=0")/COUNTIFS(PC_Model!$K$2:$K$261,$A32,PC_Model!$L$2:$L$261,"PT",PC_Model!$T$2:$T$261,"&gt;=0"),"")</f>
        <v>38.233053952406038</v>
      </c>
      <c r="J32" s="36">
        <f t="shared" si="6"/>
        <v>0</v>
      </c>
      <c r="K32" s="36" t="str">
        <f>IFERROR(SUMIFS(PC_Model!$T$2:$T$261,PC_Model!$K$2:$K$261,$A32,PC_Model!$L$2:$L$261,"E",PC_Model!$T$2:$T$261,"&gt;=0")/COUNTIFS(PC_Model!$K$2:$K$261,$A32,PC_Model!$L$2:$L$261,"E",PC_Model!$T$2:$T$261,"&gt;=0"),"")</f>
        <v/>
      </c>
      <c r="L32" s="36" t="str">
        <f>IFERROR(SUMIFS(PC_Model!$T$2:$T$261,PC_Model!$K$2:$K$261,$A32,PC_Model!$L$2:$L$261,"E",PC_Model!$T$2:$T$261,"&gt;=0")/COUNTIFS(PC_Model!$K$2:$K$261,$A32,PC_Model!$L$2:$L$261,"E",PC_Model!$T$2:$T$261,"&gt;=0"),"")</f>
        <v/>
      </c>
      <c r="M32" s="36" t="str">
        <f t="shared" si="7"/>
        <v/>
      </c>
    </row>
    <row r="33" spans="1:13">
      <c r="A33" s="37">
        <v>13</v>
      </c>
      <c r="B33" s="36">
        <f>IFERROR(SUMIFS(PC_Model!$T$2:$T$261,PC_Model!$K$2:$K$261,$A33,PC_Model!$L$2:$L$261,"C",PC_Model!$T$2:$T$261,"&gt;=0")/COUNTIFS(PC_Model!$K$2:$K$261,$A33,PC_Model!$L$2:$L$261,"C",PC_Model!$T$2:$T$261,"&gt;=0"),"")</f>
        <v>24.423282701613893</v>
      </c>
      <c r="C33" s="36">
        <f>IFERROR(SUMIFS(PC_Model!$T$2:$T$261,PC_Model!$K$2:$K$261,$A33,PC_Model!$L$2:$L$261,"C",PC_Model!$T$2:$T$261,"&gt;=0")/COUNTIFS(PC_Model!$K$2:$K$261,$A33,PC_Model!$L$2:$L$261,"C",PC_Model!$T$2:$T$261,"&gt;=0"),"")</f>
        <v>24.423282701613893</v>
      </c>
      <c r="D33" s="36">
        <f t="shared" si="4"/>
        <v>0</v>
      </c>
      <c r="E33" s="36">
        <f>IFERROR(SUMIFS(PC_Model!$T$2:$T$261,PC_Model!$K$2:$K$261,$A33,PC_Model!$L$2:$L$261,"T",PC_Model!$T$2:$T$261,"&gt;=0")/COUNTIFS(PC_Model!$K$2:$K$261,$A33,PC_Model!$L$2:$L$261,"T",PC_Model!$T$2:$T$261,"&gt;=0"),"")</f>
        <v>24.100941961652328</v>
      </c>
      <c r="F33" s="36">
        <f>IFERROR(SUMIFS(PC_Model!$T$2:$T$261,PC_Model!$K$2:$K$261,$A33,PC_Model!$L$2:$L$261,"T",PC_Model!$T$2:$T$261,"&gt;=0")/COUNTIFS(PC_Model!$K$2:$K$261,$A33,PC_Model!$L$2:$L$261,"T",PC_Model!$T$2:$T$261,"&gt;=0"),"")</f>
        <v>24.100941961652328</v>
      </c>
      <c r="G33" s="36">
        <f t="shared" si="5"/>
        <v>0</v>
      </c>
      <c r="H33" s="36">
        <f>IFERROR(SUMIFS(PC_Model!$T$2:$T$261,PC_Model!$K$2:$K$261,$A33,PC_Model!$L$2:$L$261,"PT",PC_Model!$T$2:$T$261,"&gt;=0")/COUNTIFS(PC_Model!$K$2:$K$261,$A33,PC_Model!$L$2:$L$261,"PT",PC_Model!$T$2:$T$261,"&gt;=0"),"")</f>
        <v>41.807563341399224</v>
      </c>
      <c r="I33" s="36">
        <f>IFERROR(SUMIFS(PC_Model!$T$2:$T$261,PC_Model!$K$2:$K$261,$A33,PC_Model!$L$2:$L$261,"PT",PC_Model!$T$2:$T$261,"&gt;=0")/COUNTIFS(PC_Model!$K$2:$K$261,$A33,PC_Model!$L$2:$L$261,"PT",PC_Model!$T$2:$T$261,"&gt;=0"),"")</f>
        <v>41.807563341399224</v>
      </c>
      <c r="J33" s="36">
        <f t="shared" si="6"/>
        <v>0</v>
      </c>
      <c r="K33" s="36" t="str">
        <f>IFERROR(SUMIFS(PC_Model!$T$2:$T$261,PC_Model!$K$2:$K$261,$A33,PC_Model!$L$2:$L$261,"E",PC_Model!$T$2:$T$261,"&gt;=0")/COUNTIFS(PC_Model!$K$2:$K$261,$A33,PC_Model!$L$2:$L$261,"E",PC_Model!$T$2:$T$261,"&gt;=0"),"")</f>
        <v/>
      </c>
      <c r="L33" s="36" t="str">
        <f>IFERROR(SUMIFS(PC_Model!$T$2:$T$261,PC_Model!$K$2:$K$261,$A33,PC_Model!$L$2:$L$261,"E",PC_Model!$T$2:$T$261,"&gt;=0")/COUNTIFS(PC_Model!$K$2:$K$261,$A33,PC_Model!$L$2:$L$261,"E",PC_Model!$T$2:$T$261,"&gt;=0"),"")</f>
        <v/>
      </c>
      <c r="M33" s="36" t="str">
        <f t="shared" si="7"/>
        <v/>
      </c>
    </row>
    <row r="34" spans="1:13">
      <c r="A34" s="37">
        <v>14</v>
      </c>
      <c r="B34" s="36">
        <f>IFERROR(SUMIFS(PC_Model!$T$2:$T$261,PC_Model!$K$2:$K$261,$A34,PC_Model!$L$2:$L$261,"C",PC_Model!$T$2:$T$261,"&gt;=0")/COUNTIFS(PC_Model!$K$2:$K$261,$A34,PC_Model!$L$2:$L$261,"C",PC_Model!$T$2:$T$261,"&gt;=0"),"")</f>
        <v>27.691077836098021</v>
      </c>
      <c r="C34" s="36">
        <f>IFERROR(SUMIFS(PC_Model!$T$2:$T$261,PC_Model!$K$2:$K$261,$A34,PC_Model!$L$2:$L$261,"C",PC_Model!$T$2:$T$261,"&gt;=0")/COUNTIFS(PC_Model!$K$2:$K$261,$A34,PC_Model!$L$2:$L$261,"C",PC_Model!$T$2:$T$261,"&gt;=0"),"")</f>
        <v>27.691077836098021</v>
      </c>
      <c r="D34" s="36">
        <f t="shared" si="4"/>
        <v>0</v>
      </c>
      <c r="E34" s="36">
        <f>IFERROR(SUMIFS(PC_Model!$T$2:$T$261,PC_Model!$K$2:$K$261,$A34,PC_Model!$L$2:$L$261,"T",PC_Model!$T$2:$T$261,"&gt;=0")/COUNTIFS(PC_Model!$K$2:$K$261,$A34,PC_Model!$L$2:$L$261,"T",PC_Model!$T$2:$T$261,"&gt;=0"),"")</f>
        <v>26.298650422599042</v>
      </c>
      <c r="F34" s="36">
        <f>IFERROR(SUMIFS(PC_Model!$T$2:$T$261,PC_Model!$K$2:$K$261,$A34,PC_Model!$L$2:$L$261,"T",PC_Model!$T$2:$T$261,"&gt;=0")/COUNTIFS(PC_Model!$K$2:$K$261,$A34,PC_Model!$L$2:$L$261,"T",PC_Model!$T$2:$T$261,"&gt;=0"),"")</f>
        <v>26.298650422599042</v>
      </c>
      <c r="G34" s="36">
        <f t="shared" si="5"/>
        <v>0</v>
      </c>
      <c r="H34" s="36">
        <f>IFERROR(SUMIFS(PC_Model!$T$2:$T$261,PC_Model!$K$2:$K$261,$A34,PC_Model!$L$2:$L$261,"PT",PC_Model!$T$2:$T$261,"&gt;=0")/COUNTIFS(PC_Model!$K$2:$K$261,$A34,PC_Model!$L$2:$L$261,"PT",PC_Model!$T$2:$T$261,"&gt;=0"),"")</f>
        <v>45.480823583991508</v>
      </c>
      <c r="I34" s="36">
        <f>IFERROR(SUMIFS(PC_Model!$T$2:$T$261,PC_Model!$K$2:$K$261,$A34,PC_Model!$L$2:$L$261,"PT",PC_Model!$T$2:$T$261,"&gt;=0")/COUNTIFS(PC_Model!$K$2:$K$261,$A34,PC_Model!$L$2:$L$261,"PT",PC_Model!$T$2:$T$261,"&gt;=0"),"")</f>
        <v>45.480823583991508</v>
      </c>
      <c r="J34" s="36">
        <f t="shared" si="6"/>
        <v>0</v>
      </c>
      <c r="K34" s="36" t="str">
        <f>IFERROR(SUMIFS(PC_Model!$T$2:$T$261,PC_Model!$K$2:$K$261,$A34,PC_Model!$L$2:$L$261,"E",PC_Model!$T$2:$T$261,"&gt;=0")/COUNTIFS(PC_Model!$K$2:$K$261,$A34,PC_Model!$L$2:$L$261,"E",PC_Model!$T$2:$T$261,"&gt;=0"),"")</f>
        <v/>
      </c>
      <c r="L34" s="36" t="str">
        <f>IFERROR(SUMIFS(PC_Model!$T$2:$T$261,PC_Model!$K$2:$K$261,$A34,PC_Model!$L$2:$L$261,"E",PC_Model!$T$2:$T$261,"&gt;=0")/COUNTIFS(PC_Model!$K$2:$K$261,$A34,PC_Model!$L$2:$L$261,"E",PC_Model!$T$2:$T$261,"&gt;=0"),"")</f>
        <v/>
      </c>
      <c r="M34" s="36" t="str">
        <f t="shared" si="7"/>
        <v/>
      </c>
    </row>
    <row r="35" spans="1:13">
      <c r="A35" s="37">
        <v>15</v>
      </c>
      <c r="B35" s="36">
        <f>IFERROR(SUMIFS(PC_Model!$T$2:$T$261,PC_Model!$K$2:$K$261,$A35,PC_Model!$L$2:$L$261,"C",PC_Model!$T$2:$T$261,"&gt;=0")/COUNTIFS(PC_Model!$K$2:$K$261,$A35,PC_Model!$L$2:$L$261,"C",PC_Model!$T$2:$T$261,"&gt;=0"),"")</f>
        <v>31.632612219660803</v>
      </c>
      <c r="C35" s="36">
        <f>IFERROR(SUMIFS(PC_Model!$T$2:$T$261,PC_Model!$K$2:$K$261,$A35,PC_Model!$L$2:$L$261,"C",PC_Model!$T$2:$T$261,"&gt;=0")/COUNTIFS(PC_Model!$K$2:$K$261,$A35,PC_Model!$L$2:$L$261,"C",PC_Model!$T$2:$T$261,"&gt;=0"),"")</f>
        <v>31.632612219660803</v>
      </c>
      <c r="D35" s="36">
        <f t="shared" si="4"/>
        <v>0</v>
      </c>
      <c r="E35" s="36">
        <f>IFERROR(SUMIFS(PC_Model!$T$2:$T$261,PC_Model!$K$2:$K$261,$A35,PC_Model!$L$2:$L$261,"T",PC_Model!$T$2:$T$261,"&gt;=0")/COUNTIFS(PC_Model!$K$2:$K$261,$A35,PC_Model!$L$2:$L$261,"T",PC_Model!$T$2:$T$261,"&gt;=0"),"")</f>
        <v>28.76463302451625</v>
      </c>
      <c r="F35" s="36">
        <f>IFERROR(SUMIFS(PC_Model!$T$2:$T$261,PC_Model!$K$2:$K$261,$A35,PC_Model!$L$2:$L$261,"T",PC_Model!$T$2:$T$261,"&gt;=0")/COUNTIFS(PC_Model!$K$2:$K$261,$A35,PC_Model!$L$2:$L$261,"T",PC_Model!$T$2:$T$261,"&gt;=0"),"")</f>
        <v>28.76463302451625</v>
      </c>
      <c r="G35" s="36">
        <f t="shared" si="5"/>
        <v>0</v>
      </c>
      <c r="H35" s="36">
        <f>IFERROR(SUMIFS(PC_Model!$T$2:$T$261,PC_Model!$K$2:$K$261,$A35,PC_Model!$L$2:$L$261,"PT",PC_Model!$T$2:$T$261,"&gt;=0")/COUNTIFS(PC_Model!$K$2:$K$261,$A35,PC_Model!$L$2:$L$261,"PT",PC_Model!$T$2:$T$261,"&gt;=0"),"")</f>
        <v>49.422357967554298</v>
      </c>
      <c r="I35" s="36">
        <f>IFERROR(SUMIFS(PC_Model!$T$2:$T$261,PC_Model!$K$2:$K$261,$A35,PC_Model!$L$2:$L$261,"PT",PC_Model!$T$2:$T$261,"&gt;=0")/COUNTIFS(PC_Model!$K$2:$K$261,$A35,PC_Model!$L$2:$L$261,"PT",PC_Model!$T$2:$T$261,"&gt;=0"),"")</f>
        <v>49.422357967554298</v>
      </c>
      <c r="J35" s="36">
        <f t="shared" si="6"/>
        <v>0</v>
      </c>
      <c r="K35" s="36" t="str">
        <f>IFERROR(SUMIFS(PC_Model!$T$2:$T$261,PC_Model!$K$2:$K$261,$A35,PC_Model!$L$2:$L$261,"E",PC_Model!$T$2:$T$261,"&gt;=0")/COUNTIFS(PC_Model!$K$2:$K$261,$A35,PC_Model!$L$2:$L$261,"E",PC_Model!$T$2:$T$261,"&gt;=0"),"")</f>
        <v/>
      </c>
      <c r="L35" s="36" t="str">
        <f>IFERROR(SUMIFS(PC_Model!$T$2:$T$261,PC_Model!$K$2:$K$261,$A35,PC_Model!$L$2:$L$261,"E",PC_Model!$T$2:$T$261,"&gt;=0")/COUNTIFS(PC_Model!$K$2:$K$261,$A35,PC_Model!$L$2:$L$261,"E",PC_Model!$T$2:$T$261,"&gt;=0"),"")</f>
        <v/>
      </c>
      <c r="M35" s="36" t="str">
        <f t="shared" si="7"/>
        <v/>
      </c>
    </row>
    <row r="38" spans="1:13">
      <c r="A38" s="50" t="s">
        <v>221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 spans="1:13">
      <c r="A39" s="35" t="s">
        <v>91</v>
      </c>
      <c r="B39" s="35" t="s">
        <v>208</v>
      </c>
      <c r="C39" s="35" t="s">
        <v>209</v>
      </c>
      <c r="D39" s="35" t="s">
        <v>210</v>
      </c>
      <c r="E39" s="35" t="s">
        <v>211</v>
      </c>
      <c r="F39" s="35" t="s">
        <v>212</v>
      </c>
      <c r="G39" s="35" t="s">
        <v>213</v>
      </c>
      <c r="H39" s="35" t="s">
        <v>214</v>
      </c>
      <c r="I39" s="35" t="s">
        <v>215</v>
      </c>
      <c r="J39" s="35" t="s">
        <v>216</v>
      </c>
      <c r="K39" s="35" t="s">
        <v>217</v>
      </c>
      <c r="L39" s="35" t="s">
        <v>218</v>
      </c>
      <c r="M39" s="35" t="s">
        <v>219</v>
      </c>
    </row>
    <row r="40" spans="1:13">
      <c r="A40" s="37">
        <v>3</v>
      </c>
      <c r="B40" s="36">
        <f>IFERROR(SUMIFS(PC_Model!$AA$2:$AA$261,PC_Model!$K$2:$K$261,$A40,PC_Model!$L$2:$L$261,"C",PC_Model!$AA$2:$AA$261,"&gt;=0")/COUNTIFS(PC_Model!$K$2:$K$261,$A40,PC_Model!$L$2:$L$261,"C",PC_Model!$AA$2:$AA$261,"&gt;=0"),"")</f>
        <v>0.62331835029115834</v>
      </c>
      <c r="C40" s="36">
        <f>IFERROR(SUMIFS(PC_Model!$U$2:$U$261,PC_Model!$K$2:$K$261,$A40,PC_Model!$L$2:$L$261,"C",PC_Model!$U$2:$U$261,"&gt;=0")/COUNTIFS(PC_Model!$K$2:$K$261,$A40,PC_Model!$L$2:$L$261,"C",PC_Model!$U$2:$U$261,"&gt;=0"),"")</f>
        <v>0.62335010496909882</v>
      </c>
      <c r="D40" s="36">
        <f t="shared" ref="D40:D52" si="8">IF(OR(B40="",C40=""),"",C40-B40)</f>
        <v>3.1754677940476483E-5</v>
      </c>
      <c r="E40" s="36">
        <f>IFERROR(SUMIFS(PC_Model!$AA$2:$AA$261,PC_Model!$K$2:$K$261,$A40,PC_Model!$L$2:$L$261,"T",PC_Model!$AA$2:$AA$261,"&gt;=0")/COUNTIFS(PC_Model!$K$2:$K$261,$A40,PC_Model!$L$2:$L$261,"T",PC_Model!$AA$2:$AA$261,"&gt;=0"),"")</f>
        <v>0.74418033098354264</v>
      </c>
      <c r="F40" s="36">
        <f>IFERROR(SUMIFS(PC_Model!$U$2:$U$261,PC_Model!$K$2:$K$261,$A40,PC_Model!$L$2:$L$261,"T",PC_Model!$U$2:$U$261,"&gt;=0")/COUNTIFS(PC_Model!$K$2:$K$261,$A40,PC_Model!$L$2:$L$261,"T",PC_Model!$U$2:$U$261,"&gt;=0"),"")</f>
        <v>0.7445359272399259</v>
      </c>
      <c r="G40" s="36">
        <f t="shared" ref="G40:G52" si="9">IF(OR(E40="",F40=""),"",F40-E40)</f>
        <v>3.5559625638326153E-4</v>
      </c>
      <c r="H40" s="36">
        <f>IFERROR(SUMIFS(PC_Model!$AA$2:$AA$261,PC_Model!$K$2:$K$261,$A40,PC_Model!$L$2:$L$261,"PT",PC_Model!$AA$2:$AA$261,"&gt;=0")/COUNTIFS(PC_Model!$K$2:$K$261,$A40,PC_Model!$L$2:$L$261,"PT",PC_Model!$AA$2:$AA$261,"&gt;=0"),"")</f>
        <v>1.999640529629179</v>
      </c>
      <c r="I40" s="36">
        <f>IFERROR(SUMIFS(PC_Model!$U$2:$U$261,PC_Model!$K$2:$K$261,$A40,PC_Model!$L$2:$L$261,"PT",PC_Model!$U$2:$U$261,"&gt;=0")/COUNTIFS(PC_Model!$K$2:$K$261,$A40,PC_Model!$L$2:$L$261,"PT",PC_Model!$U$2:$U$261,"&gt;=0"),"")</f>
        <v>1.8879856569020887</v>
      </c>
      <c r="J40" s="36">
        <f t="shared" ref="J40:J52" si="10">IF(OR(H40="",I40=""),"",I40-H40)</f>
        <v>-0.11165487272709029</v>
      </c>
      <c r="K40" s="36">
        <f>IFERROR(SUMIFS(PC_Model!$AA$2:$AA$261,PC_Model!$K$2:$K$261,$A40,PC_Model!$L$2:$L$261,"E",PC_Model!$AA$2:$AA$261,"&gt;=0")/COUNTIFS(PC_Model!$K$2:$K$261,$A40,PC_Model!$L$2:$L$261,"E",PC_Model!$AA$2:$AA$261,"&gt;=0"),"")</f>
        <v>1.6823574103239072</v>
      </c>
      <c r="L40" s="36">
        <f>IFERROR(SUMIFS(PC_Model!$U$2:$U$261,PC_Model!$K$2:$K$261,$A40,PC_Model!$L$2:$L$261,"E",PC_Model!$U$2:$U$261,"&gt;=0")/COUNTIFS(PC_Model!$K$2:$K$261,$A40,PC_Model!$L$2:$L$261,"E",PC_Model!$U$2:$U$261,"&gt;=0"),"")</f>
        <v>1.5769445248280438</v>
      </c>
      <c r="M40" s="36">
        <f t="shared" ref="M40:M52" si="11">IF(OR(K40="",L40=""),"",L40-K40)</f>
        <v>-0.10541288549586336</v>
      </c>
    </row>
    <row r="41" spans="1:13">
      <c r="A41" s="37">
        <v>4</v>
      </c>
      <c r="B41" s="36">
        <f>IFERROR(SUMIFS(PC_Model!$AA$2:$AA$261,PC_Model!$K$2:$K$261,$A41,PC_Model!$L$2:$L$261,"C",PC_Model!$AA$2:$AA$261,"&gt;=0")/COUNTIFS(PC_Model!$K$2:$K$261,$A41,PC_Model!$L$2:$L$261,"C",PC_Model!$AA$2:$AA$261,"&gt;=0"),"")</f>
        <v>0.95378664045661643</v>
      </c>
      <c r="C41" s="36">
        <f>IFERROR(SUMIFS(PC_Model!$U$2:$U$261,PC_Model!$K$2:$K$261,$A41,PC_Model!$L$2:$L$261,"C",PC_Model!$U$2:$U$261,"&gt;=0")/COUNTIFS(PC_Model!$K$2:$K$261,$A41,PC_Model!$L$2:$L$261,"C",PC_Model!$U$2:$U$261,"&gt;=0"),"")</f>
        <v>0.95915785397151188</v>
      </c>
      <c r="D41" s="36">
        <f t="shared" si="8"/>
        <v>5.3712135148954454E-3</v>
      </c>
      <c r="E41" s="36">
        <f>IFERROR(SUMIFS(PC_Model!$AA$2:$AA$261,PC_Model!$K$2:$K$261,$A41,PC_Model!$L$2:$L$261,"T",PC_Model!$AA$2:$AA$261,"&gt;=0")/COUNTIFS(PC_Model!$K$2:$K$261,$A41,PC_Model!$L$2:$L$261,"T",PC_Model!$AA$2:$AA$261,"&gt;=0"),"")</f>
        <v>1.1538941610208391</v>
      </c>
      <c r="F41" s="36">
        <f>IFERROR(SUMIFS(PC_Model!$U$2:$U$261,PC_Model!$K$2:$K$261,$A41,PC_Model!$L$2:$L$261,"T",PC_Model!$U$2:$U$261,"&gt;=0")/COUNTIFS(PC_Model!$K$2:$K$261,$A41,PC_Model!$L$2:$L$261,"T",PC_Model!$U$2:$U$261,"&gt;=0"),"")</f>
        <v>1.1576731728313647</v>
      </c>
      <c r="G41" s="36">
        <f t="shared" si="9"/>
        <v>3.7790118105256454E-3</v>
      </c>
      <c r="H41" s="36">
        <f>IFERROR(SUMIFS(PC_Model!$AA$2:$AA$261,PC_Model!$K$2:$K$261,$A41,PC_Model!$L$2:$L$261,"PT",PC_Model!$AA$2:$AA$261,"&gt;=0")/COUNTIFS(PC_Model!$K$2:$K$261,$A41,PC_Model!$L$2:$L$261,"PT",PC_Model!$AA$2:$AA$261,"&gt;=0"),"")</f>
        <v>3.9082933986985759</v>
      </c>
      <c r="I41" s="36">
        <f>IFERROR(SUMIFS(PC_Model!$U$2:$U$261,PC_Model!$K$2:$K$261,$A41,PC_Model!$L$2:$L$261,"PT",PC_Model!$U$2:$U$261,"&gt;=0")/COUNTIFS(PC_Model!$K$2:$K$261,$A41,PC_Model!$L$2:$L$261,"PT",PC_Model!$U$2:$U$261,"&gt;=0"),"")</f>
        <v>3.5382060006231177</v>
      </c>
      <c r="J41" s="36">
        <f t="shared" si="10"/>
        <v>-0.37008739807545821</v>
      </c>
      <c r="K41" s="36">
        <f>IFERROR(SUMIFS(PC_Model!$AA$2:$AA$261,PC_Model!$K$2:$K$261,$A41,PC_Model!$L$2:$L$261,"E",PC_Model!$AA$2:$AA$261,"&gt;=0")/COUNTIFS(PC_Model!$K$2:$K$261,$A41,PC_Model!$L$2:$L$261,"E",PC_Model!$AA$2:$AA$261,"&gt;=0"),"")</f>
        <v>4.3591141686102413</v>
      </c>
      <c r="L41" s="36">
        <f>IFERROR(SUMIFS(PC_Model!$U$2:$U$261,PC_Model!$K$2:$K$261,$A41,PC_Model!$L$2:$L$261,"E",PC_Model!$U$2:$U$261,"&gt;=0")/COUNTIFS(PC_Model!$K$2:$K$261,$A41,PC_Model!$L$2:$L$261,"E",PC_Model!$U$2:$U$261,"&gt;=0"),"")</f>
        <v>3.8707813241235085</v>
      </c>
      <c r="M41" s="36">
        <f t="shared" si="11"/>
        <v>-0.48833284448673275</v>
      </c>
    </row>
    <row r="42" spans="1:13">
      <c r="A42" s="37">
        <v>5</v>
      </c>
      <c r="B42" s="36">
        <f>IFERROR(SUMIFS(PC_Model!$AA$2:$AA$261,PC_Model!$K$2:$K$261,$A42,PC_Model!$L$2:$L$261,"C",PC_Model!$AA$2:$AA$261,"&gt;=0")/COUNTIFS(PC_Model!$K$2:$K$261,$A42,PC_Model!$L$2:$L$261,"C",PC_Model!$AA$2:$AA$261,"&gt;=0"),"")</f>
        <v>1.3231421171123696</v>
      </c>
      <c r="C42" s="36">
        <f>IFERROR(SUMIFS(PC_Model!$U$2:$U$261,PC_Model!$K$2:$K$261,$A42,PC_Model!$L$2:$L$261,"C",PC_Model!$U$2:$U$261,"&gt;=0")/COUNTIFS(PC_Model!$K$2:$K$261,$A42,PC_Model!$L$2:$L$261,"C",PC_Model!$U$2:$U$261,"&gt;=0"),"")</f>
        <v>1.3935409637088179</v>
      </c>
      <c r="D42" s="36">
        <f t="shared" si="8"/>
        <v>7.0398846596448239E-2</v>
      </c>
      <c r="E42" s="36">
        <f>IFERROR(SUMIFS(PC_Model!$AA$2:$AA$261,PC_Model!$K$2:$K$261,$A42,PC_Model!$L$2:$L$261,"T",PC_Model!$AA$2:$AA$261,"&gt;=0")/COUNTIFS(PC_Model!$K$2:$K$261,$A42,PC_Model!$L$2:$L$261,"T",PC_Model!$AA$2:$AA$261,"&gt;=0"),"")</f>
        <v>1.5632453949614364</v>
      </c>
      <c r="F42" s="36">
        <f>IFERROR(SUMIFS(PC_Model!$U$2:$U$261,PC_Model!$K$2:$K$261,$A42,PC_Model!$L$2:$L$261,"T",PC_Model!$U$2:$U$261,"&gt;=0")/COUNTIFS(PC_Model!$K$2:$K$261,$A42,PC_Model!$L$2:$L$261,"T",PC_Model!$U$2:$U$261,"&gt;=0"),"")</f>
        <v>1.583760472704087</v>
      </c>
      <c r="G42" s="36">
        <f t="shared" si="9"/>
        <v>2.05150777426506E-2</v>
      </c>
      <c r="H42" s="36">
        <f>IFERROR(SUMIFS(PC_Model!$AA$2:$AA$261,PC_Model!$K$2:$K$261,$A42,PC_Model!$L$2:$L$261,"PT",PC_Model!$AA$2:$AA$261,"&gt;=0")/COUNTIFS(PC_Model!$K$2:$K$261,$A42,PC_Model!$L$2:$L$261,"PT",PC_Model!$AA$2:$AA$261,"&gt;=0"),"")</f>
        <v>6.0233599701435008</v>
      </c>
      <c r="I42" s="36">
        <f>IFERROR(SUMIFS(PC_Model!$U$2:$U$261,PC_Model!$K$2:$K$261,$A42,PC_Model!$L$2:$L$261,"PT",PC_Model!$U$2:$U$261,"&gt;=0")/COUNTIFS(PC_Model!$K$2:$K$261,$A42,PC_Model!$L$2:$L$261,"PT",PC_Model!$U$2:$U$261,"&gt;=0"),"")</f>
        <v>5.4015772832490514</v>
      </c>
      <c r="J42" s="36">
        <f t="shared" si="10"/>
        <v>-0.62178268689444938</v>
      </c>
      <c r="K42" s="36">
        <f>IFERROR(SUMIFS(PC_Model!$AA$2:$AA$261,PC_Model!$K$2:$K$261,$A42,PC_Model!$L$2:$L$261,"E",PC_Model!$AA$2:$AA$261,"&gt;=0")/COUNTIFS(PC_Model!$K$2:$K$261,$A42,PC_Model!$L$2:$L$261,"E",PC_Model!$AA$2:$AA$261,"&gt;=0"),"")</f>
        <v>7.5509667720909199</v>
      </c>
      <c r="L42" s="36">
        <f>IFERROR(SUMIFS(PC_Model!$U$2:$U$261,PC_Model!$K$2:$K$261,$A42,PC_Model!$L$2:$L$261,"E",PC_Model!$U$2:$U$261,"&gt;=0")/COUNTIFS(PC_Model!$K$2:$K$261,$A42,PC_Model!$L$2:$L$261,"E",PC_Model!$U$2:$U$261,"&gt;=0"),"")</f>
        <v>7.9749743638080313</v>
      </c>
      <c r="M42" s="36">
        <f t="shared" si="11"/>
        <v>0.42400759171711133</v>
      </c>
    </row>
    <row r="43" spans="1:13">
      <c r="A43" s="37">
        <v>6</v>
      </c>
      <c r="B43" s="36">
        <f>IFERROR(SUMIFS(PC_Model!$AA$2:$AA$261,PC_Model!$K$2:$K$261,$A43,PC_Model!$L$2:$L$261,"C",PC_Model!$AA$2:$AA$261,"&gt;=0")/COUNTIFS(PC_Model!$K$2:$K$261,$A43,PC_Model!$L$2:$L$261,"C",PC_Model!$AA$2:$AA$261,"&gt;=0"),"")</f>
        <v>1.9743571202217456</v>
      </c>
      <c r="C43" s="36">
        <f>IFERROR(SUMIFS(PC_Model!$U$2:$U$261,PC_Model!$K$2:$K$261,$A43,PC_Model!$L$2:$L$261,"C",PC_Model!$U$2:$U$261,"&gt;=0")/COUNTIFS(PC_Model!$K$2:$K$261,$A43,PC_Model!$L$2:$L$261,"C",PC_Model!$U$2:$U$261,"&gt;=0"),"")</f>
        <v>2.1069000771252613</v>
      </c>
      <c r="D43" s="36">
        <f t="shared" si="8"/>
        <v>0.1325429569035157</v>
      </c>
      <c r="E43" s="36">
        <f>IFERROR(SUMIFS(PC_Model!$AA$2:$AA$261,PC_Model!$K$2:$K$261,$A43,PC_Model!$L$2:$L$261,"T",PC_Model!$AA$2:$AA$261,"&gt;=0")/COUNTIFS(PC_Model!$K$2:$K$261,$A43,PC_Model!$L$2:$L$261,"T",PC_Model!$AA$2:$AA$261,"&gt;=0"),"")</f>
        <v>1.9822516262843686</v>
      </c>
      <c r="F43" s="36">
        <f>IFERROR(SUMIFS(PC_Model!$U$2:$U$261,PC_Model!$K$2:$K$261,$A43,PC_Model!$L$2:$L$261,"T",PC_Model!$U$2:$U$261,"&gt;=0")/COUNTIFS(PC_Model!$K$2:$K$261,$A43,PC_Model!$L$2:$L$261,"T",PC_Model!$U$2:$U$261,"&gt;=0"),"")</f>
        <v>2.044719288902531</v>
      </c>
      <c r="G43" s="36">
        <f t="shared" si="9"/>
        <v>6.246766261816239E-2</v>
      </c>
      <c r="H43" s="36">
        <f>IFERROR(SUMIFS(PC_Model!$AA$2:$AA$261,PC_Model!$K$2:$K$261,$A43,PC_Model!$L$2:$L$261,"PT",PC_Model!$AA$2:$AA$261,"&gt;=0")/COUNTIFS(PC_Model!$K$2:$K$261,$A43,PC_Model!$L$2:$L$261,"PT",PC_Model!$AA$2:$AA$261,"&gt;=0"),"")</f>
        <v>8.2356042929450339</v>
      </c>
      <c r="I43" s="36">
        <f>IFERROR(SUMIFS(PC_Model!$U$2:$U$261,PC_Model!$K$2:$K$261,$A43,PC_Model!$L$2:$L$261,"PT",PC_Model!$U$2:$U$261,"&gt;=0")/COUNTIFS(PC_Model!$K$2:$K$261,$A43,PC_Model!$L$2:$L$261,"PT",PC_Model!$U$2:$U$261,"&gt;=0"),"")</f>
        <v>7.3953846458702319</v>
      </c>
      <c r="J43" s="36">
        <f t="shared" si="10"/>
        <v>-0.84021964707480201</v>
      </c>
      <c r="K43" s="36" t="str">
        <f>IFERROR(SUMIFS(PC_Model!$AA$2:$AA$261,PC_Model!$K$2:$K$261,$A43,PC_Model!$L$2:$L$261,"E",PC_Model!$AA$2:$AA$261,"&gt;=0")/COUNTIFS(PC_Model!$K$2:$K$261,$A43,PC_Model!$L$2:$L$261,"E",PC_Model!$AA$2:$AA$261,"&gt;=0"),"")</f>
        <v/>
      </c>
      <c r="L43" s="36" t="str">
        <f>IFERROR(SUMIFS(PC_Model!$U$2:$U$261,PC_Model!$K$2:$K$261,$A43,PC_Model!$L$2:$L$261,"E",PC_Model!$U$2:$U$261,"&gt;=0")/COUNTIFS(PC_Model!$K$2:$K$261,$A43,PC_Model!$L$2:$L$261,"E",PC_Model!$U$2:$U$261,"&gt;=0"),"")</f>
        <v/>
      </c>
      <c r="M43" s="36" t="str">
        <f t="shared" si="11"/>
        <v/>
      </c>
    </row>
    <row r="44" spans="1:13">
      <c r="A44" s="37">
        <v>7</v>
      </c>
      <c r="B44" s="36">
        <f>IFERROR(SUMIFS(PC_Model!$AA$2:$AA$261,PC_Model!$K$2:$K$261,$A44,PC_Model!$L$2:$L$261,"C",PC_Model!$AA$2:$AA$261,"&gt;=0")/COUNTIFS(PC_Model!$K$2:$K$261,$A44,PC_Model!$L$2:$L$261,"C",PC_Model!$AA$2:$AA$261,"&gt;=0"),"")</f>
        <v>3.2817888718168282</v>
      </c>
      <c r="C44" s="36">
        <f>IFERROR(SUMIFS(PC_Model!$U$2:$U$261,PC_Model!$K$2:$K$261,$A44,PC_Model!$L$2:$L$261,"C",PC_Model!$U$2:$U$261,"&gt;=0")/COUNTIFS(PC_Model!$K$2:$K$261,$A44,PC_Model!$L$2:$L$261,"C",PC_Model!$U$2:$U$261,"&gt;=0"),"")</f>
        <v>3.2006448541102004</v>
      </c>
      <c r="D44" s="36">
        <f t="shared" si="8"/>
        <v>-8.1144017706627825E-2</v>
      </c>
      <c r="E44" s="36">
        <f>IFERROR(SUMIFS(PC_Model!$AA$2:$AA$261,PC_Model!$K$2:$K$261,$A44,PC_Model!$L$2:$L$261,"T",PC_Model!$AA$2:$AA$261,"&gt;=0")/COUNTIFS(PC_Model!$K$2:$K$261,$A44,PC_Model!$L$2:$L$261,"T",PC_Model!$AA$2:$AA$261,"&gt;=0"),"")</f>
        <v>2.449824079764066</v>
      </c>
      <c r="F44" s="36">
        <f>IFERROR(SUMIFS(PC_Model!$U$2:$U$261,PC_Model!$K$2:$K$261,$A44,PC_Model!$L$2:$L$261,"T",PC_Model!$U$2:$U$261,"&gt;=0")/COUNTIFS(PC_Model!$K$2:$K$261,$A44,PC_Model!$L$2:$L$261,"T",PC_Model!$U$2:$U$261,"&gt;=0"),"")</f>
        <v>2.5679333771109407</v>
      </c>
      <c r="G44" s="36">
        <f t="shared" si="9"/>
        <v>0.1181092973468747</v>
      </c>
      <c r="H44" s="36">
        <f>IFERROR(SUMIFS(PC_Model!$AA$2:$AA$261,PC_Model!$K$2:$K$261,$A44,PC_Model!$L$2:$L$261,"PT",PC_Model!$AA$2:$AA$261,"&gt;=0")/COUNTIFS(PC_Model!$K$2:$K$261,$A44,PC_Model!$L$2:$L$261,"PT",PC_Model!$AA$2:$AA$261,"&gt;=0"),"")</f>
        <v>10.530597794022947</v>
      </c>
      <c r="I44" s="36">
        <f>IFERROR(SUMIFS(PC_Model!$U$2:$U$261,PC_Model!$K$2:$K$261,$A44,PC_Model!$L$2:$L$261,"PT",PC_Model!$U$2:$U$261,"&gt;=0")/COUNTIFS(PC_Model!$K$2:$K$261,$A44,PC_Model!$L$2:$L$261,"PT",PC_Model!$U$2:$U$261,"&gt;=0"),"")</f>
        <v>9.4883693228221944</v>
      </c>
      <c r="J44" s="36">
        <f t="shared" si="10"/>
        <v>-1.0422284712007528</v>
      </c>
      <c r="K44" s="36" t="str">
        <f>IFERROR(SUMIFS(PC_Model!$AA$2:$AA$261,PC_Model!$K$2:$K$261,$A44,PC_Model!$L$2:$L$261,"E",PC_Model!$AA$2:$AA$261,"&gt;=0")/COUNTIFS(PC_Model!$K$2:$K$261,$A44,PC_Model!$L$2:$L$261,"E",PC_Model!$AA$2:$AA$261,"&gt;=0"),"")</f>
        <v/>
      </c>
      <c r="L44" s="36" t="str">
        <f>IFERROR(SUMIFS(PC_Model!$U$2:$U$261,PC_Model!$K$2:$K$261,$A44,PC_Model!$L$2:$L$261,"E",PC_Model!$U$2:$U$261,"&gt;=0")/COUNTIFS(PC_Model!$K$2:$K$261,$A44,PC_Model!$L$2:$L$261,"E",PC_Model!$U$2:$U$261,"&gt;=0"),"")</f>
        <v/>
      </c>
      <c r="M44" s="36" t="str">
        <f t="shared" si="11"/>
        <v/>
      </c>
    </row>
    <row r="45" spans="1:13">
      <c r="A45" s="37">
        <v>8</v>
      </c>
      <c r="B45" s="36">
        <f>IFERROR(SUMIFS(PC_Model!$AA$2:$AA$261,PC_Model!$K$2:$K$261,$A45,PC_Model!$L$2:$L$261,"C",PC_Model!$AA$2:$AA$261,"&gt;=0")/COUNTIFS(PC_Model!$K$2:$K$261,$A45,PC_Model!$L$2:$L$261,"C",PC_Model!$AA$2:$AA$261,"&gt;=0"),"")</f>
        <v>5.1739365807481512</v>
      </c>
      <c r="C45" s="36">
        <f>IFERROR(SUMIFS(PC_Model!$U$2:$U$261,PC_Model!$K$2:$K$261,$A45,PC_Model!$L$2:$L$261,"C",PC_Model!$U$2:$U$261,"&gt;=0")/COUNTIFS(PC_Model!$K$2:$K$261,$A45,PC_Model!$L$2:$L$261,"C",PC_Model!$U$2:$U$261,"&gt;=0"),"")</f>
        <v>4.6560758940367517</v>
      </c>
      <c r="D45" s="36">
        <f t="shared" si="8"/>
        <v>-0.51786068671139951</v>
      </c>
      <c r="E45" s="36">
        <f>IFERROR(SUMIFS(PC_Model!$AA$2:$AA$261,PC_Model!$K$2:$K$261,$A45,PC_Model!$L$2:$L$261,"T",PC_Model!$AA$2:$AA$261,"&gt;=0")/COUNTIFS(PC_Model!$K$2:$K$261,$A45,PC_Model!$L$2:$L$261,"T",PC_Model!$AA$2:$AA$261,"&gt;=0"),"")</f>
        <v>3.0413140753115258</v>
      </c>
      <c r="F45" s="36">
        <f>IFERROR(SUMIFS(PC_Model!$U$2:$U$261,PC_Model!$K$2:$K$261,$A45,PC_Model!$L$2:$L$261,"T",PC_Model!$U$2:$U$261,"&gt;=0")/COUNTIFS(PC_Model!$K$2:$K$261,$A45,PC_Model!$L$2:$L$261,"T",PC_Model!$U$2:$U$261,"&gt;=0"),"")</f>
        <v>3.1850701178143117</v>
      </c>
      <c r="G45" s="36">
        <f t="shared" si="9"/>
        <v>0.14375604250278595</v>
      </c>
      <c r="H45" s="36">
        <f>IFERROR(SUMIFS(PC_Model!$AA$2:$AA$261,PC_Model!$K$2:$K$261,$A45,PC_Model!$L$2:$L$261,"PT",PC_Model!$AA$2:$AA$261,"&gt;=0")/COUNTIFS(PC_Model!$K$2:$K$261,$A45,PC_Model!$L$2:$L$261,"PT",PC_Model!$AA$2:$AA$261,"&gt;=0"),"")</f>
        <v>12.916030851089488</v>
      </c>
      <c r="I45" s="36">
        <f>IFERROR(SUMIFS(PC_Model!$U$2:$U$261,PC_Model!$K$2:$K$261,$A45,PC_Model!$L$2:$L$261,"PT",PC_Model!$U$2:$U$261,"&gt;=0")/COUNTIFS(PC_Model!$K$2:$K$261,$A45,PC_Model!$L$2:$L$261,"PT",PC_Model!$U$2:$U$261,"&gt;=0"),"")</f>
        <v>11.672351427081562</v>
      </c>
      <c r="J45" s="36">
        <f t="shared" si="10"/>
        <v>-1.2436794240079259</v>
      </c>
      <c r="K45" s="36" t="str">
        <f>IFERROR(SUMIFS(PC_Model!$AA$2:$AA$261,PC_Model!$K$2:$K$261,$A45,PC_Model!$L$2:$L$261,"E",PC_Model!$AA$2:$AA$261,"&gt;=0")/COUNTIFS(PC_Model!$K$2:$K$261,$A45,PC_Model!$L$2:$L$261,"E",PC_Model!$AA$2:$AA$261,"&gt;=0"),"")</f>
        <v/>
      </c>
      <c r="L45" s="36" t="str">
        <f>IFERROR(SUMIFS(PC_Model!$U$2:$U$261,PC_Model!$K$2:$K$261,$A45,PC_Model!$L$2:$L$261,"E",PC_Model!$U$2:$U$261,"&gt;=0")/COUNTIFS(PC_Model!$K$2:$K$261,$A45,PC_Model!$L$2:$L$261,"E",PC_Model!$U$2:$U$261,"&gt;=0"),"")</f>
        <v/>
      </c>
      <c r="M45" s="36" t="str">
        <f t="shared" si="11"/>
        <v/>
      </c>
    </row>
    <row r="46" spans="1:13">
      <c r="A46" s="37">
        <v>9</v>
      </c>
      <c r="B46" s="36">
        <f>IFERROR(SUMIFS(PC_Model!$AA$2:$AA$261,PC_Model!$K$2:$K$261,$A46,PC_Model!$L$2:$L$261,"C",PC_Model!$AA$2:$AA$261,"&gt;=0")/COUNTIFS(PC_Model!$K$2:$K$261,$A46,PC_Model!$L$2:$L$261,"C",PC_Model!$AA$2:$AA$261,"&gt;=0"),"")</f>
        <v>7.4660720298041046</v>
      </c>
      <c r="C46" s="36">
        <f>IFERROR(SUMIFS(PC_Model!$U$2:$U$261,PC_Model!$K$2:$K$261,$A46,PC_Model!$L$2:$L$261,"C",PC_Model!$U$2:$U$261,"&gt;=0")/COUNTIFS(PC_Model!$K$2:$K$261,$A46,PC_Model!$L$2:$L$261,"C",PC_Model!$U$2:$U$261,"&gt;=0"),"")</f>
        <v>6.5009168008240987</v>
      </c>
      <c r="D46" s="36">
        <f t="shared" si="8"/>
        <v>-0.96515522898000583</v>
      </c>
      <c r="E46" s="36">
        <f>IFERROR(SUMIFS(PC_Model!$AA$2:$AA$261,PC_Model!$K$2:$K$261,$A46,PC_Model!$L$2:$L$261,"T",PC_Model!$AA$2:$AA$261,"&gt;=0")/COUNTIFS(PC_Model!$K$2:$K$261,$A46,PC_Model!$L$2:$L$261,"T",PC_Model!$AA$2:$AA$261,"&gt;=0"),"")</f>
        <v>3.8270244042187072</v>
      </c>
      <c r="F46" s="36">
        <f>IFERROR(SUMIFS(PC_Model!$U$2:$U$261,PC_Model!$K$2:$K$261,$A46,PC_Model!$L$2:$L$261,"T",PC_Model!$U$2:$U$261,"&gt;=0")/COUNTIFS(PC_Model!$K$2:$K$261,$A46,PC_Model!$L$2:$L$261,"T",PC_Model!$U$2:$U$261,"&gt;=0"),"")</f>
        <v>3.9222006078456255</v>
      </c>
      <c r="G46" s="36">
        <f t="shared" si="9"/>
        <v>9.5176203626918365E-2</v>
      </c>
      <c r="H46" s="36">
        <f>IFERROR(SUMIFS(PC_Model!$AA$2:$AA$261,PC_Model!$K$2:$K$261,$A46,PC_Model!$L$2:$L$261,"PT",PC_Model!$AA$2:$AA$261,"&gt;=0")/COUNTIFS(PC_Model!$K$2:$K$261,$A46,PC_Model!$L$2:$L$261,"PT",PC_Model!$AA$2:$AA$261,"&gt;=0"),"")</f>
        <v>15.406808709166899</v>
      </c>
      <c r="I46" s="36">
        <f>IFERROR(SUMIFS(PC_Model!$U$2:$U$261,PC_Model!$K$2:$K$261,$A46,PC_Model!$L$2:$L$261,"PT",PC_Model!$U$2:$U$261,"&gt;=0")/COUNTIFS(PC_Model!$K$2:$K$261,$A46,PC_Model!$L$2:$L$261,"PT",PC_Model!$U$2:$U$261,"&gt;=0"),"")</f>
        <v>13.952903940208927</v>
      </c>
      <c r="J46" s="36">
        <f t="shared" si="10"/>
        <v>-1.4539047689579725</v>
      </c>
      <c r="K46" s="36" t="str">
        <f>IFERROR(SUMIFS(PC_Model!$AA$2:$AA$261,PC_Model!$K$2:$K$261,$A46,PC_Model!$L$2:$L$261,"E",PC_Model!$AA$2:$AA$261,"&gt;=0")/COUNTIFS(PC_Model!$K$2:$K$261,$A46,PC_Model!$L$2:$L$261,"E",PC_Model!$AA$2:$AA$261,"&gt;=0"),"")</f>
        <v/>
      </c>
      <c r="L46" s="36" t="str">
        <f>IFERROR(SUMIFS(PC_Model!$U$2:$U$261,PC_Model!$K$2:$K$261,$A46,PC_Model!$L$2:$L$261,"E",PC_Model!$U$2:$U$261,"&gt;=0")/COUNTIFS(PC_Model!$K$2:$K$261,$A46,PC_Model!$L$2:$L$261,"E",PC_Model!$U$2:$U$261,"&gt;=0"),"")</f>
        <v/>
      </c>
      <c r="M46" s="36" t="str">
        <f t="shared" si="11"/>
        <v/>
      </c>
    </row>
    <row r="47" spans="1:13">
      <c r="A47" s="37">
        <v>10</v>
      </c>
      <c r="B47" s="36">
        <f>IFERROR(SUMIFS(PC_Model!$AA$2:$AA$261,PC_Model!$K$2:$K$261,$A47,PC_Model!$L$2:$L$261,"C",PC_Model!$AA$2:$AA$261,"&gt;=0")/COUNTIFS(PC_Model!$K$2:$K$261,$A47,PC_Model!$L$2:$L$261,"C",PC_Model!$AA$2:$AA$261,"&gt;=0"),"")</f>
        <v>10.116268514817149</v>
      </c>
      <c r="C47" s="36">
        <f>IFERROR(SUMIFS(PC_Model!$U$2:$U$261,PC_Model!$K$2:$K$261,$A47,PC_Model!$L$2:$L$261,"C",PC_Model!$U$2:$U$261,"&gt;=0")/COUNTIFS(PC_Model!$K$2:$K$261,$A47,PC_Model!$L$2:$L$261,"C",PC_Model!$U$2:$U$261,"&gt;=0"),"")</f>
        <v>8.6914756796525463</v>
      </c>
      <c r="D47" s="36">
        <f t="shared" si="8"/>
        <v>-1.4247928351646024</v>
      </c>
      <c r="E47" s="36">
        <f>IFERROR(SUMIFS(PC_Model!$AA$2:$AA$261,PC_Model!$K$2:$K$261,$A47,PC_Model!$L$2:$L$261,"T",PC_Model!$AA$2:$AA$261,"&gt;=0")/COUNTIFS(PC_Model!$K$2:$K$261,$A47,PC_Model!$L$2:$L$261,"T",PC_Model!$AA$2:$AA$261,"&gt;=0"),"")</f>
        <v>4.8361608544061703</v>
      </c>
      <c r="F47" s="36">
        <f>IFERROR(SUMIFS(PC_Model!$U$2:$U$261,PC_Model!$K$2:$K$261,$A47,PC_Model!$L$2:$L$261,"T",PC_Model!$U$2:$U$261,"&gt;=0")/COUNTIFS(PC_Model!$K$2:$K$261,$A47,PC_Model!$L$2:$L$261,"T",PC_Model!$U$2:$U$261,"&gt;=0"),"")</f>
        <v>4.7922614169937257</v>
      </c>
      <c r="G47" s="36">
        <f t="shared" si="9"/>
        <v>-4.389943741244462E-2</v>
      </c>
      <c r="H47" s="36">
        <f>IFERROR(SUMIFS(PC_Model!$AA$2:$AA$261,PC_Model!$K$2:$K$261,$A47,PC_Model!$L$2:$L$261,"PT",PC_Model!$AA$2:$AA$261,"&gt;=0")/COUNTIFS(PC_Model!$K$2:$K$261,$A47,PC_Model!$L$2:$L$261,"PT",PC_Model!$AA$2:$AA$261,"&gt;=0"),"")</f>
        <v>18.023877402508269</v>
      </c>
      <c r="I47" s="36">
        <f>IFERROR(SUMIFS(PC_Model!$U$2:$U$261,PC_Model!$K$2:$K$261,$A47,PC_Model!$L$2:$L$261,"PT",PC_Model!$U$2:$U$261,"&gt;=0")/COUNTIFS(PC_Model!$K$2:$K$261,$A47,PC_Model!$L$2:$L$261,"PT",PC_Model!$U$2:$U$261,"&gt;=0"),"")</f>
        <v>16.345705443095135</v>
      </c>
      <c r="J47" s="36">
        <f t="shared" si="10"/>
        <v>-1.6781719594131346</v>
      </c>
      <c r="K47" s="36" t="str">
        <f>IFERROR(SUMIFS(PC_Model!$AA$2:$AA$261,PC_Model!$K$2:$K$261,$A47,PC_Model!$L$2:$L$261,"E",PC_Model!$AA$2:$AA$261,"&gt;=0")/COUNTIFS(PC_Model!$K$2:$K$261,$A47,PC_Model!$L$2:$L$261,"E",PC_Model!$AA$2:$AA$261,"&gt;=0"),"")</f>
        <v/>
      </c>
      <c r="L47" s="36" t="str">
        <f>IFERROR(SUMIFS(PC_Model!$U$2:$U$261,PC_Model!$K$2:$K$261,$A47,PC_Model!$L$2:$L$261,"E",PC_Model!$U$2:$U$261,"&gt;=0")/COUNTIFS(PC_Model!$K$2:$K$261,$A47,PC_Model!$L$2:$L$261,"E",PC_Model!$U$2:$U$261,"&gt;=0"),"")</f>
        <v/>
      </c>
      <c r="M47" s="36" t="str">
        <f t="shared" si="11"/>
        <v/>
      </c>
    </row>
    <row r="48" spans="1:13">
      <c r="A48" s="37">
        <v>11</v>
      </c>
      <c r="B48" s="36">
        <f>IFERROR(SUMIFS(PC_Model!$AA$2:$AA$261,PC_Model!$K$2:$K$261,$A48,PC_Model!$L$2:$L$261,"C",PC_Model!$AA$2:$AA$261,"&gt;=0")/COUNTIFS(PC_Model!$K$2:$K$261,$A48,PC_Model!$L$2:$L$261,"C",PC_Model!$AA$2:$AA$261,"&gt;=0"),"")</f>
        <v>13.154447199721478</v>
      </c>
      <c r="C48" s="36">
        <f>IFERROR(SUMIFS(PC_Model!$U$2:$U$261,PC_Model!$K$2:$K$261,$A48,PC_Model!$L$2:$L$261,"C",PC_Model!$U$2:$U$261,"&gt;=0")/COUNTIFS(PC_Model!$K$2:$K$261,$A48,PC_Model!$L$2:$L$261,"C",PC_Model!$U$2:$U$261,"&gt;=0"),"")</f>
        <v>11.29967283442344</v>
      </c>
      <c r="D48" s="36">
        <f t="shared" si="8"/>
        <v>-1.854774365298038</v>
      </c>
      <c r="E48" s="36">
        <f>IFERROR(SUMIFS(PC_Model!$AA$2:$AA$261,PC_Model!$K$2:$K$261,$A48,PC_Model!$L$2:$L$261,"T",PC_Model!$AA$2:$AA$261,"&gt;=0")/COUNTIFS(PC_Model!$K$2:$K$261,$A48,PC_Model!$L$2:$L$261,"T",PC_Model!$AA$2:$AA$261,"&gt;=0"),"")</f>
        <v>6.0722016842113931</v>
      </c>
      <c r="F48" s="36">
        <f>IFERROR(SUMIFS(PC_Model!$U$2:$U$261,PC_Model!$K$2:$K$261,$A48,PC_Model!$L$2:$L$261,"T",PC_Model!$U$2:$U$261,"&gt;=0")/COUNTIFS(PC_Model!$K$2:$K$261,$A48,PC_Model!$L$2:$L$261,"T",PC_Model!$U$2:$U$261,"&gt;=0"),"")</f>
        <v>5.8052506964370574</v>
      </c>
      <c r="G48" s="36">
        <f t="shared" si="9"/>
        <v>-0.26695098777433568</v>
      </c>
      <c r="H48" s="36">
        <f>IFERROR(SUMIFS(PC_Model!$AA$2:$AA$261,PC_Model!$K$2:$K$261,$A48,PC_Model!$L$2:$L$261,"PT",PC_Model!$AA$2:$AA$261,"&gt;=0")/COUNTIFS(PC_Model!$K$2:$K$261,$A48,PC_Model!$L$2:$L$261,"PT",PC_Model!$AA$2:$AA$261,"&gt;=0"),"")</f>
        <v>20.796987676172336</v>
      </c>
      <c r="I48" s="36">
        <f>IFERROR(SUMIFS(PC_Model!$U$2:$U$261,PC_Model!$K$2:$K$261,$A48,PC_Model!$L$2:$L$261,"PT",PC_Model!$U$2:$U$261,"&gt;=0")/COUNTIFS(PC_Model!$K$2:$K$261,$A48,PC_Model!$L$2:$L$261,"PT",PC_Model!$U$2:$U$261,"&gt;=0"),"")</f>
        <v>18.877650013954121</v>
      </c>
      <c r="J48" s="36">
        <f t="shared" si="10"/>
        <v>-1.919337662218215</v>
      </c>
      <c r="K48" s="36" t="str">
        <f>IFERROR(SUMIFS(PC_Model!$AA$2:$AA$261,PC_Model!$K$2:$K$261,$A48,PC_Model!$L$2:$L$261,"E",PC_Model!$AA$2:$AA$261,"&gt;=0")/COUNTIFS(PC_Model!$K$2:$K$261,$A48,PC_Model!$L$2:$L$261,"E",PC_Model!$AA$2:$AA$261,"&gt;=0"),"")</f>
        <v/>
      </c>
      <c r="L48" s="36" t="str">
        <f>IFERROR(SUMIFS(PC_Model!$U$2:$U$261,PC_Model!$K$2:$K$261,$A48,PC_Model!$L$2:$L$261,"E",PC_Model!$U$2:$U$261,"&gt;=0")/COUNTIFS(PC_Model!$K$2:$K$261,$A48,PC_Model!$L$2:$L$261,"E",PC_Model!$U$2:$U$261,"&gt;=0"),"")</f>
        <v/>
      </c>
      <c r="M48" s="36" t="str">
        <f t="shared" si="11"/>
        <v/>
      </c>
    </row>
    <row r="49" spans="1:13">
      <c r="A49" s="37">
        <v>12</v>
      </c>
      <c r="B49" s="36">
        <f>IFERROR(SUMIFS(PC_Model!$AA$2:$AA$261,PC_Model!$K$2:$K$261,$A49,PC_Model!$L$2:$L$261,"C",PC_Model!$AA$2:$AA$261,"&gt;=0")/COUNTIFS(PC_Model!$K$2:$K$261,$A49,PC_Model!$L$2:$L$261,"C",PC_Model!$AA$2:$AA$261,"&gt;=0"),"")</f>
        <v>16.645682706343344</v>
      </c>
      <c r="C49" s="36">
        <f>IFERROR(SUMIFS(PC_Model!$U$2:$U$261,PC_Model!$K$2:$K$261,$A49,PC_Model!$L$2:$L$261,"C",PC_Model!$U$2:$U$261,"&gt;=0")/COUNTIFS(PC_Model!$K$2:$K$261,$A49,PC_Model!$L$2:$L$261,"C",PC_Model!$U$2:$U$261,"&gt;=0"),"")</f>
        <v>14.477907808560484</v>
      </c>
      <c r="D49" s="36">
        <f t="shared" si="8"/>
        <v>-2.1677748977828593</v>
      </c>
      <c r="E49" s="36">
        <f>IFERROR(SUMIFS(PC_Model!$AA$2:$AA$261,PC_Model!$K$2:$K$261,$A49,PC_Model!$L$2:$L$261,"T",PC_Model!$AA$2:$AA$261,"&gt;=0")/COUNTIFS(PC_Model!$K$2:$K$261,$A49,PC_Model!$L$2:$L$261,"T",PC_Model!$AA$2:$AA$261,"&gt;=0"),"")</f>
        <v>7.547987015452625</v>
      </c>
      <c r="F49" s="36">
        <f>IFERROR(SUMIFS(PC_Model!$U$2:$U$261,PC_Model!$K$2:$K$261,$A49,PC_Model!$L$2:$L$261,"T",PC_Model!$U$2:$U$261,"&gt;=0")/COUNTIFS(PC_Model!$K$2:$K$261,$A49,PC_Model!$L$2:$L$261,"T",PC_Model!$U$2:$U$261,"&gt;=0"),"")</f>
        <v>6.9874757262178182</v>
      </c>
      <c r="G49" s="36">
        <f t="shared" si="9"/>
        <v>-0.56051128923480675</v>
      </c>
      <c r="H49" s="36">
        <f>IFERROR(SUMIFS(PC_Model!$AA$2:$AA$261,PC_Model!$K$2:$K$261,$A49,PC_Model!$L$2:$L$261,"PT",PC_Model!$AA$2:$AA$261,"&gt;=0")/COUNTIFS(PC_Model!$K$2:$K$261,$A49,PC_Model!$L$2:$L$261,"PT",PC_Model!$AA$2:$AA$261,"&gt;=0"),"")</f>
        <v>23.771111725885852</v>
      </c>
      <c r="I49" s="36">
        <f>IFERROR(SUMIFS(PC_Model!$U$2:$U$261,PC_Model!$K$2:$K$261,$A49,PC_Model!$L$2:$L$261,"PT",PC_Model!$U$2:$U$261,"&gt;=0")/COUNTIFS(PC_Model!$K$2:$K$261,$A49,PC_Model!$L$2:$L$261,"PT",PC_Model!$U$2:$U$261,"&gt;=0"),"")</f>
        <v>21.594488943349141</v>
      </c>
      <c r="J49" s="36">
        <f t="shared" si="10"/>
        <v>-2.176622782536711</v>
      </c>
      <c r="K49" s="36" t="str">
        <f>IFERROR(SUMIFS(PC_Model!$AA$2:$AA$261,PC_Model!$K$2:$K$261,$A49,PC_Model!$L$2:$L$261,"E",PC_Model!$AA$2:$AA$261,"&gt;=0")/COUNTIFS(PC_Model!$K$2:$K$261,$A49,PC_Model!$L$2:$L$261,"E",PC_Model!$AA$2:$AA$261,"&gt;=0"),"")</f>
        <v/>
      </c>
      <c r="L49" s="36" t="str">
        <f>IFERROR(SUMIFS(PC_Model!$U$2:$U$261,PC_Model!$K$2:$K$261,$A49,PC_Model!$L$2:$L$261,"E",PC_Model!$U$2:$U$261,"&gt;=0")/COUNTIFS(PC_Model!$K$2:$K$261,$A49,PC_Model!$L$2:$L$261,"E",PC_Model!$U$2:$U$261,"&gt;=0"),"")</f>
        <v/>
      </c>
      <c r="M49" s="36" t="str">
        <f t="shared" si="11"/>
        <v/>
      </c>
    </row>
    <row r="50" spans="1:13">
      <c r="A50" s="37">
        <v>13</v>
      </c>
      <c r="B50" s="36">
        <f>IFERROR(SUMIFS(PC_Model!$AA$2:$AA$261,PC_Model!$K$2:$K$261,$A50,PC_Model!$L$2:$L$261,"C",PC_Model!$AA$2:$AA$261,"&gt;=0")/COUNTIFS(PC_Model!$K$2:$K$261,$A50,PC_Model!$L$2:$L$261,"C",PC_Model!$AA$2:$AA$261,"&gt;=0"),"")</f>
        <v>20.70011439161096</v>
      </c>
      <c r="C50" s="36">
        <f>IFERROR(SUMIFS(PC_Model!$U$2:$U$261,PC_Model!$K$2:$K$261,$A50,PC_Model!$L$2:$L$261,"C",PC_Model!$U$2:$U$261,"&gt;=0")/COUNTIFS(PC_Model!$K$2:$K$261,$A50,PC_Model!$L$2:$L$261,"C",PC_Model!$U$2:$U$261,"&gt;=0"),"")</f>
        <v>16.144469889270102</v>
      </c>
      <c r="D50" s="36">
        <f t="shared" si="8"/>
        <v>-4.5556445023408578</v>
      </c>
      <c r="E50" s="36">
        <f>IFERROR(SUMIFS(PC_Model!$AA$2:$AA$261,PC_Model!$K$2:$K$261,$A50,PC_Model!$L$2:$L$261,"T",PC_Model!$AA$2:$AA$261,"&gt;=0")/COUNTIFS(PC_Model!$K$2:$K$261,$A50,PC_Model!$L$2:$L$261,"T",PC_Model!$AA$2:$AA$261,"&gt;=0"),"")</f>
        <v>9.3160950435673691</v>
      </c>
      <c r="F50" s="36">
        <f>IFERROR(SUMIFS(PC_Model!$U$2:$U$261,PC_Model!$K$2:$K$261,$A50,PC_Model!$L$2:$L$261,"T",PC_Model!$U$2:$U$261,"&gt;=0")/COUNTIFS(PC_Model!$K$2:$K$261,$A50,PC_Model!$L$2:$L$261,"T",PC_Model!$U$2:$U$261,"&gt;=0"),"")</f>
        <v>7.0811003514550448</v>
      </c>
      <c r="G50" s="36">
        <f t="shared" si="9"/>
        <v>-2.2349946921123243</v>
      </c>
      <c r="H50" s="36">
        <f>IFERROR(SUMIFS(PC_Model!$AA$2:$AA$261,PC_Model!$K$2:$K$261,$A50,PC_Model!$L$2:$L$261,"PT",PC_Model!$AA$2:$AA$261,"&gt;=0")/COUNTIFS(PC_Model!$K$2:$K$261,$A50,PC_Model!$L$2:$L$261,"PT",PC_Model!$AA$2:$AA$261,"&gt;=0"),"")</f>
        <v>27.021249075750212</v>
      </c>
      <c r="I50" s="36">
        <f>IFERROR(SUMIFS(PC_Model!$U$2:$U$261,PC_Model!$K$2:$K$261,$A50,PC_Model!$L$2:$L$261,"PT",PC_Model!$U$2:$U$261,"&gt;=0")/COUNTIFS(PC_Model!$K$2:$K$261,$A50,PC_Model!$L$2:$L$261,"PT",PC_Model!$U$2:$U$261,"&gt;=0"),"")</f>
        <v>22.464659041454187</v>
      </c>
      <c r="J50" s="36">
        <f t="shared" si="10"/>
        <v>-4.5565900342960255</v>
      </c>
      <c r="K50" s="36" t="str">
        <f>IFERROR(SUMIFS(PC_Model!$AA$2:$AA$261,PC_Model!$K$2:$K$261,$A50,PC_Model!$L$2:$L$261,"E",PC_Model!$AA$2:$AA$261,"&gt;=0")/COUNTIFS(PC_Model!$K$2:$K$261,$A50,PC_Model!$L$2:$L$261,"E",PC_Model!$AA$2:$AA$261,"&gt;=0"),"")</f>
        <v/>
      </c>
      <c r="L50" s="36" t="str">
        <f>IFERROR(SUMIFS(PC_Model!$U$2:$U$261,PC_Model!$K$2:$K$261,$A50,PC_Model!$L$2:$L$261,"E",PC_Model!$U$2:$U$261,"&gt;=0")/COUNTIFS(PC_Model!$K$2:$K$261,$A50,PC_Model!$L$2:$L$261,"E",PC_Model!$U$2:$U$261,"&gt;=0"),"")</f>
        <v/>
      </c>
      <c r="M50" s="36" t="str">
        <f t="shared" si="11"/>
        <v/>
      </c>
    </row>
    <row r="51" spans="1:13">
      <c r="A51" s="37">
        <v>14</v>
      </c>
      <c r="B51" s="36">
        <f>IFERROR(SUMIFS(PC_Model!$AA$2:$AA$261,PC_Model!$K$2:$K$261,$A51,PC_Model!$L$2:$L$261,"C",PC_Model!$AA$2:$AA$261,"&gt;=0")/COUNTIFS(PC_Model!$K$2:$K$261,$A51,PC_Model!$L$2:$L$261,"C",PC_Model!$AA$2:$AA$261,"&gt;=0"),"")</f>
        <v>25.52462951604673</v>
      </c>
      <c r="C51" s="36">
        <f>IFERROR(SUMIFS(PC_Model!$U$2:$U$261,PC_Model!$K$2:$K$261,$A51,PC_Model!$L$2:$L$261,"C",PC_Model!$U$2:$U$261,"&gt;=0")/COUNTIFS(PC_Model!$K$2:$K$261,$A51,PC_Model!$L$2:$L$261,"C",PC_Model!$U$2:$U$261,"&gt;=0"),"")</f>
        <v>20.247951258468561</v>
      </c>
      <c r="D51" s="36">
        <f t="shared" si="8"/>
        <v>-5.276678257578169</v>
      </c>
      <c r="E51" s="36">
        <f>IFERROR(SUMIFS(PC_Model!$AA$2:$AA$261,PC_Model!$K$2:$K$261,$A51,PC_Model!$L$2:$L$261,"T",PC_Model!$AA$2:$AA$261,"&gt;=0")/COUNTIFS(PC_Model!$K$2:$K$261,$A51,PC_Model!$L$2:$L$261,"T",PC_Model!$AA$2:$AA$261,"&gt;=0"),"")</f>
        <v>11.512499751658231</v>
      </c>
      <c r="F51" s="36">
        <f>IFERROR(SUMIFS(PC_Model!$U$2:$U$261,PC_Model!$K$2:$K$261,$A51,PC_Model!$L$2:$L$261,"T",PC_Model!$U$2:$U$261,"&gt;=0")/COUNTIFS(PC_Model!$K$2:$K$261,$A51,PC_Model!$L$2:$L$261,"T",PC_Model!$U$2:$U$261,"&gt;=0"),"")</f>
        <v>8.4613357518574048</v>
      </c>
      <c r="G51" s="36">
        <f t="shared" si="9"/>
        <v>-3.051163999800826</v>
      </c>
      <c r="H51" s="36">
        <f>IFERROR(SUMIFS(PC_Model!$AA$2:$AA$261,PC_Model!$K$2:$K$261,$A51,PC_Model!$L$2:$L$261,"PT",PC_Model!$AA$2:$AA$261,"&gt;=0")/COUNTIFS(PC_Model!$K$2:$K$261,$A51,PC_Model!$L$2:$L$261,"PT",PC_Model!$AA$2:$AA$261,"&gt;=0"),"")</f>
        <v>30.694486458816982</v>
      </c>
      <c r="I51" s="36">
        <f>IFERROR(SUMIFS(PC_Model!$U$2:$U$261,PC_Model!$K$2:$K$261,$A51,PC_Model!$L$2:$L$261,"PT",PC_Model!$U$2:$U$261,"&gt;=0")/COUNTIFS(PC_Model!$K$2:$K$261,$A51,PC_Model!$L$2:$L$261,"PT",PC_Model!$U$2:$U$261,"&gt;=0"),"")</f>
        <v>25.417769438552916</v>
      </c>
      <c r="J51" s="36">
        <f t="shared" si="10"/>
        <v>-5.2767170202640656</v>
      </c>
      <c r="K51" s="36" t="str">
        <f>IFERROR(SUMIFS(PC_Model!$AA$2:$AA$261,PC_Model!$K$2:$K$261,$A51,PC_Model!$L$2:$L$261,"E",PC_Model!$AA$2:$AA$261,"&gt;=0")/COUNTIFS(PC_Model!$K$2:$K$261,$A51,PC_Model!$L$2:$L$261,"E",PC_Model!$AA$2:$AA$261,"&gt;=0"),"")</f>
        <v/>
      </c>
      <c r="L51" s="36" t="str">
        <f>IFERROR(SUMIFS(PC_Model!$U$2:$U$261,PC_Model!$K$2:$K$261,$A51,PC_Model!$L$2:$L$261,"E",PC_Model!$U$2:$U$261,"&gt;=0")/COUNTIFS(PC_Model!$K$2:$K$261,$A51,PC_Model!$L$2:$L$261,"E",PC_Model!$U$2:$U$261,"&gt;=0"),"")</f>
        <v/>
      </c>
      <c r="M51" s="36" t="str">
        <f t="shared" si="11"/>
        <v/>
      </c>
    </row>
    <row r="52" spans="1:13">
      <c r="A52" s="37">
        <v>15</v>
      </c>
      <c r="B52" s="36">
        <f>IFERROR(SUMIFS(PC_Model!$AA$2:$AA$261,PC_Model!$K$2:$K$261,$A52,PC_Model!$L$2:$L$261,"C",PC_Model!$AA$2:$AA$261,"&gt;=0")/COUNTIFS(PC_Model!$K$2:$K$261,$A52,PC_Model!$L$2:$L$261,"C",PC_Model!$AA$2:$AA$261,"&gt;=0"),"")</f>
        <v>31.62884636113867</v>
      </c>
      <c r="C52" s="36">
        <f>IFERROR(SUMIFS(PC_Model!$U$2:$U$261,PC_Model!$K$2:$K$261,$A52,PC_Model!$L$2:$L$261,"C",PC_Model!$U$2:$U$261,"&gt;=0")/COUNTIFS(PC_Model!$K$2:$K$261,$A52,PC_Model!$L$2:$L$261,"C",PC_Model!$U$2:$U$261,"&gt;=0"),"")</f>
        <v>25.398277989863892</v>
      </c>
      <c r="D52" s="36">
        <f t="shared" si="8"/>
        <v>-6.2305683712747779</v>
      </c>
      <c r="E52" s="36">
        <f>IFERROR(SUMIFS(PC_Model!$AA$2:$AA$261,PC_Model!$K$2:$K$261,$A52,PC_Model!$L$2:$L$261,"T",PC_Model!$AA$2:$AA$261,"&gt;=0")/COUNTIFS(PC_Model!$K$2:$K$261,$A52,PC_Model!$L$2:$L$261,"T",PC_Model!$AA$2:$AA$261,"&gt;=0"),"")</f>
        <v>14.532843412251221</v>
      </c>
      <c r="F52" s="36">
        <f>IFERROR(SUMIFS(PC_Model!$U$2:$U$261,PC_Model!$K$2:$K$261,$A52,PC_Model!$L$2:$L$261,"T",PC_Model!$U$2:$U$261,"&gt;=0")/COUNTIFS(PC_Model!$K$2:$K$261,$A52,PC_Model!$L$2:$L$261,"T",PC_Model!$U$2:$U$261,"&gt;=0"),"")</f>
        <v>10.409813039178221</v>
      </c>
      <c r="G52" s="36">
        <f t="shared" si="9"/>
        <v>-4.123030373073</v>
      </c>
      <c r="H52" s="36">
        <f>IFERROR(SUMIFS(PC_Model!$AA$2:$AA$261,PC_Model!$K$2:$K$261,$A52,PC_Model!$L$2:$L$261,"PT",PC_Model!$AA$2:$AA$261,"&gt;=0")/COUNTIFS(PC_Model!$K$2:$K$261,$A52,PC_Model!$L$2:$L$261,"PT",PC_Model!$AA$2:$AA$261,"&gt;=0"),"")</f>
        <v>35.186795510717374</v>
      </c>
      <c r="I52" s="36">
        <f>IFERROR(SUMIFS(PC_Model!$U$2:$U$261,PC_Model!$K$2:$K$261,$A52,PC_Model!$L$2:$L$261,"PT",PC_Model!$U$2:$U$261,"&gt;=0")/COUNTIFS(PC_Model!$K$2:$K$261,$A52,PC_Model!$L$2:$L$261,"PT",PC_Model!$U$2:$U$261,"&gt;=0"),"")</f>
        <v>28.956227139442593</v>
      </c>
      <c r="J52" s="36">
        <f t="shared" si="10"/>
        <v>-6.2305683712747815</v>
      </c>
      <c r="K52" s="36" t="str">
        <f>IFERROR(SUMIFS(PC_Model!$AA$2:$AA$261,PC_Model!$K$2:$K$261,$A52,PC_Model!$L$2:$L$261,"E",PC_Model!$AA$2:$AA$261,"&gt;=0")/COUNTIFS(PC_Model!$K$2:$K$261,$A52,PC_Model!$L$2:$L$261,"E",PC_Model!$AA$2:$AA$261,"&gt;=0"),"")</f>
        <v/>
      </c>
      <c r="L52" s="36" t="str">
        <f>IFERROR(SUMIFS(PC_Model!$U$2:$U$261,PC_Model!$K$2:$K$261,$A52,PC_Model!$L$2:$L$261,"E",PC_Model!$U$2:$U$261,"&gt;=0")/COUNTIFS(PC_Model!$K$2:$K$261,$A52,PC_Model!$L$2:$L$261,"E",PC_Model!$U$2:$U$261,"&gt;=0"),"")</f>
        <v/>
      </c>
      <c r="M52" s="36" t="str">
        <f t="shared" si="11"/>
        <v/>
      </c>
    </row>
  </sheetData>
  <mergeCells count="4">
    <mergeCell ref="A2:M2"/>
    <mergeCell ref="A4:M4"/>
    <mergeCell ref="A21:M21"/>
    <mergeCell ref="A38:M38"/>
  </mergeCells>
  <conditionalFormatting sqref="D1">
    <cfRule type="colorScale" priority="1">
      <colorScale>
        <cfvo type="min"/>
        <cfvo type="percentile" val="50"/>
        <cfvo type="max"/>
        <color rgb="FFFCE4D6"/>
        <color rgb="FFFFFFFF"/>
        <color rgb="FFD9EAD3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FCE4D6"/>
        <color rgb="FFFFFFFF"/>
        <color rgb="FFD9EAD3"/>
      </colorScale>
    </cfRule>
  </conditionalFormatting>
  <conditionalFormatting sqref="J1">
    <cfRule type="colorScale" priority="3">
      <colorScale>
        <cfvo type="min"/>
        <cfvo type="percentile" val="50"/>
        <cfvo type="max"/>
        <color rgb="FFFCE4D6"/>
        <color rgb="FFFFFFFF"/>
        <color rgb="FFD9EAD3"/>
      </colorScale>
    </cfRule>
  </conditionalFormatting>
  <conditionalFormatting sqref="M1">
    <cfRule type="colorScale" priority="4">
      <colorScale>
        <cfvo type="min"/>
        <cfvo type="percentile" val="50"/>
        <cfvo type="max"/>
        <color rgb="FFFCE4D6"/>
        <color rgb="FFFFFFFF"/>
        <color rgb="FFD9EAD3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2"/>
  <sheetViews>
    <sheetView workbookViewId="0"/>
  </sheetViews>
  <sheetFormatPr defaultRowHeight="14.15"/>
  <cols>
    <col min="1" max="1" width="8" customWidth="1"/>
    <col min="2" max="13" width="13" customWidth="1"/>
  </cols>
  <sheetData>
    <row r="1" spans="1:13">
      <c r="A1" s="29" t="s">
        <v>222</v>
      </c>
    </row>
    <row r="2" spans="1:13">
      <c r="A2" s="46" t="s">
        <v>223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spans="1:13">
      <c r="A4" s="50" t="s">
        <v>224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>
      <c r="A5" s="35" t="s">
        <v>91</v>
      </c>
      <c r="B5" s="35" t="s">
        <v>208</v>
      </c>
      <c r="C5" s="35" t="s">
        <v>209</v>
      </c>
      <c r="D5" s="35" t="s">
        <v>210</v>
      </c>
      <c r="E5" s="35" t="s">
        <v>211</v>
      </c>
      <c r="F5" s="35" t="s">
        <v>212</v>
      </c>
      <c r="G5" s="35" t="s">
        <v>213</v>
      </c>
      <c r="H5" s="35" t="s">
        <v>214</v>
      </c>
      <c r="I5" s="35" t="s">
        <v>215</v>
      </c>
      <c r="J5" s="35" t="s">
        <v>216</v>
      </c>
      <c r="K5" s="35" t="s">
        <v>217</v>
      </c>
      <c r="L5" s="35" t="s">
        <v>218</v>
      </c>
      <c r="M5" s="35" t="s">
        <v>219</v>
      </c>
    </row>
    <row r="6" spans="1:13">
      <c r="A6" s="37">
        <v>3</v>
      </c>
      <c r="B6" s="36">
        <f>IFERROR(SUMIFS(PC_Model!$Y$2:$Y$261,PC_Model!$K$2:$K$261,$A6,PC_Model!$L$2:$L$261,"C",PC_Model!$Y$2:$Y$261,"&gt;=0")/COUNTIFS(PC_Model!$K$2:$K$261,$A6,PC_Model!$L$2:$L$261,"C",PC_Model!$Y$2:$Y$261,"&gt;=0"),"")</f>
        <v>0.99999991196993965</v>
      </c>
      <c r="C6" s="36">
        <f>IFERROR(SUMIFS(PC_Model!$Q$2:$Q$261,PC_Model!$K$2:$K$261,$A6,PC_Model!$L$2:$L$261,"C",PC_Model!$Q$2:$Q$261,"&gt;=0")/COUNTIFS(PC_Model!$K$2:$K$261,$A6,PC_Model!$L$2:$L$261,"C",PC_Model!$Q$2:$Q$261,"&gt;=0"),"")</f>
        <v>0.99996022256989325</v>
      </c>
      <c r="D6" s="36">
        <f t="shared" ref="D6:D18" si="0">IF(OR(B6="",C6=""),"",C6-B6)</f>
        <v>-3.9689400046394319E-5</v>
      </c>
      <c r="E6" s="36">
        <f>IFERROR(SUMIFS(PC_Model!$Y$2:$Y$261,PC_Model!$K$2:$K$261,$A6,PC_Model!$L$2:$L$261,"T",PC_Model!$Y$2:$Y$261,"&gt;=0")/COUNTIFS(PC_Model!$K$2:$K$261,$A6,PC_Model!$L$2:$L$261,"T",PC_Model!$Y$2:$Y$261,"&gt;=0"),"")</f>
        <v>0.99998356078956285</v>
      </c>
      <c r="F6" s="36">
        <f>IFERROR(SUMIFS(PC_Model!$Q$2:$Q$261,PC_Model!$K$2:$K$261,$A6,PC_Model!$L$2:$L$261,"T",PC_Model!$Q$2:$Q$261,"&gt;=0")/COUNTIFS(PC_Model!$K$2:$K$261,$A6,PC_Model!$L$2:$L$261,"T",PC_Model!$Q$2:$Q$261,"&gt;=0"),"")</f>
        <v>0.99953958093330753</v>
      </c>
      <c r="G6" s="36">
        <f t="shared" ref="G6:G18" si="1">IF(OR(E6="",F6=""),"",F6-E6)</f>
        <v>-4.4397985625532765E-4</v>
      </c>
      <c r="H6" s="36">
        <f>IFERROR(SUMIFS(PC_Model!$Y$2:$Y$261,PC_Model!$K$2:$K$261,$A6,PC_Model!$L$2:$L$261,"PT",PC_Model!$Y$2:$Y$261,"&gt;=0")/COUNTIFS(PC_Model!$K$2:$K$261,$A6,PC_Model!$L$2:$L$261,"PT",PC_Model!$Y$2:$Y$261,"&gt;=0"),"")</f>
        <v>0.44134400727273759</v>
      </c>
      <c r="I6" s="36">
        <f>IFERROR(SUMIFS(PC_Model!$Q$2:$Q$261,PC_Model!$K$2:$K$261,$A6,PC_Model!$L$2:$L$261,"PT",PC_Model!$Q$2:$Q$261,"&gt;=0")/COUNTIFS(PC_Model!$K$2:$K$261,$A6,PC_Model!$L$2:$L$261,"PT",PC_Model!$Q$2:$Q$261,"&gt;=0"),"")</f>
        <v>0.57819613057588071</v>
      </c>
      <c r="J6" s="36">
        <f t="shared" ref="J6:J18" si="2">IF(OR(H6="",I6=""),"",I6-H6)</f>
        <v>0.13685212330314311</v>
      </c>
      <c r="K6" s="36">
        <f>IFERROR(SUMIFS(PC_Model!$Y$2:$Y$261,PC_Model!$K$2:$K$261,$A6,PC_Model!$L$2:$L$261,"E",PC_Model!$Y$2:$Y$261,"&gt;=0")/COUNTIFS(PC_Model!$K$2:$K$261,$A6,PC_Model!$L$2:$L$261,"E",PC_Model!$Y$2:$Y$261,"&gt;=0"),"")</f>
        <v>0.58422290704257163</v>
      </c>
      <c r="L6" s="36">
        <f>IFERROR(SUMIFS(PC_Model!$Q$2:$Q$261,PC_Model!$K$2:$K$261,$A6,PC_Model!$L$2:$L$261,"E",PC_Model!$Q$2:$Q$261,"&gt;=0")/COUNTIFS(PC_Model!$K$2:$K$261,$A6,PC_Model!$L$2:$L$261,"E",PC_Model!$Q$2:$Q$261,"&gt;=0"),"")</f>
        <v>0.69587161306238388</v>
      </c>
      <c r="M6" s="36">
        <f t="shared" ref="M6:M18" si="3">IF(OR(K6="",L6=""),"",L6-K6)</f>
        <v>0.11164870601981225</v>
      </c>
    </row>
    <row r="7" spans="1:13">
      <c r="A7" s="37">
        <v>4</v>
      </c>
      <c r="B7" s="36">
        <f>IFERROR(SUMIFS(PC_Model!$Y$2:$Y$261,PC_Model!$K$2:$K$261,$A7,PC_Model!$L$2:$L$261,"C",PC_Model!$Y$2:$Y$261,"&gt;=0")/COUNTIFS(PC_Model!$K$2:$K$261,$A7,PC_Model!$L$2:$L$261,"C",PC_Model!$Y$2:$Y$261,"&gt;=0"),"")</f>
        <v>0.9998122329124286</v>
      </c>
      <c r="C7" s="36">
        <f>IFERROR(SUMIFS(PC_Model!$Q$2:$Q$261,PC_Model!$K$2:$K$261,$A7,PC_Model!$L$2:$L$261,"C",PC_Model!$Q$2:$Q$261,"&gt;=0")/COUNTIFS(PC_Model!$K$2:$K$261,$A7,PC_Model!$L$2:$L$261,"C",PC_Model!$Q$2:$Q$261,"&gt;=0"),"")</f>
        <v>0.99321276069452558</v>
      </c>
      <c r="D7" s="36">
        <f t="shared" si="0"/>
        <v>-6.5994722179030241E-3</v>
      </c>
      <c r="E7" s="36">
        <f>IFERROR(SUMIFS(PC_Model!$Y$2:$Y$261,PC_Model!$K$2:$K$261,$A7,PC_Model!$L$2:$L$261,"T",PC_Model!$Y$2:$Y$261,"&gt;=0")/COUNTIFS(PC_Model!$K$2:$K$261,$A7,PC_Model!$L$2:$L$261,"T",PC_Model!$Y$2:$Y$261,"&gt;=0"),"")</f>
        <v>0.99980153140037997</v>
      </c>
      <c r="F7" s="36">
        <f>IFERROR(SUMIFS(PC_Model!$Q$2:$Q$261,PC_Model!$K$2:$K$261,$A7,PC_Model!$L$2:$L$261,"T",PC_Model!$Q$2:$Q$261,"&gt;=0")/COUNTIFS(PC_Model!$K$2:$K$261,$A7,PC_Model!$L$2:$L$261,"T",PC_Model!$Q$2:$Q$261,"&gt;=0"),"")</f>
        <v>0.9951358837739509</v>
      </c>
      <c r="G7" s="36">
        <f t="shared" si="1"/>
        <v>-4.6656476264290703E-3</v>
      </c>
      <c r="H7" s="36">
        <f>IFERROR(SUMIFS(PC_Model!$Y$2:$Y$261,PC_Model!$K$2:$K$261,$A7,PC_Model!$L$2:$L$261,"PT",PC_Model!$Y$2:$Y$261,"&gt;=0")/COUNTIFS(PC_Model!$K$2:$K$261,$A7,PC_Model!$L$2:$L$261,"PT",PC_Model!$Y$2:$Y$261,"&gt;=0"),"")</f>
        <v>0.10150126181899348</v>
      </c>
      <c r="I7" s="36">
        <f>IFERROR(SUMIFS(PC_Model!$Q$2:$Q$261,PC_Model!$K$2:$K$261,$A7,PC_Model!$L$2:$L$261,"PT",PC_Model!$Q$2:$Q$261,"&gt;=0")/COUNTIFS(PC_Model!$K$2:$K$261,$A7,PC_Model!$L$2:$L$261,"PT",PC_Model!$Q$2:$Q$261,"&gt;=0"),"")</f>
        <v>0.30645001065530747</v>
      </c>
      <c r="J7" s="36">
        <f t="shared" si="2"/>
        <v>0.20494874883631398</v>
      </c>
      <c r="K7" s="36">
        <f>IFERROR(SUMIFS(PC_Model!$Y$2:$Y$261,PC_Model!$K$2:$K$261,$A7,PC_Model!$L$2:$L$261,"E",PC_Model!$Y$2:$Y$261,"&gt;=0")/COUNTIFS(PC_Model!$K$2:$K$261,$A7,PC_Model!$L$2:$L$261,"E",PC_Model!$Y$2:$Y$261,"&gt;=0"),"")</f>
        <v>5.6982805582779572E-2</v>
      </c>
      <c r="L7" s="36">
        <f>IFERROR(SUMIFS(PC_Model!$Q$2:$Q$261,PC_Model!$K$2:$K$261,$A7,PC_Model!$L$2:$L$261,"E",PC_Model!$Q$2:$Q$261,"&gt;=0")/COUNTIFS(PC_Model!$K$2:$K$261,$A7,PC_Model!$L$2:$L$261,"E",PC_Model!$Q$2:$Q$261,"&gt;=0"),"")</f>
        <v>0.17331684103940057</v>
      </c>
      <c r="M7" s="36">
        <f t="shared" si="3"/>
        <v>0.11633403545662099</v>
      </c>
    </row>
    <row r="8" spans="1:13">
      <c r="A8" s="37">
        <v>5</v>
      </c>
      <c r="B8" s="36">
        <f>IFERROR(SUMIFS(PC_Model!$Y$2:$Y$261,PC_Model!$K$2:$K$261,$A8,PC_Model!$L$2:$L$261,"C",PC_Model!$Y$2:$Y$261,"&gt;=0")/COUNTIFS(PC_Model!$K$2:$K$261,$A8,PC_Model!$L$2:$L$261,"C",PC_Model!$Y$2:$Y$261,"&gt;=0"),"")</f>
        <v>0.96984709994380847</v>
      </c>
      <c r="C8" s="36">
        <f>IFERROR(SUMIFS(PC_Model!$Q$2:$Q$261,PC_Model!$K$2:$K$261,$A8,PC_Model!$L$2:$L$261,"C",PC_Model!$Q$2:$Q$261,"&gt;=0")/COUNTIFS(PC_Model!$K$2:$K$261,$A8,PC_Model!$L$2:$L$261,"C",PC_Model!$Q$2:$Q$261,"&gt;=0"),"")</f>
        <v>0.90409590552879382</v>
      </c>
      <c r="D8" s="36">
        <f t="shared" si="0"/>
        <v>-6.5751194415014647E-2</v>
      </c>
      <c r="E8" s="36">
        <f>IFERROR(SUMIFS(PC_Model!$Y$2:$Y$261,PC_Model!$K$2:$K$261,$A8,PC_Model!$L$2:$L$261,"T",PC_Model!$Y$2:$Y$261,"&gt;=0")/COUNTIFS(PC_Model!$K$2:$K$261,$A8,PC_Model!$L$2:$L$261,"T",PC_Model!$Y$2:$Y$261,"&gt;=0"),"")</f>
        <v>0.9977638462583881</v>
      </c>
      <c r="F8" s="36">
        <f>IFERROR(SUMIFS(PC_Model!$Q$2:$Q$261,PC_Model!$K$2:$K$261,$A8,PC_Model!$L$2:$L$261,"T",PC_Model!$Q$2:$Q$261,"&gt;=0")/COUNTIFS(PC_Model!$K$2:$K$261,$A8,PC_Model!$L$2:$L$261,"T",PC_Model!$Q$2:$Q$261,"&gt;=0"),"")</f>
        <v>0.973857625784051</v>
      </c>
      <c r="G8" s="36">
        <f t="shared" si="1"/>
        <v>-2.3906220474337103E-2</v>
      </c>
      <c r="H8" s="36">
        <f>IFERROR(SUMIFS(PC_Model!$Y$2:$Y$261,PC_Model!$K$2:$K$261,$A8,PC_Model!$L$2:$L$261,"PT",PC_Model!$Y$2:$Y$261,"&gt;=0")/COUNTIFS(PC_Model!$K$2:$K$261,$A8,PC_Model!$L$2:$L$261,"PT",PC_Model!$Y$2:$Y$261,"&gt;=0"),"")</f>
        <v>1.8151365314086232E-2</v>
      </c>
      <c r="I8" s="36">
        <f>IFERROR(SUMIFS(PC_Model!$Q$2:$Q$261,PC_Model!$K$2:$K$261,$A8,PC_Model!$L$2:$L$261,"PT",PC_Model!$Q$2:$Q$261,"&gt;=0")/COUNTIFS(PC_Model!$K$2:$K$261,$A8,PC_Model!$L$2:$L$261,"PT",PC_Model!$Q$2:$Q$261,"&gt;=0"),"")</f>
        <v>0.1673819088980148</v>
      </c>
      <c r="J8" s="36">
        <f t="shared" si="2"/>
        <v>0.14923054358392857</v>
      </c>
      <c r="K8" s="36">
        <f>IFERROR(SUMIFS(PC_Model!$Y$2:$Y$261,PC_Model!$K$2:$K$261,$A8,PC_Model!$L$2:$L$261,"E",PC_Model!$Y$2:$Y$261,"&gt;=0")/COUNTIFS(PC_Model!$K$2:$K$261,$A8,PC_Model!$L$2:$L$261,"E",PC_Model!$Y$2:$Y$261,"&gt;=0"),"")</f>
        <v>2.6064808778946125E-3</v>
      </c>
      <c r="L8" s="36">
        <f>IFERROR(SUMIFS(PC_Model!$Q$2:$Q$261,PC_Model!$K$2:$K$261,$A8,PC_Model!$L$2:$L$261,"E",PC_Model!$Q$2:$Q$261,"&gt;=0")/COUNTIFS(PC_Model!$K$2:$K$261,$A8,PC_Model!$L$2:$L$261,"E",PC_Model!$Q$2:$Q$261,"&gt;=0"),"")</f>
        <v>1.7547470919194175E-3</v>
      </c>
      <c r="M8" s="36">
        <f t="shared" si="3"/>
        <v>-8.51733785975195E-4</v>
      </c>
    </row>
    <row r="9" spans="1:13">
      <c r="A9" s="37">
        <v>6</v>
      </c>
      <c r="B9" s="36">
        <f>IFERROR(SUMIFS(PC_Model!$Y$2:$Y$261,PC_Model!$K$2:$K$261,$A9,PC_Model!$L$2:$L$261,"C",PC_Model!$Y$2:$Y$261,"&gt;=0")/COUNTIFS(PC_Model!$K$2:$K$261,$A9,PC_Model!$L$2:$L$261,"C",PC_Model!$Y$2:$Y$261,"&gt;=0"),"")</f>
        <v>0.70417307559875641</v>
      </c>
      <c r="C9" s="36">
        <f>IFERROR(SUMIFS(PC_Model!$Q$2:$Q$261,PC_Model!$K$2:$K$261,$A9,PC_Model!$L$2:$L$261,"C",PC_Model!$Q$2:$Q$261,"&gt;=0")/COUNTIFS(PC_Model!$K$2:$K$261,$A9,PC_Model!$L$2:$L$261,"C",PC_Model!$Q$2:$Q$261,"&gt;=0"),"")</f>
        <v>0.69586053101715473</v>
      </c>
      <c r="D9" s="36">
        <f t="shared" si="0"/>
        <v>-8.3125445816016885E-3</v>
      </c>
      <c r="E9" s="36">
        <f>IFERROR(SUMIFS(PC_Model!$Y$2:$Y$261,PC_Model!$K$2:$K$261,$A9,PC_Model!$L$2:$L$261,"T",PC_Model!$Y$2:$Y$261,"&gt;=0")/COUNTIFS(PC_Model!$K$2:$K$261,$A9,PC_Model!$L$2:$L$261,"T",PC_Model!$Y$2:$Y$261,"&gt;=0"),"")</f>
        <v>0.98177584640801552</v>
      </c>
      <c r="F9" s="36">
        <f>IFERROR(SUMIFS(PC_Model!$Q$2:$Q$261,PC_Model!$K$2:$K$261,$A9,PC_Model!$L$2:$L$261,"T",PC_Model!$Q$2:$Q$261,"&gt;=0")/COUNTIFS(PC_Model!$K$2:$K$261,$A9,PC_Model!$L$2:$L$261,"T",PC_Model!$Q$2:$Q$261,"&gt;=0"),"")</f>
        <v>0.92074325618694208</v>
      </c>
      <c r="G9" s="36">
        <f t="shared" si="1"/>
        <v>-6.1032590221073435E-2</v>
      </c>
      <c r="H9" s="36">
        <f>IFERROR(SUMIFS(PC_Model!$Y$2:$Y$261,PC_Model!$K$2:$K$261,$A9,PC_Model!$L$2:$L$261,"PT",PC_Model!$Y$2:$Y$261,"&gt;=0")/COUNTIFS(PC_Model!$K$2:$K$261,$A9,PC_Model!$L$2:$L$261,"PT",PC_Model!$Y$2:$Y$261,"&gt;=0"),"")</f>
        <v>2.8913565287411735E-3</v>
      </c>
      <c r="I9" s="36">
        <f>IFERROR(SUMIFS(PC_Model!$Q$2:$Q$261,PC_Model!$K$2:$K$261,$A9,PC_Model!$L$2:$L$261,"PT",PC_Model!$Q$2:$Q$261,"&gt;=0")/COUNTIFS(PC_Model!$K$2:$K$261,$A9,PC_Model!$L$2:$L$261,"PT",PC_Model!$Q$2:$Q$261,"&gt;=0"),"")</f>
        <v>8.2760990633998444E-2</v>
      </c>
      <c r="J9" s="36">
        <f t="shared" si="2"/>
        <v>7.986963410525727E-2</v>
      </c>
      <c r="K9" s="36" t="str">
        <f>IFERROR(SUMIFS(PC_Model!$Y$2:$Y$261,PC_Model!$K$2:$K$261,$A9,PC_Model!$L$2:$L$261,"E",PC_Model!$Y$2:$Y$261,"&gt;=0")/COUNTIFS(PC_Model!$K$2:$K$261,$A9,PC_Model!$L$2:$L$261,"E",PC_Model!$Y$2:$Y$261,"&gt;=0"),"")</f>
        <v/>
      </c>
      <c r="L9" s="36" t="str">
        <f>IFERROR(SUMIFS(PC_Model!$Q$2:$Q$261,PC_Model!$K$2:$K$261,$A9,PC_Model!$L$2:$L$261,"E",PC_Model!$Q$2:$Q$261,"&gt;=0")/COUNTIFS(PC_Model!$K$2:$K$261,$A9,PC_Model!$L$2:$L$261,"E",PC_Model!$Q$2:$Q$261,"&gt;=0"),"")</f>
        <v/>
      </c>
      <c r="M9" s="36" t="str">
        <f t="shared" si="3"/>
        <v/>
      </c>
    </row>
    <row r="10" spans="1:13">
      <c r="A10" s="37">
        <v>7</v>
      </c>
      <c r="B10" s="36">
        <f>IFERROR(SUMIFS(PC_Model!$Y$2:$Y$261,PC_Model!$K$2:$K$261,$A10,PC_Model!$L$2:$L$261,"C",PC_Model!$Y$2:$Y$261,"&gt;=0")/COUNTIFS(PC_Model!$K$2:$K$261,$A10,PC_Model!$L$2:$L$261,"C",PC_Model!$Y$2:$Y$261,"&gt;=0"),"")</f>
        <v>0.24888080110429395</v>
      </c>
      <c r="C10" s="36">
        <f>IFERROR(SUMIFS(PC_Model!$Q$2:$Q$261,PC_Model!$K$2:$K$261,$A10,PC_Model!$L$2:$L$261,"C",PC_Model!$Q$2:$Q$261,"&gt;=0")/COUNTIFS(PC_Model!$K$2:$K$261,$A10,PC_Model!$L$2:$L$261,"C",PC_Model!$Q$2:$Q$261,"&gt;=0"),"")</f>
        <v>0.49244784557212401</v>
      </c>
      <c r="D10" s="36">
        <f t="shared" si="0"/>
        <v>0.24356704446783006</v>
      </c>
      <c r="E10" s="36">
        <f>IFERROR(SUMIFS(PC_Model!$Y$2:$Y$261,PC_Model!$K$2:$K$261,$A10,PC_Model!$L$2:$L$261,"T",PC_Model!$Y$2:$Y$261,"&gt;=0")/COUNTIFS(PC_Model!$K$2:$K$261,$A10,PC_Model!$L$2:$L$261,"T",PC_Model!$Y$2:$Y$261,"&gt;=0"),"")</f>
        <v>0.90765065092354857</v>
      </c>
      <c r="F10" s="36">
        <f>IFERROR(SUMIFS(PC_Model!$Q$2:$Q$261,PC_Model!$K$2:$K$261,$A10,PC_Model!$L$2:$L$261,"T",PC_Model!$Q$2:$Q$261,"&gt;=0")/COUNTIFS(PC_Model!$K$2:$K$261,$A10,PC_Model!$L$2:$L$261,"T",PC_Model!$Q$2:$Q$261,"&gt;=0"),"")</f>
        <v>0.83413145508626996</v>
      </c>
      <c r="G10" s="36">
        <f t="shared" si="1"/>
        <v>-7.3519195837278617E-2</v>
      </c>
      <c r="H10" s="36">
        <f>IFERROR(SUMIFS(PC_Model!$Y$2:$Y$261,PC_Model!$K$2:$K$261,$A10,PC_Model!$L$2:$L$261,"PT",PC_Model!$Y$2:$Y$261,"&gt;=0")/COUNTIFS(PC_Model!$K$2:$K$261,$A10,PC_Model!$L$2:$L$261,"PT",PC_Model!$Y$2:$Y$261,"&gt;=0"),"")</f>
        <v>4.1814580697969729E-4</v>
      </c>
      <c r="I10" s="36">
        <f>IFERROR(SUMIFS(PC_Model!$Q$2:$Q$261,PC_Model!$K$2:$K$261,$A10,PC_Model!$L$2:$L$261,"PT",PC_Model!$Q$2:$Q$261,"&gt;=0")/COUNTIFS(PC_Model!$K$2:$K$261,$A10,PC_Model!$L$2:$L$261,"PT",PC_Model!$Q$2:$Q$261,"&gt;=0"),"")</f>
        <v>3.6164184842991089E-2</v>
      </c>
      <c r="J10" s="36">
        <f t="shared" si="2"/>
        <v>3.5746039036011389E-2</v>
      </c>
      <c r="K10" s="36" t="str">
        <f>IFERROR(SUMIFS(PC_Model!$Y$2:$Y$261,PC_Model!$K$2:$K$261,$A10,PC_Model!$L$2:$L$261,"E",PC_Model!$Y$2:$Y$261,"&gt;=0")/COUNTIFS(PC_Model!$K$2:$K$261,$A10,PC_Model!$L$2:$L$261,"E",PC_Model!$Y$2:$Y$261,"&gt;=0"),"")</f>
        <v/>
      </c>
      <c r="L10" s="36" t="str">
        <f>IFERROR(SUMIFS(PC_Model!$Q$2:$Q$261,PC_Model!$K$2:$K$261,$A10,PC_Model!$L$2:$L$261,"E",PC_Model!$Q$2:$Q$261,"&gt;=0")/COUNTIFS(PC_Model!$K$2:$K$261,$A10,PC_Model!$L$2:$L$261,"E",PC_Model!$Q$2:$Q$261,"&gt;=0"),"")</f>
        <v/>
      </c>
      <c r="M10" s="36" t="str">
        <f t="shared" si="3"/>
        <v/>
      </c>
    </row>
    <row r="11" spans="1:13">
      <c r="A11" s="37">
        <v>8</v>
      </c>
      <c r="B11" s="36">
        <f>IFERROR(SUMIFS(PC_Model!$Y$2:$Y$261,PC_Model!$K$2:$K$261,$A11,PC_Model!$L$2:$L$261,"C",PC_Model!$Y$2:$Y$261,"&gt;=0")/COUNTIFS(PC_Model!$K$2:$K$261,$A11,PC_Model!$L$2:$L$261,"C",PC_Model!$Y$2:$Y$261,"&gt;=0"),"")</f>
        <v>4.2490424192943375E-2</v>
      </c>
      <c r="C11" s="36">
        <f>IFERROR(SUMIFS(PC_Model!$Q$2:$Q$261,PC_Model!$K$2:$K$261,$A11,PC_Model!$L$2:$L$261,"C",PC_Model!$Q$2:$Q$261,"&gt;=0")/COUNTIFS(PC_Model!$K$2:$K$261,$A11,PC_Model!$L$2:$L$261,"C",PC_Model!$Q$2:$Q$261,"&gt;=0"),"")</f>
        <v>0.3589964132398395</v>
      </c>
      <c r="D11" s="36">
        <f t="shared" si="0"/>
        <v>0.31650598904689614</v>
      </c>
      <c r="E11" s="36">
        <f>IFERROR(SUMIFS(PC_Model!$Y$2:$Y$261,PC_Model!$K$2:$K$261,$A11,PC_Model!$L$2:$L$261,"T",PC_Model!$Y$2:$Y$261,"&gt;=0")/COUNTIFS(PC_Model!$K$2:$K$261,$A11,PC_Model!$L$2:$L$261,"T",PC_Model!$Y$2:$Y$261,"&gt;=0"),"")</f>
        <v>0.71804200459579959</v>
      </c>
      <c r="F11" s="36">
        <f>IFERROR(SUMIFS(PC_Model!$Q$2:$Q$261,PC_Model!$K$2:$K$261,$A11,PC_Model!$L$2:$L$261,"T",PC_Model!$Q$2:$Q$261,"&gt;=0")/COUNTIFS(PC_Model!$K$2:$K$261,$A11,PC_Model!$L$2:$L$261,"T",PC_Model!$Q$2:$Q$261,"&gt;=0"),"")</f>
        <v>0.71619980510381276</v>
      </c>
      <c r="G11" s="36">
        <f t="shared" si="1"/>
        <v>-1.842199491986829E-3</v>
      </c>
      <c r="H11" s="36">
        <f>IFERROR(SUMIFS(PC_Model!$Y$2:$Y$261,PC_Model!$K$2:$K$261,$A11,PC_Model!$L$2:$L$261,"PT",PC_Model!$Y$2:$Y$261,"&gt;=0")/COUNTIFS(PC_Model!$K$2:$K$261,$A11,PC_Model!$L$2:$L$261,"PT",PC_Model!$Y$2:$Y$261,"&gt;=0"),"")</f>
        <v>5.4389285419831349E-5</v>
      </c>
      <c r="I11" s="36">
        <f>IFERROR(SUMIFS(PC_Model!$Q$2:$Q$261,PC_Model!$K$2:$K$261,$A11,PC_Model!$L$2:$L$261,"PT",PC_Model!$Q$2:$Q$261,"&gt;=0")/COUNTIFS(PC_Model!$K$2:$K$261,$A11,PC_Model!$L$2:$L$261,"PT",PC_Model!$Q$2:$Q$261,"&gt;=0"),"")</f>
        <v>1.4451615917136795E-2</v>
      </c>
      <c r="J11" s="36">
        <f t="shared" si="2"/>
        <v>1.4397226631716963E-2</v>
      </c>
      <c r="K11" s="36" t="str">
        <f>IFERROR(SUMIFS(PC_Model!$Y$2:$Y$261,PC_Model!$K$2:$K$261,$A11,PC_Model!$L$2:$L$261,"E",PC_Model!$Y$2:$Y$261,"&gt;=0")/COUNTIFS(PC_Model!$K$2:$K$261,$A11,PC_Model!$L$2:$L$261,"E",PC_Model!$Y$2:$Y$261,"&gt;=0"),"")</f>
        <v/>
      </c>
      <c r="L11" s="36" t="str">
        <f>IFERROR(SUMIFS(PC_Model!$Q$2:$Q$261,PC_Model!$K$2:$K$261,$A11,PC_Model!$L$2:$L$261,"E",PC_Model!$Q$2:$Q$261,"&gt;=0")/COUNTIFS(PC_Model!$K$2:$K$261,$A11,PC_Model!$L$2:$L$261,"E",PC_Model!$Q$2:$Q$261,"&gt;=0"),"")</f>
        <v/>
      </c>
      <c r="M11" s="36" t="str">
        <f t="shared" si="3"/>
        <v/>
      </c>
    </row>
    <row r="12" spans="1:13">
      <c r="A12" s="37">
        <v>9</v>
      </c>
      <c r="B12" s="36">
        <f>IFERROR(SUMIFS(PC_Model!$Y$2:$Y$261,PC_Model!$K$2:$K$261,$A12,PC_Model!$L$2:$L$261,"C",PC_Model!$Y$2:$Y$261,"&gt;=0")/COUNTIFS(PC_Model!$K$2:$K$261,$A12,PC_Model!$L$2:$L$261,"C",PC_Model!$Y$2:$Y$261,"&gt;=0"),"")</f>
        <v>4.4517478674370283E-3</v>
      </c>
      <c r="C12" s="36">
        <f>IFERROR(SUMIFS(PC_Model!$Q$2:$Q$261,PC_Model!$K$2:$K$261,$A12,PC_Model!$L$2:$L$261,"C",PC_Model!$Q$2:$Q$261,"&gt;=0")/COUNTIFS(PC_Model!$K$2:$K$261,$A12,PC_Model!$L$2:$L$261,"C",PC_Model!$Q$2:$Q$261,"&gt;=0"),"")</f>
        <v>0.24225798227769735</v>
      </c>
      <c r="D12" s="36">
        <f t="shared" si="0"/>
        <v>0.23780623441026033</v>
      </c>
      <c r="E12" s="36">
        <f>IFERROR(SUMIFS(PC_Model!$Y$2:$Y$261,PC_Model!$K$2:$K$261,$A12,PC_Model!$L$2:$L$261,"T",PC_Model!$Y$2:$Y$261,"&gt;=0")/COUNTIFS(PC_Model!$K$2:$K$261,$A12,PC_Model!$L$2:$L$261,"T",PC_Model!$Y$2:$Y$261,"&gt;=0"),"")</f>
        <v>0.44566351389452474</v>
      </c>
      <c r="F12" s="36">
        <f>IFERROR(SUMIFS(PC_Model!$Q$2:$Q$261,PC_Model!$K$2:$K$261,$A12,PC_Model!$L$2:$L$261,"T",PC_Model!$Q$2:$Q$261,"&gt;=0")/COUNTIFS(PC_Model!$K$2:$K$261,$A12,PC_Model!$L$2:$L$261,"T",PC_Model!$Q$2:$Q$261,"&gt;=0"),"")</f>
        <v>0.58648173713523877</v>
      </c>
      <c r="G12" s="36">
        <f t="shared" si="1"/>
        <v>0.14081822324071402</v>
      </c>
      <c r="H12" s="36">
        <f>IFERROR(SUMIFS(PC_Model!$Y$2:$Y$261,PC_Model!$K$2:$K$261,$A12,PC_Model!$L$2:$L$261,"PT",PC_Model!$Y$2:$Y$261,"&gt;=0")/COUNTIFS(PC_Model!$K$2:$K$261,$A12,PC_Model!$L$2:$L$261,"PT",PC_Model!$Y$2:$Y$261,"&gt;=0"),"")</f>
        <v>6.2457041063224142E-6</v>
      </c>
      <c r="I12" s="36">
        <f>IFERROR(SUMIFS(PC_Model!$Q$2:$Q$261,PC_Model!$K$2:$K$261,$A12,PC_Model!$L$2:$L$261,"PT",PC_Model!$Q$2:$Q$261,"&gt;=0")/COUNTIFS(PC_Model!$K$2:$K$261,$A12,PC_Model!$L$2:$L$261,"PT",PC_Model!$Q$2:$Q$261,"&gt;=0"),"")</f>
        <v>5.4127312703617257E-3</v>
      </c>
      <c r="J12" s="36">
        <f t="shared" si="2"/>
        <v>5.4064855662554036E-3</v>
      </c>
      <c r="K12" s="36" t="str">
        <f>IFERROR(SUMIFS(PC_Model!$Y$2:$Y$261,PC_Model!$K$2:$K$261,$A12,PC_Model!$L$2:$L$261,"E",PC_Model!$Y$2:$Y$261,"&gt;=0")/COUNTIFS(PC_Model!$K$2:$K$261,$A12,PC_Model!$L$2:$L$261,"E",PC_Model!$Y$2:$Y$261,"&gt;=0"),"")</f>
        <v/>
      </c>
      <c r="L12" s="36" t="str">
        <f>IFERROR(SUMIFS(PC_Model!$Q$2:$Q$261,PC_Model!$K$2:$K$261,$A12,PC_Model!$L$2:$L$261,"E",PC_Model!$Q$2:$Q$261,"&gt;=0")/COUNTIFS(PC_Model!$K$2:$K$261,$A12,PC_Model!$L$2:$L$261,"E",PC_Model!$Q$2:$Q$261,"&gt;=0"),"")</f>
        <v/>
      </c>
      <c r="M12" s="36" t="str">
        <f t="shared" si="3"/>
        <v/>
      </c>
    </row>
    <row r="13" spans="1:13">
      <c r="A13" s="37">
        <v>10</v>
      </c>
      <c r="B13" s="36">
        <f>IFERROR(SUMIFS(PC_Model!$Y$2:$Y$261,PC_Model!$K$2:$K$261,$A13,PC_Model!$L$2:$L$261,"C",PC_Model!$Y$2:$Y$261,"&gt;=0")/COUNTIFS(PC_Model!$K$2:$K$261,$A13,PC_Model!$L$2:$L$261,"C",PC_Model!$Y$2:$Y$261,"&gt;=0"),"")</f>
        <v>3.0875702659101113E-4</v>
      </c>
      <c r="C13" s="36">
        <f>IFERROR(SUMIFS(PC_Model!$Q$2:$Q$261,PC_Model!$K$2:$K$261,$A13,PC_Model!$L$2:$L$261,"C",PC_Model!$Q$2:$Q$261,"&gt;=0")/COUNTIFS(PC_Model!$K$2:$K$261,$A13,PC_Model!$L$2:$L$261,"C",PC_Model!$Q$2:$Q$261,"&gt;=0"),"")</f>
        <v>0.20424083604244295</v>
      </c>
      <c r="D13" s="36">
        <f t="shared" si="0"/>
        <v>0.20393207901585195</v>
      </c>
      <c r="E13" s="36">
        <f>IFERROR(SUMIFS(PC_Model!$Y$2:$Y$261,PC_Model!$K$2:$K$261,$A13,PC_Model!$L$2:$L$261,"T",PC_Model!$Y$2:$Y$261,"&gt;=0")/COUNTIFS(PC_Model!$K$2:$K$261,$A13,PC_Model!$L$2:$L$261,"T",PC_Model!$Y$2:$Y$261,"&gt;=0"),"")</f>
        <v>0.20949812063910134</v>
      </c>
      <c r="F13" s="36">
        <f>IFERROR(SUMIFS(PC_Model!$Q$2:$Q$261,PC_Model!$K$2:$K$261,$A13,PC_Model!$L$2:$L$261,"T",PC_Model!$Q$2:$Q$261,"&gt;=0")/COUNTIFS(PC_Model!$K$2:$K$261,$A13,PC_Model!$L$2:$L$261,"T",PC_Model!$Q$2:$Q$261,"&gt;=0"),"")</f>
        <v>0.48505563232498189</v>
      </c>
      <c r="G13" s="36">
        <f t="shared" si="1"/>
        <v>0.27555751168588055</v>
      </c>
      <c r="H13" s="36">
        <f>IFERROR(SUMIFS(PC_Model!$Y$2:$Y$261,PC_Model!$K$2:$K$261,$A13,PC_Model!$L$2:$L$261,"PT",PC_Model!$Y$2:$Y$261,"&gt;=0")/COUNTIFS(PC_Model!$K$2:$K$261,$A13,PC_Model!$L$2:$L$261,"PT",PC_Model!$Y$2:$Y$261,"&gt;=0"),"")</f>
        <v>6.1703524958378606E-7</v>
      </c>
      <c r="I13" s="36">
        <f>IFERROR(SUMIFS(PC_Model!$Q$2:$Q$261,PC_Model!$K$2:$K$261,$A13,PC_Model!$L$2:$L$261,"PT",PC_Model!$Q$2:$Q$261,"&gt;=0")/COUNTIFS(PC_Model!$K$2:$K$261,$A13,PC_Model!$L$2:$L$261,"PT",PC_Model!$Q$2:$Q$261,"&gt;=0"),"")</f>
        <v>1.9156897357010428E-3</v>
      </c>
      <c r="J13" s="36">
        <f t="shared" si="2"/>
        <v>1.9150727004514591E-3</v>
      </c>
      <c r="K13" s="36" t="str">
        <f>IFERROR(SUMIFS(PC_Model!$Y$2:$Y$261,PC_Model!$K$2:$K$261,$A13,PC_Model!$L$2:$L$261,"E",PC_Model!$Y$2:$Y$261,"&gt;=0")/COUNTIFS(PC_Model!$K$2:$K$261,$A13,PC_Model!$L$2:$L$261,"E",PC_Model!$Y$2:$Y$261,"&gt;=0"),"")</f>
        <v/>
      </c>
      <c r="L13" s="36" t="str">
        <f>IFERROR(SUMIFS(PC_Model!$Q$2:$Q$261,PC_Model!$K$2:$K$261,$A13,PC_Model!$L$2:$L$261,"E",PC_Model!$Q$2:$Q$261,"&gt;=0")/COUNTIFS(PC_Model!$K$2:$K$261,$A13,PC_Model!$L$2:$L$261,"E",PC_Model!$Q$2:$Q$261,"&gt;=0"),"")</f>
        <v/>
      </c>
      <c r="M13" s="36" t="str">
        <f t="shared" si="3"/>
        <v/>
      </c>
    </row>
    <row r="14" spans="1:13">
      <c r="A14" s="37">
        <v>11</v>
      </c>
      <c r="B14" s="36">
        <f>IFERROR(SUMIFS(PC_Model!$Y$2:$Y$261,PC_Model!$K$2:$K$261,$A14,PC_Model!$L$2:$L$261,"C",PC_Model!$Y$2:$Y$261,"&gt;=0")/COUNTIFS(PC_Model!$K$2:$K$261,$A14,PC_Model!$L$2:$L$261,"C",PC_Model!$Y$2:$Y$261,"&gt;=0"),"")</f>
        <v>1.3809183132074132E-5</v>
      </c>
      <c r="C14" s="36">
        <f>IFERROR(SUMIFS(PC_Model!$Q$2:$Q$261,PC_Model!$K$2:$K$261,$A14,PC_Model!$L$2:$L$261,"C",PC_Model!$Q$2:$Q$261,"&gt;=0")/COUNTIFS(PC_Model!$K$2:$K$261,$A14,PC_Model!$L$2:$L$261,"C",PC_Model!$Q$2:$Q$261,"&gt;=0"),"")</f>
        <v>0.116777259573866</v>
      </c>
      <c r="D14" s="36">
        <f t="shared" si="0"/>
        <v>0.11676345039073394</v>
      </c>
      <c r="E14" s="36">
        <f>IFERROR(SUMIFS(PC_Model!$Y$2:$Y$261,PC_Model!$K$2:$K$261,$A14,PC_Model!$L$2:$L$261,"T",PC_Model!$Y$2:$Y$261,"&gt;=0")/COUNTIFS(PC_Model!$K$2:$K$261,$A14,PC_Model!$L$2:$L$261,"T",PC_Model!$Y$2:$Y$261,"&gt;=0"),"")</f>
        <v>7.4391483709647946E-2</v>
      </c>
      <c r="F14" s="36">
        <f>IFERROR(SUMIFS(PC_Model!$Q$2:$Q$261,PC_Model!$K$2:$K$261,$A14,PC_Model!$L$2:$L$261,"T",PC_Model!$Q$2:$Q$261,"&gt;=0")/COUNTIFS(PC_Model!$K$2:$K$261,$A14,PC_Model!$L$2:$L$261,"T",PC_Model!$Q$2:$Q$261,"&gt;=0"),"")</f>
        <v>0.42962319482174605</v>
      </c>
      <c r="G14" s="36">
        <f t="shared" si="1"/>
        <v>0.35523171111209811</v>
      </c>
      <c r="H14" s="36">
        <f>IFERROR(SUMIFS(PC_Model!$Y$2:$Y$261,PC_Model!$K$2:$K$261,$A14,PC_Model!$L$2:$L$261,"PT",PC_Model!$Y$2:$Y$261,"&gt;=0")/COUNTIFS(PC_Model!$K$2:$K$261,$A14,PC_Model!$L$2:$L$261,"PT",PC_Model!$Y$2:$Y$261,"&gt;=0"),"")</f>
        <v>5.0583608857124318E-8</v>
      </c>
      <c r="I14" s="36">
        <f>IFERROR(SUMIFS(PC_Model!$Q$2:$Q$261,PC_Model!$K$2:$K$261,$A14,PC_Model!$L$2:$L$261,"PT",PC_Model!$Q$2:$Q$261,"&gt;=0")/COUNTIFS(PC_Model!$K$2:$K$261,$A14,PC_Model!$L$2:$L$261,"PT",PC_Model!$Q$2:$Q$261,"&gt;=0"),"")</f>
        <v>6.3857300958636287E-4</v>
      </c>
      <c r="J14" s="36">
        <f t="shared" si="2"/>
        <v>6.3852242597750575E-4</v>
      </c>
      <c r="K14" s="36" t="str">
        <f>IFERROR(SUMIFS(PC_Model!$Y$2:$Y$261,PC_Model!$K$2:$K$261,$A14,PC_Model!$L$2:$L$261,"E",PC_Model!$Y$2:$Y$261,"&gt;=0")/COUNTIFS(PC_Model!$K$2:$K$261,$A14,PC_Model!$L$2:$L$261,"E",PC_Model!$Y$2:$Y$261,"&gt;=0"),"")</f>
        <v/>
      </c>
      <c r="L14" s="36" t="str">
        <f>IFERROR(SUMIFS(PC_Model!$Q$2:$Q$261,PC_Model!$K$2:$K$261,$A14,PC_Model!$L$2:$L$261,"E",PC_Model!$Q$2:$Q$261,"&gt;=0")/COUNTIFS(PC_Model!$K$2:$K$261,$A14,PC_Model!$L$2:$L$261,"E",PC_Model!$Q$2:$Q$261,"&gt;=0"),"")</f>
        <v/>
      </c>
      <c r="M14" s="36" t="str">
        <f t="shared" si="3"/>
        <v/>
      </c>
    </row>
    <row r="15" spans="1:13">
      <c r="A15" s="37">
        <v>12</v>
      </c>
      <c r="B15" s="36">
        <f>IFERROR(SUMIFS(PC_Model!$Y$2:$Y$261,PC_Model!$K$2:$K$261,$A15,PC_Model!$L$2:$L$261,"C",PC_Model!$Y$2:$Y$261,"&gt;=0")/COUNTIFS(PC_Model!$K$2:$K$261,$A15,PC_Model!$L$2:$L$261,"C",PC_Model!$Y$2:$Y$261,"&gt;=0"),"")</f>
        <v>3.7091197948591057E-7</v>
      </c>
      <c r="C15" s="36">
        <f>IFERROR(SUMIFS(PC_Model!$Q$2:$Q$261,PC_Model!$K$2:$K$261,$A15,PC_Model!$L$2:$L$261,"C",PC_Model!$Q$2:$Q$261,"&gt;=0")/COUNTIFS(PC_Model!$K$2:$K$261,$A15,PC_Model!$L$2:$L$261,"C",PC_Model!$Q$2:$Q$261,"&gt;=0"),"")</f>
        <v>2.1312118729558783E-2</v>
      </c>
      <c r="D15" s="36">
        <f t="shared" si="0"/>
        <v>2.1311747817579298E-2</v>
      </c>
      <c r="E15" s="36">
        <f>IFERROR(SUMIFS(PC_Model!$Y$2:$Y$261,PC_Model!$K$2:$K$261,$A15,PC_Model!$L$2:$L$261,"T",PC_Model!$Y$2:$Y$261,"&gt;=0")/COUNTIFS(PC_Model!$K$2:$K$261,$A15,PC_Model!$L$2:$L$261,"T",PC_Model!$Y$2:$Y$261,"&gt;=0"),"")</f>
        <v>1.9696404673375256E-2</v>
      </c>
      <c r="F15" s="36">
        <f>IFERROR(SUMIFS(PC_Model!$Q$2:$Q$261,PC_Model!$K$2:$K$261,$A15,PC_Model!$L$2:$L$261,"T",PC_Model!$Q$2:$Q$261,"&gt;=0")/COUNTIFS(PC_Model!$K$2:$K$261,$A15,PC_Model!$L$2:$L$261,"T",PC_Model!$Q$2:$Q$261,"&gt;=0"),"")</f>
        <v>0.40726635149994195</v>
      </c>
      <c r="G15" s="36">
        <f t="shared" si="1"/>
        <v>0.3875699468265667</v>
      </c>
      <c r="H15" s="36">
        <f>IFERROR(SUMIFS(PC_Model!$Y$2:$Y$261,PC_Model!$K$2:$K$261,$A15,PC_Model!$L$2:$L$261,"PT",PC_Model!$Y$2:$Y$261,"&gt;=0")/COUNTIFS(PC_Model!$K$2:$K$261,$A15,PC_Model!$L$2:$L$261,"PT",PC_Model!$Y$2:$Y$261,"&gt;=0"),"")</f>
        <v>3.260765568668944E-9</v>
      </c>
      <c r="I15" s="36">
        <f>IFERROR(SUMIFS(PC_Model!$Q$2:$Q$261,PC_Model!$K$2:$K$261,$A15,PC_Model!$L$2:$L$261,"PT",PC_Model!$Q$2:$Q$261,"&gt;=0")/COUNTIFS(PC_Model!$K$2:$K$261,$A15,PC_Model!$L$2:$L$261,"PT",PC_Model!$Q$2:$Q$261,"&gt;=0"),"")</f>
        <v>1.9798078617776492E-4</v>
      </c>
      <c r="J15" s="36">
        <f t="shared" si="2"/>
        <v>1.9797752541219626E-4</v>
      </c>
      <c r="K15" s="36" t="str">
        <f>IFERROR(SUMIFS(PC_Model!$Y$2:$Y$261,PC_Model!$K$2:$K$261,$A15,PC_Model!$L$2:$L$261,"E",PC_Model!$Y$2:$Y$261,"&gt;=0")/COUNTIFS(PC_Model!$K$2:$K$261,$A15,PC_Model!$L$2:$L$261,"E",PC_Model!$Y$2:$Y$261,"&gt;=0"),"")</f>
        <v/>
      </c>
      <c r="L15" s="36" t="str">
        <f>IFERROR(SUMIFS(PC_Model!$Q$2:$Q$261,PC_Model!$K$2:$K$261,$A15,PC_Model!$L$2:$L$261,"E",PC_Model!$Q$2:$Q$261,"&gt;=0")/COUNTIFS(PC_Model!$K$2:$K$261,$A15,PC_Model!$L$2:$L$261,"E",PC_Model!$Q$2:$Q$261,"&gt;=0"),"")</f>
        <v/>
      </c>
      <c r="M15" s="36" t="str">
        <f t="shared" si="3"/>
        <v/>
      </c>
    </row>
    <row r="16" spans="1:13">
      <c r="A16" s="37">
        <v>13</v>
      </c>
      <c r="B16" s="36">
        <f>IFERROR(SUMIFS(PC_Model!$Y$2:$Y$261,PC_Model!$K$2:$K$261,$A16,PC_Model!$L$2:$L$261,"C",PC_Model!$Y$2:$Y$261,"&gt;=0")/COUNTIFS(PC_Model!$K$2:$K$261,$A16,PC_Model!$L$2:$L$261,"C",PC_Model!$Y$2:$Y$261,"&gt;=0"),"")</f>
        <v>5.2952653817328608E-9</v>
      </c>
      <c r="C16" s="36">
        <f>IFERROR(SUMIFS(PC_Model!$Q$2:$Q$261,PC_Model!$K$2:$K$261,$A16,PC_Model!$L$2:$L$261,"C",PC_Model!$Q$2:$Q$261,"&gt;=0")/COUNTIFS(PC_Model!$K$2:$K$261,$A16,PC_Model!$L$2:$L$261,"C",PC_Model!$Q$2:$Q$261,"&gt;=0"),"")</f>
        <v>2.4235063106140819E-3</v>
      </c>
      <c r="D16" s="36">
        <f t="shared" si="0"/>
        <v>2.4235010153487004E-3</v>
      </c>
      <c r="E16" s="36">
        <f>IFERROR(SUMIFS(PC_Model!$Y$2:$Y$261,PC_Model!$K$2:$K$261,$A16,PC_Model!$L$2:$L$261,"T",PC_Model!$Y$2:$Y$261,"&gt;=0")/COUNTIFS(PC_Model!$K$2:$K$261,$A16,PC_Model!$L$2:$L$261,"T",PC_Model!$Y$2:$Y$261,"&gt;=0"),"")</f>
        <v>3.6628481603595332E-3</v>
      </c>
      <c r="F16" s="36">
        <f>IFERROR(SUMIFS(PC_Model!$Q$2:$Q$261,PC_Model!$K$2:$K$261,$A16,PC_Model!$L$2:$L$261,"T",PC_Model!$Q$2:$Q$261,"&gt;=0")/COUNTIFS(PC_Model!$K$2:$K$261,$A16,PC_Model!$L$2:$L$261,"T",PC_Model!$Q$2:$Q$261,"&gt;=0"),"")</f>
        <v>0.48958547425491261</v>
      </c>
      <c r="G16" s="36">
        <f t="shared" si="1"/>
        <v>0.48592262609455306</v>
      </c>
      <c r="H16" s="36">
        <f>IFERROR(SUMIFS(PC_Model!$Y$2:$Y$261,PC_Model!$K$2:$K$261,$A16,PC_Model!$L$2:$L$261,"PT",PC_Model!$Y$2:$Y$261,"&gt;=0")/COUNTIFS(PC_Model!$K$2:$K$261,$A16,PC_Model!$L$2:$L$261,"PT",PC_Model!$Y$2:$Y$261,"&gt;=0"),"")</f>
        <v>1.5129331121244149E-10</v>
      </c>
      <c r="I16" s="36">
        <f>IFERROR(SUMIFS(PC_Model!$Q$2:$Q$261,PC_Model!$K$2:$K$261,$A16,PC_Model!$L$2:$L$261,"PT",PC_Model!$Q$2:$Q$261,"&gt;=0")/COUNTIFS(PC_Model!$K$2:$K$261,$A16,PC_Model!$L$2:$L$261,"PT",PC_Model!$Q$2:$Q$261,"&gt;=0"),"")</f>
        <v>6.9570733864821044E-5</v>
      </c>
      <c r="J16" s="36">
        <f t="shared" si="2"/>
        <v>6.9570582571509831E-5</v>
      </c>
      <c r="K16" s="36" t="str">
        <f>IFERROR(SUMIFS(PC_Model!$Y$2:$Y$261,PC_Model!$K$2:$K$261,$A16,PC_Model!$L$2:$L$261,"E",PC_Model!$Y$2:$Y$261,"&gt;=0")/COUNTIFS(PC_Model!$K$2:$K$261,$A16,PC_Model!$L$2:$L$261,"E",PC_Model!$Y$2:$Y$261,"&gt;=0"),"")</f>
        <v/>
      </c>
      <c r="L16" s="36" t="str">
        <f>IFERROR(SUMIFS(PC_Model!$Q$2:$Q$261,PC_Model!$K$2:$K$261,$A16,PC_Model!$L$2:$L$261,"E",PC_Model!$Q$2:$Q$261,"&gt;=0")/COUNTIFS(PC_Model!$K$2:$K$261,$A16,PC_Model!$L$2:$L$261,"E",PC_Model!$Q$2:$Q$261,"&gt;=0"),"")</f>
        <v/>
      </c>
      <c r="M16" s="36" t="str">
        <f t="shared" si="3"/>
        <v/>
      </c>
    </row>
    <row r="17" spans="1:13">
      <c r="A17" s="37">
        <v>14</v>
      </c>
      <c r="B17" s="36">
        <f>IFERROR(SUMIFS(PC_Model!$Y$2:$Y$261,PC_Model!$K$2:$K$261,$A17,PC_Model!$L$2:$L$261,"C",PC_Model!$Y$2:$Y$261,"&gt;=0")/COUNTIFS(PC_Model!$K$2:$K$261,$A17,PC_Model!$L$2:$L$261,"C",PC_Model!$Y$2:$Y$261,"&gt;=0"),"")</f>
        <v>3.1933944377726678E-11</v>
      </c>
      <c r="C17" s="36">
        <f>IFERROR(SUMIFS(PC_Model!$Q$2:$Q$261,PC_Model!$K$2:$K$261,$A17,PC_Model!$L$2:$L$261,"C",PC_Model!$Q$2:$Q$261,"&gt;=0")/COUNTIFS(PC_Model!$K$2:$K$261,$A17,PC_Model!$L$2:$L$261,"C",PC_Model!$Q$2:$Q$261,"&gt;=0"),"")</f>
        <v>1.2575729076697018E-4</v>
      </c>
      <c r="D17" s="36">
        <f t="shared" si="0"/>
        <v>1.2575725883302581E-4</v>
      </c>
      <c r="E17" s="36">
        <f>IFERROR(SUMIFS(PC_Model!$Y$2:$Y$261,PC_Model!$K$2:$K$261,$A17,PC_Model!$L$2:$L$261,"T",PC_Model!$Y$2:$Y$261,"&gt;=0")/COUNTIFS(PC_Model!$K$2:$K$261,$A17,PC_Model!$L$2:$L$261,"T",PC_Model!$Y$2:$Y$261,"&gt;=0"),"")</f>
        <v>4.091079051367297E-4</v>
      </c>
      <c r="F17" s="36">
        <f>IFERROR(SUMIFS(PC_Model!$Q$2:$Q$261,PC_Model!$K$2:$K$261,$A17,PC_Model!$L$2:$L$261,"T",PC_Model!$Q$2:$Q$261,"&gt;=0")/COUNTIFS(PC_Model!$K$2:$K$261,$A17,PC_Model!$L$2:$L$261,"T",PC_Model!$Q$2:$Q$261,"&gt;=0"),"")</f>
        <v>0.42487323526545884</v>
      </c>
      <c r="G17" s="36">
        <f t="shared" si="1"/>
        <v>0.42446412736032213</v>
      </c>
      <c r="H17" s="36">
        <f>IFERROR(SUMIFS(PC_Model!$Y$2:$Y$261,PC_Model!$K$2:$K$261,$A17,PC_Model!$L$2:$L$261,"PT",PC_Model!$Y$2:$Y$261,"&gt;=0")/COUNTIFS(PC_Model!$K$2:$K$261,$A17,PC_Model!$L$2:$L$261,"PT",PC_Model!$Y$2:$Y$261,"&gt;=0"),"")</f>
        <v>4.25783852620043E-12</v>
      </c>
      <c r="I17" s="36">
        <f>IFERROR(SUMIFS(PC_Model!$Q$2:$Q$261,PC_Model!$K$2:$K$261,$A17,PC_Model!$L$2:$L$261,"PT",PC_Model!$Q$2:$Q$261,"&gt;=0")/COUNTIFS(PC_Model!$K$2:$K$261,$A17,PC_Model!$L$2:$L$261,"PT",PC_Model!$Q$2:$Q$261,"&gt;=0"),"")</f>
        <v>1.6771292962042272E-5</v>
      </c>
      <c r="J17" s="36">
        <f t="shared" si="2"/>
        <v>1.6771288704203745E-5</v>
      </c>
      <c r="K17" s="36" t="str">
        <f>IFERROR(SUMIFS(PC_Model!$Y$2:$Y$261,PC_Model!$K$2:$K$261,$A17,PC_Model!$L$2:$L$261,"E",PC_Model!$Y$2:$Y$261,"&gt;=0")/COUNTIFS(PC_Model!$K$2:$K$261,$A17,PC_Model!$L$2:$L$261,"E",PC_Model!$Y$2:$Y$261,"&gt;=0"),"")</f>
        <v/>
      </c>
      <c r="L17" s="36" t="str">
        <f>IFERROR(SUMIFS(PC_Model!$Q$2:$Q$261,PC_Model!$K$2:$K$261,$A17,PC_Model!$L$2:$L$261,"E",PC_Model!$Q$2:$Q$261,"&gt;=0")/COUNTIFS(PC_Model!$K$2:$K$261,$A17,PC_Model!$L$2:$L$261,"E",PC_Model!$Q$2:$Q$261,"&gt;=0"),"")</f>
        <v/>
      </c>
      <c r="M17" s="36" t="str">
        <f t="shared" si="3"/>
        <v/>
      </c>
    </row>
    <row r="18" spans="1:13">
      <c r="A18" s="37">
        <v>15</v>
      </c>
      <c r="B18" s="36">
        <f>IFERROR(SUMIFS(PC_Model!$Y$2:$Y$261,PC_Model!$K$2:$K$261,$A18,PC_Model!$L$2:$L$261,"C",PC_Model!$Y$2:$Y$261,"&gt;=0")/COUNTIFS(PC_Model!$K$2:$K$261,$A18,PC_Model!$L$2:$L$261,"C",PC_Model!$Y$2:$Y$261,"&gt;=0"),"")</f>
        <v>4.5985437679973983E-14</v>
      </c>
      <c r="C18" s="36">
        <f>IFERROR(SUMIFS(PC_Model!$Q$2:$Q$261,PC_Model!$K$2:$K$261,$A18,PC_Model!$L$2:$L$261,"C",PC_Model!$Q$2:$Q$261,"&gt;=0")/COUNTIFS(PC_Model!$K$2:$K$261,$A18,PC_Model!$L$2:$L$261,"C",PC_Model!$Q$2:$Q$261,"&gt;=0"),"")</f>
        <v>2.9163413214072786E-6</v>
      </c>
      <c r="D18" s="36">
        <f t="shared" si="0"/>
        <v>2.9163412754218409E-6</v>
      </c>
      <c r="E18" s="36">
        <f>IFERROR(SUMIFS(PC_Model!$Y$2:$Y$261,PC_Model!$K$2:$K$261,$A18,PC_Model!$L$2:$L$261,"T",PC_Model!$Y$2:$Y$261,"&gt;=0")/COUNTIFS(PC_Model!$K$2:$K$261,$A18,PC_Model!$L$2:$L$261,"T",PC_Model!$Y$2:$Y$261,"&gt;=0"),"")</f>
        <v>1.7464989035986811E-5</v>
      </c>
      <c r="F18" s="36">
        <f>IFERROR(SUMIFS(PC_Model!$Q$2:$Q$261,PC_Model!$K$2:$K$261,$A18,PC_Model!$L$2:$L$261,"T",PC_Model!$Q$2:$Q$261,"&gt;=0")/COUNTIFS(PC_Model!$K$2:$K$261,$A18,PC_Model!$L$2:$L$261,"T",PC_Model!$Q$2:$Q$261,"&gt;=0"),"")</f>
        <v>0.31718747125484981</v>
      </c>
      <c r="G18" s="36">
        <f t="shared" si="1"/>
        <v>0.31717000626581382</v>
      </c>
      <c r="H18" s="36">
        <f>IFERROR(SUMIFS(PC_Model!$Y$2:$Y$261,PC_Model!$K$2:$K$261,$A18,PC_Model!$L$2:$L$261,"PT",PC_Model!$Y$2:$Y$261,"&gt;=0")/COUNTIFS(PC_Model!$K$2:$K$261,$A18,PC_Model!$L$2:$L$261,"PT",PC_Model!$Y$2:$Y$261,"&gt;=0"),"")</f>
        <v>4.5985437679973983E-14</v>
      </c>
      <c r="I18" s="36">
        <f>IFERROR(SUMIFS(PC_Model!$Q$2:$Q$261,PC_Model!$K$2:$K$261,$A18,PC_Model!$L$2:$L$261,"PT",PC_Model!$Q$2:$Q$261,"&gt;=0")/COUNTIFS(PC_Model!$K$2:$K$261,$A18,PC_Model!$L$2:$L$261,"PT",PC_Model!$Q$2:$Q$261,"&gt;=0"),"")</f>
        <v>2.9163413214072786E-6</v>
      </c>
      <c r="J18" s="36">
        <f t="shared" si="2"/>
        <v>2.9163412754218409E-6</v>
      </c>
      <c r="K18" s="36" t="str">
        <f>IFERROR(SUMIFS(PC_Model!$Y$2:$Y$261,PC_Model!$K$2:$K$261,$A18,PC_Model!$L$2:$L$261,"E",PC_Model!$Y$2:$Y$261,"&gt;=0")/COUNTIFS(PC_Model!$K$2:$K$261,$A18,PC_Model!$L$2:$L$261,"E",PC_Model!$Y$2:$Y$261,"&gt;=0"),"")</f>
        <v/>
      </c>
      <c r="L18" s="36" t="str">
        <f>IFERROR(SUMIFS(PC_Model!$Q$2:$Q$261,PC_Model!$K$2:$K$261,$A18,PC_Model!$L$2:$L$261,"E",PC_Model!$Q$2:$Q$261,"&gt;=0")/COUNTIFS(PC_Model!$K$2:$K$261,$A18,PC_Model!$L$2:$L$261,"E",PC_Model!$Q$2:$Q$261,"&gt;=0"),"")</f>
        <v/>
      </c>
      <c r="M18" s="36" t="str">
        <f t="shared" si="3"/>
        <v/>
      </c>
    </row>
    <row r="21" spans="1:13">
      <c r="A21" s="50" t="s">
        <v>225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</row>
    <row r="22" spans="1:13">
      <c r="A22" s="35" t="s">
        <v>91</v>
      </c>
      <c r="B22" s="35" t="s">
        <v>208</v>
      </c>
      <c r="C22" s="35" t="s">
        <v>209</v>
      </c>
      <c r="D22" s="35" t="s">
        <v>210</v>
      </c>
      <c r="E22" s="35" t="s">
        <v>211</v>
      </c>
      <c r="F22" s="35" t="s">
        <v>212</v>
      </c>
      <c r="G22" s="35" t="s">
        <v>213</v>
      </c>
      <c r="H22" s="35" t="s">
        <v>214</v>
      </c>
      <c r="I22" s="35" t="s">
        <v>215</v>
      </c>
      <c r="J22" s="35" t="s">
        <v>216</v>
      </c>
      <c r="K22" s="35" t="s">
        <v>217</v>
      </c>
      <c r="L22" s="35" t="s">
        <v>218</v>
      </c>
      <c r="M22" s="35" t="s">
        <v>219</v>
      </c>
    </row>
    <row r="23" spans="1:13">
      <c r="A23" s="37">
        <v>3</v>
      </c>
      <c r="B23" s="36">
        <f>IFERROR(SUMIFS(PC_Model!$S$2:$S$261,PC_Model!$K$2:$K$261,$A23,PC_Model!$L$2:$L$261,"C",PC_Model!$S$2:$S$261,"&gt;=0")/COUNTIFS(PC_Model!$K$2:$K$261,$A23,PC_Model!$L$2:$L$261,"C",PC_Model!$S$2:$S$261,"&gt;=0"),"")</f>
        <v>4.5387653251355492E-2</v>
      </c>
      <c r="C23" s="36">
        <f>IFERROR(SUMIFS(PC_Model!$S$2:$S$261,PC_Model!$K$2:$K$261,$A23,PC_Model!$L$2:$L$261,"C",PC_Model!$S$2:$S$261,"&gt;=0")/COUNTIFS(PC_Model!$K$2:$K$261,$A23,PC_Model!$L$2:$L$261,"C",PC_Model!$S$2:$S$261,"&gt;=0"),"")</f>
        <v>4.5387653251355492E-2</v>
      </c>
      <c r="D23" s="36">
        <f t="shared" ref="D23:D35" si="4">IF(OR(B23="",C23=""),"",C23-B23)</f>
        <v>0</v>
      </c>
      <c r="E23" s="36">
        <f>IFERROR(SUMIFS(PC_Model!$S$2:$S$261,PC_Model!$K$2:$K$261,$A23,PC_Model!$L$2:$L$261,"T",PC_Model!$S$2:$S$261,"&gt;=0")/COUNTIFS(PC_Model!$K$2:$K$261,$A23,PC_Model!$L$2:$L$261,"T",PC_Model!$S$2:$S$261,"&gt;=0"),"")</f>
        <v>2.4214024677744521E-2</v>
      </c>
      <c r="F23" s="36">
        <f>IFERROR(SUMIFS(PC_Model!$S$2:$S$261,PC_Model!$K$2:$K$261,$A23,PC_Model!$L$2:$L$261,"T",PC_Model!$S$2:$S$261,"&gt;=0")/COUNTIFS(PC_Model!$K$2:$K$261,$A23,PC_Model!$L$2:$L$261,"T",PC_Model!$S$2:$S$261,"&gt;=0"),"")</f>
        <v>2.4214024677744521E-2</v>
      </c>
      <c r="G23" s="36">
        <f t="shared" ref="G23:G35" si="5">IF(OR(E23="",F23=""),"",F23-E23)</f>
        <v>0</v>
      </c>
      <c r="H23" s="36">
        <f>IFERROR(SUMIFS(PC_Model!$S$2:$S$261,PC_Model!$K$2:$K$261,$A23,PC_Model!$L$2:$L$261,"PT",PC_Model!$S$2:$S$261,"&gt;=0")/COUNTIFS(PC_Model!$K$2:$K$261,$A23,PC_Model!$L$2:$L$261,"PT",PC_Model!$S$2:$S$261,"&gt;=0"),"")</f>
        <v>1.296790092895871E-3</v>
      </c>
      <c r="I23" s="36">
        <f>IFERROR(SUMIFS(PC_Model!$S$2:$S$261,PC_Model!$K$2:$K$261,$A23,PC_Model!$L$2:$L$261,"PT",PC_Model!$S$2:$S$261,"&gt;=0")/COUNTIFS(PC_Model!$K$2:$K$261,$A23,PC_Model!$L$2:$L$261,"PT",PC_Model!$S$2:$S$261,"&gt;=0"),"")</f>
        <v>1.296790092895871E-3</v>
      </c>
      <c r="J23" s="36">
        <f t="shared" ref="J23:J35" si="6">IF(OR(H23="",I23=""),"",I23-H23)</f>
        <v>0</v>
      </c>
      <c r="K23" s="36">
        <f>IFERROR(SUMIFS(PC_Model!$S$2:$S$261,PC_Model!$K$2:$K$261,$A23,PC_Model!$L$2:$L$261,"E",PC_Model!$S$2:$S$261,"&gt;=0")/COUNTIFS(PC_Model!$K$2:$K$261,$A23,PC_Model!$L$2:$L$261,"E",PC_Model!$S$2:$S$261,"&gt;=0"),"")</f>
        <v>1.9405761573683881E-3</v>
      </c>
      <c r="L23" s="36">
        <f>IFERROR(SUMIFS(PC_Model!$S$2:$S$261,PC_Model!$K$2:$K$261,$A23,PC_Model!$L$2:$L$261,"E",PC_Model!$S$2:$S$261,"&gt;=0")/COUNTIFS(PC_Model!$K$2:$K$261,$A23,PC_Model!$L$2:$L$261,"E",PC_Model!$S$2:$S$261,"&gt;=0"),"")</f>
        <v>1.9405761573683881E-3</v>
      </c>
      <c r="M23" s="36">
        <f t="shared" ref="M23:M35" si="7">IF(OR(K23="",L23=""),"",L23-K23)</f>
        <v>0</v>
      </c>
    </row>
    <row r="24" spans="1:13">
      <c r="A24" s="37">
        <v>4</v>
      </c>
      <c r="B24" s="36">
        <f>IFERROR(SUMIFS(PC_Model!$S$2:$S$261,PC_Model!$K$2:$K$261,$A24,PC_Model!$L$2:$L$261,"C",PC_Model!$S$2:$S$261,"&gt;=0")/COUNTIFS(PC_Model!$K$2:$K$261,$A24,PC_Model!$L$2:$L$261,"C",PC_Model!$S$2:$S$261,"&gt;=0"),"")</f>
        <v>8.9642212902494474E-3</v>
      </c>
      <c r="C24" s="36">
        <f>IFERROR(SUMIFS(PC_Model!$S$2:$S$261,PC_Model!$K$2:$K$261,$A24,PC_Model!$L$2:$L$261,"C",PC_Model!$S$2:$S$261,"&gt;=0")/COUNTIFS(PC_Model!$K$2:$K$261,$A24,PC_Model!$L$2:$L$261,"C",PC_Model!$S$2:$S$261,"&gt;=0"),"")</f>
        <v>8.9642212902494474E-3</v>
      </c>
      <c r="D24" s="36">
        <f t="shared" si="4"/>
        <v>0</v>
      </c>
      <c r="E24" s="36">
        <f>IFERROR(SUMIFS(PC_Model!$S$2:$S$261,PC_Model!$K$2:$K$261,$A24,PC_Model!$L$2:$L$261,"T",PC_Model!$S$2:$S$261,"&gt;=0")/COUNTIFS(PC_Model!$K$2:$K$261,$A24,PC_Model!$L$2:$L$261,"T",PC_Model!$S$2:$S$261,"&gt;=0"),"")</f>
        <v>3.1240489941199586E-3</v>
      </c>
      <c r="F24" s="36">
        <f>IFERROR(SUMIFS(PC_Model!$S$2:$S$261,PC_Model!$K$2:$K$261,$A24,PC_Model!$L$2:$L$261,"T",PC_Model!$S$2:$S$261,"&gt;=0")/COUNTIFS(PC_Model!$K$2:$K$261,$A24,PC_Model!$L$2:$L$261,"T",PC_Model!$S$2:$S$261,"&gt;=0"),"")</f>
        <v>3.1240489941199586E-3</v>
      </c>
      <c r="G24" s="36">
        <f t="shared" si="5"/>
        <v>0</v>
      </c>
      <c r="H24" s="36">
        <f>IFERROR(SUMIFS(PC_Model!$S$2:$S$261,PC_Model!$K$2:$K$261,$A24,PC_Model!$L$2:$L$261,"PT",PC_Model!$S$2:$S$261,"&gt;=0")/COUNTIFS(PC_Model!$K$2:$K$261,$A24,PC_Model!$L$2:$L$261,"PT",PC_Model!$S$2:$S$261,"&gt;=0"),"")</f>
        <v>3.9403170506590972E-5</v>
      </c>
      <c r="I24" s="36">
        <f>IFERROR(SUMIFS(PC_Model!$S$2:$S$261,PC_Model!$K$2:$K$261,$A24,PC_Model!$L$2:$L$261,"PT",PC_Model!$S$2:$S$261,"&gt;=0")/COUNTIFS(PC_Model!$K$2:$K$261,$A24,PC_Model!$L$2:$L$261,"PT",PC_Model!$S$2:$S$261,"&gt;=0"),"")</f>
        <v>3.9403170506590972E-5</v>
      </c>
      <c r="J24" s="36">
        <f t="shared" si="6"/>
        <v>0</v>
      </c>
      <c r="K24" s="36">
        <f>IFERROR(SUMIFS(PC_Model!$S$2:$S$261,PC_Model!$K$2:$K$261,$A24,PC_Model!$L$2:$L$261,"E",PC_Model!$S$2:$S$261,"&gt;=0")/COUNTIFS(PC_Model!$K$2:$K$261,$A24,PC_Model!$L$2:$L$261,"E",PC_Model!$S$2:$S$261,"&gt;=0"),"")</f>
        <v>4.3138643913898146E-5</v>
      </c>
      <c r="L24" s="36">
        <f>IFERROR(SUMIFS(PC_Model!$S$2:$S$261,PC_Model!$K$2:$K$261,$A24,PC_Model!$L$2:$L$261,"E",PC_Model!$S$2:$S$261,"&gt;=0")/COUNTIFS(PC_Model!$K$2:$K$261,$A24,PC_Model!$L$2:$L$261,"E",PC_Model!$S$2:$S$261,"&gt;=0"),"")</f>
        <v>4.3138643913898146E-5</v>
      </c>
      <c r="M24" s="36">
        <f t="shared" si="7"/>
        <v>0</v>
      </c>
    </row>
    <row r="25" spans="1:13">
      <c r="A25" s="37">
        <v>5</v>
      </c>
      <c r="B25" s="36">
        <f>IFERROR(SUMIFS(PC_Model!$S$2:$S$261,PC_Model!$K$2:$K$261,$A25,PC_Model!$L$2:$L$261,"C",PC_Model!$S$2:$S$261,"&gt;=0")/COUNTIFS(PC_Model!$K$2:$K$261,$A25,PC_Model!$L$2:$L$261,"C",PC_Model!$S$2:$S$261,"&gt;=0"),"")</f>
        <v>1.6676190511801549E-3</v>
      </c>
      <c r="C25" s="36">
        <f>IFERROR(SUMIFS(PC_Model!$S$2:$S$261,PC_Model!$K$2:$K$261,$A25,PC_Model!$L$2:$L$261,"C",PC_Model!$S$2:$S$261,"&gt;=0")/COUNTIFS(PC_Model!$K$2:$K$261,$A25,PC_Model!$L$2:$L$261,"C",PC_Model!$S$2:$S$261,"&gt;=0"),"")</f>
        <v>1.6676190511801549E-3</v>
      </c>
      <c r="D25" s="36">
        <f t="shared" si="4"/>
        <v>0</v>
      </c>
      <c r="E25" s="36">
        <f>IFERROR(SUMIFS(PC_Model!$S$2:$S$261,PC_Model!$K$2:$K$261,$A25,PC_Model!$L$2:$L$261,"T",PC_Model!$S$2:$S$261,"&gt;=0")/COUNTIFS(PC_Model!$K$2:$K$261,$A25,PC_Model!$L$2:$L$261,"T",PC_Model!$S$2:$S$261,"&gt;=0"),"")</f>
        <v>4.0682546032076066E-4</v>
      </c>
      <c r="F25" s="36">
        <f>IFERROR(SUMIFS(PC_Model!$S$2:$S$261,PC_Model!$K$2:$K$261,$A25,PC_Model!$L$2:$L$261,"T",PC_Model!$S$2:$S$261,"&gt;=0")/COUNTIFS(PC_Model!$K$2:$K$261,$A25,PC_Model!$L$2:$L$261,"T",PC_Model!$S$2:$S$261,"&gt;=0"),"")</f>
        <v>4.0682546032076066E-4</v>
      </c>
      <c r="G25" s="36">
        <f t="shared" si="5"/>
        <v>0</v>
      </c>
      <c r="H25" s="36">
        <f>IFERROR(SUMIFS(PC_Model!$S$2:$S$261,PC_Model!$K$2:$K$261,$A25,PC_Model!$L$2:$L$261,"PT",PC_Model!$S$2:$S$261,"&gt;=0")/COUNTIFS(PC_Model!$K$2:$K$261,$A25,PC_Model!$L$2:$L$261,"PT",PC_Model!$S$2:$S$261,"&gt;=0"),"")</f>
        <v>1.2216989385935201E-6</v>
      </c>
      <c r="I25" s="36">
        <f>IFERROR(SUMIFS(PC_Model!$S$2:$S$261,PC_Model!$K$2:$K$261,$A25,PC_Model!$L$2:$L$261,"PT",PC_Model!$S$2:$S$261,"&gt;=0")/COUNTIFS(PC_Model!$K$2:$K$261,$A25,PC_Model!$L$2:$L$261,"PT",PC_Model!$S$2:$S$261,"&gt;=0"),"")</f>
        <v>1.2216989385935201E-6</v>
      </c>
      <c r="J25" s="36">
        <f t="shared" si="6"/>
        <v>0</v>
      </c>
      <c r="K25" s="36">
        <f>IFERROR(SUMIFS(PC_Model!$S$2:$S$261,PC_Model!$K$2:$K$261,$A25,PC_Model!$L$2:$L$261,"E",PC_Model!$S$2:$S$261,"&gt;=0")/COUNTIFS(PC_Model!$K$2:$K$261,$A25,PC_Model!$L$2:$L$261,"E",PC_Model!$S$2:$S$261,"&gt;=0"),"")</f>
        <v>8.6909212898022475E-7</v>
      </c>
      <c r="L25" s="36">
        <f>IFERROR(SUMIFS(PC_Model!$S$2:$S$261,PC_Model!$K$2:$K$261,$A25,PC_Model!$L$2:$L$261,"E",PC_Model!$S$2:$S$261,"&gt;=0")/COUNTIFS(PC_Model!$K$2:$K$261,$A25,PC_Model!$L$2:$L$261,"E",PC_Model!$S$2:$S$261,"&gt;=0"),"")</f>
        <v>8.6909212898022475E-7</v>
      </c>
      <c r="M25" s="36">
        <f t="shared" si="7"/>
        <v>0</v>
      </c>
    </row>
    <row r="26" spans="1:13">
      <c r="A26" s="37">
        <v>6</v>
      </c>
      <c r="B26" s="36">
        <f>IFERROR(SUMIFS(PC_Model!$S$2:$S$261,PC_Model!$K$2:$K$261,$A26,PC_Model!$L$2:$L$261,"C",PC_Model!$S$2:$S$261,"&gt;=0")/COUNTIFS(PC_Model!$K$2:$K$261,$A26,PC_Model!$L$2:$L$261,"C",PC_Model!$S$2:$S$261,"&gt;=0"),"")</f>
        <v>2.8964562663884579E-4</v>
      </c>
      <c r="C26" s="36">
        <f>IFERROR(SUMIFS(PC_Model!$S$2:$S$261,PC_Model!$K$2:$K$261,$A26,PC_Model!$L$2:$L$261,"C",PC_Model!$S$2:$S$261,"&gt;=0")/COUNTIFS(PC_Model!$K$2:$K$261,$A26,PC_Model!$L$2:$L$261,"C",PC_Model!$S$2:$S$261,"&gt;=0"),"")</f>
        <v>2.8964562663884579E-4</v>
      </c>
      <c r="D26" s="36">
        <f t="shared" si="4"/>
        <v>0</v>
      </c>
      <c r="E26" s="36">
        <f>IFERROR(SUMIFS(PC_Model!$S$2:$S$261,PC_Model!$K$2:$K$261,$A26,PC_Model!$L$2:$L$261,"T",PC_Model!$S$2:$S$261,"&gt;=0")/COUNTIFS(PC_Model!$K$2:$K$261,$A26,PC_Model!$L$2:$L$261,"T",PC_Model!$S$2:$S$261,"&gt;=0"),"")</f>
        <v>5.3418871832309067E-5</v>
      </c>
      <c r="F26" s="36">
        <f>IFERROR(SUMIFS(PC_Model!$S$2:$S$261,PC_Model!$K$2:$K$261,$A26,PC_Model!$L$2:$L$261,"T",PC_Model!$S$2:$S$261,"&gt;=0")/COUNTIFS(PC_Model!$K$2:$K$261,$A26,PC_Model!$L$2:$L$261,"T",PC_Model!$S$2:$S$261,"&gt;=0"),"")</f>
        <v>5.3418871832309067E-5</v>
      </c>
      <c r="G26" s="36">
        <f t="shared" si="5"/>
        <v>0</v>
      </c>
      <c r="H26" s="36">
        <f>IFERROR(SUMIFS(PC_Model!$S$2:$S$261,PC_Model!$K$2:$K$261,$A26,PC_Model!$L$2:$L$261,"PT",PC_Model!$S$2:$S$261,"&gt;=0")/COUNTIFS(PC_Model!$K$2:$K$261,$A26,PC_Model!$L$2:$L$261,"PT",PC_Model!$S$2:$S$261,"&gt;=0"),"")</f>
        <v>3.8580836049130307E-8</v>
      </c>
      <c r="I26" s="36">
        <f>IFERROR(SUMIFS(PC_Model!$S$2:$S$261,PC_Model!$K$2:$K$261,$A26,PC_Model!$L$2:$L$261,"PT",PC_Model!$S$2:$S$261,"&gt;=0")/COUNTIFS(PC_Model!$K$2:$K$261,$A26,PC_Model!$L$2:$L$261,"PT",PC_Model!$S$2:$S$261,"&gt;=0"),"")</f>
        <v>3.8580836049130307E-8</v>
      </c>
      <c r="J26" s="36">
        <f t="shared" si="6"/>
        <v>0</v>
      </c>
      <c r="K26" s="36" t="str">
        <f>IFERROR(SUMIFS(PC_Model!$S$2:$S$261,PC_Model!$K$2:$K$261,$A26,PC_Model!$L$2:$L$261,"E",PC_Model!$S$2:$S$261,"&gt;=0")/COUNTIFS(PC_Model!$K$2:$K$261,$A26,PC_Model!$L$2:$L$261,"E",PC_Model!$S$2:$S$261,"&gt;=0"),"")</f>
        <v/>
      </c>
      <c r="L26" s="36" t="str">
        <f>IFERROR(SUMIFS(PC_Model!$S$2:$S$261,PC_Model!$K$2:$K$261,$A26,PC_Model!$L$2:$L$261,"E",PC_Model!$S$2:$S$261,"&gt;=0")/COUNTIFS(PC_Model!$K$2:$K$261,$A26,PC_Model!$L$2:$L$261,"E",PC_Model!$S$2:$S$261,"&gt;=0"),"")</f>
        <v/>
      </c>
      <c r="M26" s="36" t="str">
        <f t="shared" si="7"/>
        <v/>
      </c>
    </row>
    <row r="27" spans="1:13">
      <c r="A27" s="37">
        <v>7</v>
      </c>
      <c r="B27" s="36">
        <f>IFERROR(SUMIFS(PC_Model!$S$2:$S$261,PC_Model!$K$2:$K$261,$A27,PC_Model!$L$2:$L$261,"C",PC_Model!$S$2:$S$261,"&gt;=0")/COUNTIFS(PC_Model!$K$2:$K$261,$A27,PC_Model!$L$2:$L$261,"C",PC_Model!$S$2:$S$261,"&gt;=0"),"")</f>
        <v>4.6473109158008032E-5</v>
      </c>
      <c r="C27" s="36">
        <f>IFERROR(SUMIFS(PC_Model!$S$2:$S$261,PC_Model!$K$2:$K$261,$A27,PC_Model!$L$2:$L$261,"C",PC_Model!$S$2:$S$261,"&gt;=0")/COUNTIFS(PC_Model!$K$2:$K$261,$A27,PC_Model!$L$2:$L$261,"C",PC_Model!$S$2:$S$261,"&gt;=0"),"")</f>
        <v>4.6473109158008032E-5</v>
      </c>
      <c r="D27" s="36">
        <f t="shared" si="4"/>
        <v>0</v>
      </c>
      <c r="E27" s="36">
        <f>IFERROR(SUMIFS(PC_Model!$S$2:$S$261,PC_Model!$K$2:$K$261,$A27,PC_Model!$L$2:$L$261,"T",PC_Model!$S$2:$S$261,"&gt;=0")/COUNTIFS(PC_Model!$K$2:$K$261,$A27,PC_Model!$L$2:$L$261,"T",PC_Model!$S$2:$S$261,"&gt;=0"),"")</f>
        <v>7.0625374914451966E-6</v>
      </c>
      <c r="F27" s="36">
        <f>IFERROR(SUMIFS(PC_Model!$S$2:$S$261,PC_Model!$K$2:$K$261,$A27,PC_Model!$L$2:$L$261,"T",PC_Model!$S$2:$S$261,"&gt;=0")/COUNTIFS(PC_Model!$K$2:$K$261,$A27,PC_Model!$L$2:$L$261,"T",PC_Model!$S$2:$S$261,"&gt;=0"),"")</f>
        <v>7.0625374914451966E-6</v>
      </c>
      <c r="G27" s="36">
        <f t="shared" si="5"/>
        <v>0</v>
      </c>
      <c r="H27" s="36">
        <f>IFERROR(SUMIFS(PC_Model!$S$2:$S$261,PC_Model!$K$2:$K$261,$A27,PC_Model!$L$2:$L$261,"PT",PC_Model!$S$2:$S$261,"&gt;=0")/COUNTIFS(PC_Model!$K$2:$K$261,$A27,PC_Model!$L$2:$L$261,"PT",PC_Model!$S$2:$S$261,"&gt;=0"),"")</f>
        <v>1.2380448660142002E-9</v>
      </c>
      <c r="I27" s="36">
        <f>IFERROR(SUMIFS(PC_Model!$S$2:$S$261,PC_Model!$K$2:$K$261,$A27,PC_Model!$L$2:$L$261,"PT",PC_Model!$S$2:$S$261,"&gt;=0")/COUNTIFS(PC_Model!$K$2:$K$261,$A27,PC_Model!$L$2:$L$261,"PT",PC_Model!$S$2:$S$261,"&gt;=0"),"")</f>
        <v>1.2380448660142002E-9</v>
      </c>
      <c r="J27" s="36">
        <f t="shared" si="6"/>
        <v>0</v>
      </c>
      <c r="K27" s="36" t="str">
        <f>IFERROR(SUMIFS(PC_Model!$S$2:$S$261,PC_Model!$K$2:$K$261,$A27,PC_Model!$L$2:$L$261,"E",PC_Model!$S$2:$S$261,"&gt;=0")/COUNTIFS(PC_Model!$K$2:$K$261,$A27,PC_Model!$L$2:$L$261,"E",PC_Model!$S$2:$S$261,"&gt;=0"),"")</f>
        <v/>
      </c>
      <c r="L27" s="36" t="str">
        <f>IFERROR(SUMIFS(PC_Model!$S$2:$S$261,PC_Model!$K$2:$K$261,$A27,PC_Model!$L$2:$L$261,"E",PC_Model!$S$2:$S$261,"&gt;=0")/COUNTIFS(PC_Model!$K$2:$K$261,$A27,PC_Model!$L$2:$L$261,"E",PC_Model!$S$2:$S$261,"&gt;=0"),"")</f>
        <v/>
      </c>
      <c r="M27" s="36" t="str">
        <f t="shared" si="7"/>
        <v/>
      </c>
    </row>
    <row r="28" spans="1:13">
      <c r="A28" s="37">
        <v>8</v>
      </c>
      <c r="B28" s="36">
        <f>IFERROR(SUMIFS(PC_Model!$S$2:$S$261,PC_Model!$K$2:$K$261,$A28,PC_Model!$L$2:$L$261,"C",PC_Model!$S$2:$S$261,"&gt;=0")/COUNTIFS(PC_Model!$K$2:$K$261,$A28,PC_Model!$L$2:$L$261,"C",PC_Model!$S$2:$S$261,"&gt;=0"),"")</f>
        <v>6.7989093840785068E-6</v>
      </c>
      <c r="C28" s="36">
        <f>IFERROR(SUMIFS(PC_Model!$S$2:$S$261,PC_Model!$K$2:$K$261,$A28,PC_Model!$L$2:$L$261,"C",PC_Model!$S$2:$S$261,"&gt;=0")/COUNTIFS(PC_Model!$K$2:$K$261,$A28,PC_Model!$L$2:$L$261,"C",PC_Model!$S$2:$S$261,"&gt;=0"),"")</f>
        <v>6.7989093840785068E-6</v>
      </c>
      <c r="D28" s="36">
        <f t="shared" si="4"/>
        <v>0</v>
      </c>
      <c r="E28" s="36">
        <f>IFERROR(SUMIFS(PC_Model!$S$2:$S$261,PC_Model!$K$2:$K$261,$A28,PC_Model!$L$2:$L$261,"T",PC_Model!$S$2:$S$261,"&gt;=0")/COUNTIFS(PC_Model!$K$2:$K$261,$A28,PC_Model!$L$2:$L$261,"T",PC_Model!$S$2:$S$261,"&gt;=0"),"")</f>
        <v>9.3827445580039432E-7</v>
      </c>
      <c r="F28" s="36">
        <f>IFERROR(SUMIFS(PC_Model!$S$2:$S$261,PC_Model!$K$2:$K$261,$A28,PC_Model!$L$2:$L$261,"T",PC_Model!$S$2:$S$261,"&gt;=0")/COUNTIFS(PC_Model!$K$2:$K$261,$A28,PC_Model!$L$2:$L$261,"T",PC_Model!$S$2:$S$261,"&gt;=0"),"")</f>
        <v>9.3827445580039432E-7</v>
      </c>
      <c r="G28" s="36">
        <f t="shared" si="5"/>
        <v>0</v>
      </c>
      <c r="H28" s="36">
        <f>IFERROR(SUMIFS(PC_Model!$S$2:$S$261,PC_Model!$K$2:$K$261,$A28,PC_Model!$L$2:$L$261,"PT",PC_Model!$S$2:$S$261,"&gt;=0")/COUNTIFS(PC_Model!$K$2:$K$261,$A28,PC_Model!$L$2:$L$261,"PT",PC_Model!$S$2:$S$261,"&gt;=0"),"")</f>
        <v>4.0249583803328577E-11</v>
      </c>
      <c r="I28" s="36">
        <f>IFERROR(SUMIFS(PC_Model!$S$2:$S$261,PC_Model!$K$2:$K$261,$A28,PC_Model!$L$2:$L$261,"PT",PC_Model!$S$2:$S$261,"&gt;=0")/COUNTIFS(PC_Model!$K$2:$K$261,$A28,PC_Model!$L$2:$L$261,"PT",PC_Model!$S$2:$S$261,"&gt;=0"),"")</f>
        <v>4.0249583803328577E-11</v>
      </c>
      <c r="J28" s="36">
        <f t="shared" si="6"/>
        <v>0</v>
      </c>
      <c r="K28" s="36" t="str">
        <f>IFERROR(SUMIFS(PC_Model!$S$2:$S$261,PC_Model!$K$2:$K$261,$A28,PC_Model!$L$2:$L$261,"E",PC_Model!$S$2:$S$261,"&gt;=0")/COUNTIFS(PC_Model!$K$2:$K$261,$A28,PC_Model!$L$2:$L$261,"E",PC_Model!$S$2:$S$261,"&gt;=0"),"")</f>
        <v/>
      </c>
      <c r="L28" s="36" t="str">
        <f>IFERROR(SUMIFS(PC_Model!$S$2:$S$261,PC_Model!$K$2:$K$261,$A28,PC_Model!$L$2:$L$261,"E",PC_Model!$S$2:$S$261,"&gt;=0")/COUNTIFS(PC_Model!$K$2:$K$261,$A28,PC_Model!$L$2:$L$261,"E",PC_Model!$S$2:$S$261,"&gt;=0"),"")</f>
        <v/>
      </c>
      <c r="M28" s="36" t="str">
        <f t="shared" si="7"/>
        <v/>
      </c>
    </row>
    <row r="29" spans="1:13">
      <c r="A29" s="37">
        <v>9</v>
      </c>
      <c r="B29" s="36">
        <f>IFERROR(SUMIFS(PC_Model!$S$2:$S$261,PC_Model!$K$2:$K$261,$A29,PC_Model!$L$2:$L$261,"C",PC_Model!$S$2:$S$261,"&gt;=0")/COUNTIFS(PC_Model!$K$2:$K$261,$A29,PC_Model!$L$2:$L$261,"C",PC_Model!$S$2:$S$261,"&gt;=0"),"")</f>
        <v>8.922473506824044E-7</v>
      </c>
      <c r="C29" s="36">
        <f>IFERROR(SUMIFS(PC_Model!$S$2:$S$261,PC_Model!$K$2:$K$261,$A29,PC_Model!$L$2:$L$261,"C",PC_Model!$S$2:$S$261,"&gt;=0")/COUNTIFS(PC_Model!$K$2:$K$261,$A29,PC_Model!$L$2:$L$261,"C",PC_Model!$S$2:$S$261,"&gt;=0"),"")</f>
        <v>8.922473506824044E-7</v>
      </c>
      <c r="D29" s="36">
        <f t="shared" si="4"/>
        <v>0</v>
      </c>
      <c r="E29" s="36">
        <f>IFERROR(SUMIFS(PC_Model!$S$2:$S$261,PC_Model!$K$2:$K$261,$A29,PC_Model!$L$2:$L$261,"T",PC_Model!$S$2:$S$261,"&gt;=0")/COUNTIFS(PC_Model!$K$2:$K$261,$A29,PC_Model!$L$2:$L$261,"T",PC_Model!$S$2:$S$261,"&gt;=0"),"")</f>
        <v>1.248884308450191E-7</v>
      </c>
      <c r="F29" s="36">
        <f>IFERROR(SUMIFS(PC_Model!$S$2:$S$261,PC_Model!$K$2:$K$261,$A29,PC_Model!$L$2:$L$261,"T",PC_Model!$S$2:$S$261,"&gt;=0")/COUNTIFS(PC_Model!$K$2:$K$261,$A29,PC_Model!$L$2:$L$261,"T",PC_Model!$S$2:$S$261,"&gt;=0"),"")</f>
        <v>1.248884308450191E-7</v>
      </c>
      <c r="G29" s="36">
        <f t="shared" si="5"/>
        <v>0</v>
      </c>
      <c r="H29" s="36">
        <f>IFERROR(SUMIFS(PC_Model!$S$2:$S$261,PC_Model!$K$2:$K$261,$A29,PC_Model!$L$2:$L$261,"PT",PC_Model!$S$2:$S$261,"&gt;=0")/COUNTIFS(PC_Model!$K$2:$K$261,$A29,PC_Model!$L$2:$L$261,"PT",PC_Model!$S$2:$S$261,"&gt;=0"),"")</f>
        <v>1.3205273995373584E-12</v>
      </c>
      <c r="I29" s="36">
        <f>IFERROR(SUMIFS(PC_Model!$S$2:$S$261,PC_Model!$K$2:$K$261,$A29,PC_Model!$L$2:$L$261,"PT",PC_Model!$S$2:$S$261,"&gt;=0")/COUNTIFS(PC_Model!$K$2:$K$261,$A29,PC_Model!$L$2:$L$261,"PT",PC_Model!$S$2:$S$261,"&gt;=0"),"")</f>
        <v>1.3205273995373584E-12</v>
      </c>
      <c r="J29" s="36">
        <f t="shared" si="6"/>
        <v>0</v>
      </c>
      <c r="K29" s="36" t="str">
        <f>IFERROR(SUMIFS(PC_Model!$S$2:$S$261,PC_Model!$K$2:$K$261,$A29,PC_Model!$L$2:$L$261,"E",PC_Model!$S$2:$S$261,"&gt;=0")/COUNTIFS(PC_Model!$K$2:$K$261,$A29,PC_Model!$L$2:$L$261,"E",PC_Model!$S$2:$S$261,"&gt;=0"),"")</f>
        <v/>
      </c>
      <c r="L29" s="36" t="str">
        <f>IFERROR(SUMIFS(PC_Model!$S$2:$S$261,PC_Model!$K$2:$K$261,$A29,PC_Model!$L$2:$L$261,"E",PC_Model!$S$2:$S$261,"&gt;=0")/COUNTIFS(PC_Model!$K$2:$K$261,$A29,PC_Model!$L$2:$L$261,"E",PC_Model!$S$2:$S$261,"&gt;=0"),"")</f>
        <v/>
      </c>
      <c r="M29" s="36" t="str">
        <f t="shared" si="7"/>
        <v/>
      </c>
    </row>
    <row r="30" spans="1:13">
      <c r="A30" s="37">
        <v>10</v>
      </c>
      <c r="B30" s="36">
        <f>IFERROR(SUMIFS(PC_Model!$S$2:$S$261,PC_Model!$K$2:$K$261,$A30,PC_Model!$L$2:$L$261,"C",PC_Model!$S$2:$S$261,"&gt;=0")/COUNTIFS(PC_Model!$K$2:$K$261,$A30,PC_Model!$L$2:$L$261,"C",PC_Model!$S$2:$S$261,"&gt;=0"),"")</f>
        <v>1.0283925435289515E-7</v>
      </c>
      <c r="C30" s="36">
        <f>IFERROR(SUMIFS(PC_Model!$S$2:$S$261,PC_Model!$K$2:$K$261,$A30,PC_Model!$L$2:$L$261,"C",PC_Model!$S$2:$S$261,"&gt;=0")/COUNTIFS(PC_Model!$K$2:$K$261,$A30,PC_Model!$L$2:$L$261,"C",PC_Model!$S$2:$S$261,"&gt;=0"),"")</f>
        <v>1.0283925435289515E-7</v>
      </c>
      <c r="D30" s="36">
        <f t="shared" si="4"/>
        <v>0</v>
      </c>
      <c r="E30" s="36">
        <f>IFERROR(SUMIFS(PC_Model!$S$2:$S$261,PC_Model!$K$2:$K$261,$A30,PC_Model!$L$2:$L$261,"T",PC_Model!$S$2:$S$261,"&gt;=0")/COUNTIFS(PC_Model!$K$2:$K$261,$A30,PC_Model!$L$2:$L$261,"T",PC_Model!$S$2:$S$261,"&gt;=0"),"")</f>
        <v>1.6580522061682003E-8</v>
      </c>
      <c r="F30" s="36">
        <f>IFERROR(SUMIFS(PC_Model!$S$2:$S$261,PC_Model!$K$2:$K$261,$A30,PC_Model!$L$2:$L$261,"T",PC_Model!$S$2:$S$261,"&gt;=0")/COUNTIFS(PC_Model!$K$2:$K$261,$A30,PC_Model!$L$2:$L$261,"T",PC_Model!$S$2:$S$261,"&gt;=0"),"")</f>
        <v>1.6580522061682003E-8</v>
      </c>
      <c r="G30" s="36">
        <f t="shared" si="5"/>
        <v>0</v>
      </c>
      <c r="H30" s="36">
        <f>IFERROR(SUMIFS(PC_Model!$S$2:$S$261,PC_Model!$K$2:$K$261,$A30,PC_Model!$L$2:$L$261,"PT",PC_Model!$S$2:$S$261,"&gt;=0")/COUNTIFS(PC_Model!$K$2:$K$261,$A30,PC_Model!$L$2:$L$261,"PT",PC_Model!$S$2:$S$261,"&gt;=0"),"")</f>
        <v>4.3486356755580983E-14</v>
      </c>
      <c r="I30" s="36">
        <f>IFERROR(SUMIFS(PC_Model!$S$2:$S$261,PC_Model!$K$2:$K$261,$A30,PC_Model!$L$2:$L$261,"PT",PC_Model!$S$2:$S$261,"&gt;=0")/COUNTIFS(PC_Model!$K$2:$K$261,$A30,PC_Model!$L$2:$L$261,"PT",PC_Model!$S$2:$S$261,"&gt;=0"),"")</f>
        <v>4.3486356755580983E-14</v>
      </c>
      <c r="J30" s="36">
        <f t="shared" si="6"/>
        <v>0</v>
      </c>
      <c r="K30" s="36" t="str">
        <f>IFERROR(SUMIFS(PC_Model!$S$2:$S$261,PC_Model!$K$2:$K$261,$A30,PC_Model!$L$2:$L$261,"E",PC_Model!$S$2:$S$261,"&gt;=0")/COUNTIFS(PC_Model!$K$2:$K$261,$A30,PC_Model!$L$2:$L$261,"E",PC_Model!$S$2:$S$261,"&gt;=0"),"")</f>
        <v/>
      </c>
      <c r="L30" s="36" t="str">
        <f>IFERROR(SUMIFS(PC_Model!$S$2:$S$261,PC_Model!$K$2:$K$261,$A30,PC_Model!$L$2:$L$261,"E",PC_Model!$S$2:$S$261,"&gt;=0")/COUNTIFS(PC_Model!$K$2:$K$261,$A30,PC_Model!$L$2:$L$261,"E",PC_Model!$S$2:$S$261,"&gt;=0"),"")</f>
        <v/>
      </c>
      <c r="M30" s="36" t="str">
        <f t="shared" si="7"/>
        <v/>
      </c>
    </row>
    <row r="31" spans="1:13">
      <c r="A31" s="37">
        <v>11</v>
      </c>
      <c r="B31" s="36">
        <f>IFERROR(SUMIFS(PC_Model!$S$2:$S$261,PC_Model!$K$2:$K$261,$A31,PC_Model!$L$2:$L$261,"C",PC_Model!$S$2:$S$261,"&gt;=0")/COUNTIFS(PC_Model!$K$2:$K$261,$A31,PC_Model!$L$2:$L$261,"C",PC_Model!$S$2:$S$261,"&gt;=0"),"")</f>
        <v>1.0116722155140627E-8</v>
      </c>
      <c r="C31" s="36">
        <f>IFERROR(SUMIFS(PC_Model!$S$2:$S$261,PC_Model!$K$2:$K$261,$A31,PC_Model!$L$2:$L$261,"C",PC_Model!$S$2:$S$261,"&gt;=0")/COUNTIFS(PC_Model!$K$2:$K$261,$A31,PC_Model!$L$2:$L$261,"C",PC_Model!$S$2:$S$261,"&gt;=0"),"")</f>
        <v>1.0116722155140627E-8</v>
      </c>
      <c r="D31" s="36">
        <f t="shared" si="4"/>
        <v>0</v>
      </c>
      <c r="E31" s="36">
        <f>IFERROR(SUMIFS(PC_Model!$S$2:$S$261,PC_Model!$K$2:$K$261,$A31,PC_Model!$L$2:$L$261,"T",PC_Model!$S$2:$S$261,"&gt;=0")/COUNTIFS(PC_Model!$K$2:$K$261,$A31,PC_Model!$L$2:$L$261,"T",PC_Model!$S$2:$S$261,"&gt;=0"),"")</f>
        <v>2.1800491342558333E-9</v>
      </c>
      <c r="F31" s="36">
        <f>IFERROR(SUMIFS(PC_Model!$S$2:$S$261,PC_Model!$K$2:$K$261,$A31,PC_Model!$L$2:$L$261,"T",PC_Model!$S$2:$S$261,"&gt;=0")/COUNTIFS(PC_Model!$K$2:$K$261,$A31,PC_Model!$L$2:$L$261,"T",PC_Model!$S$2:$S$261,"&gt;=0"),"")</f>
        <v>2.1800491342558333E-9</v>
      </c>
      <c r="G31" s="36">
        <f t="shared" si="5"/>
        <v>0</v>
      </c>
      <c r="H31" s="36">
        <f>IFERROR(SUMIFS(PC_Model!$S$2:$S$261,PC_Model!$K$2:$K$261,$A31,PC_Model!$L$2:$L$261,"PT",PC_Model!$S$2:$S$261,"&gt;=0")/COUNTIFS(PC_Model!$K$2:$K$261,$A31,PC_Model!$L$2:$L$261,"PT",PC_Model!$S$2:$S$261,"&gt;=0"),"")</f>
        <v>1.4259775011782758E-15</v>
      </c>
      <c r="I31" s="36">
        <f>IFERROR(SUMIFS(PC_Model!$S$2:$S$261,PC_Model!$K$2:$K$261,$A31,PC_Model!$L$2:$L$261,"PT",PC_Model!$S$2:$S$261,"&gt;=0")/COUNTIFS(PC_Model!$K$2:$K$261,$A31,PC_Model!$L$2:$L$261,"PT",PC_Model!$S$2:$S$261,"&gt;=0"),"")</f>
        <v>1.4259775011782758E-15</v>
      </c>
      <c r="J31" s="36">
        <f t="shared" si="6"/>
        <v>0</v>
      </c>
      <c r="K31" s="36" t="str">
        <f>IFERROR(SUMIFS(PC_Model!$S$2:$S$261,PC_Model!$K$2:$K$261,$A31,PC_Model!$L$2:$L$261,"E",PC_Model!$S$2:$S$261,"&gt;=0")/COUNTIFS(PC_Model!$K$2:$K$261,$A31,PC_Model!$L$2:$L$261,"E",PC_Model!$S$2:$S$261,"&gt;=0"),"")</f>
        <v/>
      </c>
      <c r="L31" s="36" t="str">
        <f>IFERROR(SUMIFS(PC_Model!$S$2:$S$261,PC_Model!$K$2:$K$261,$A31,PC_Model!$L$2:$L$261,"E",PC_Model!$S$2:$S$261,"&gt;=0")/COUNTIFS(PC_Model!$K$2:$K$261,$A31,PC_Model!$L$2:$L$261,"E",PC_Model!$S$2:$S$261,"&gt;=0"),"")</f>
        <v/>
      </c>
      <c r="M31" s="36" t="str">
        <f t="shared" si="7"/>
        <v/>
      </c>
    </row>
    <row r="32" spans="1:13">
      <c r="A32" s="37">
        <v>12</v>
      </c>
      <c r="B32" s="36">
        <f>IFERROR(SUMIFS(PC_Model!$S$2:$S$261,PC_Model!$K$2:$K$261,$A32,PC_Model!$L$2:$L$261,"C",PC_Model!$S$2:$S$261,"&gt;=0")/COUNTIFS(PC_Model!$K$2:$K$261,$A32,PC_Model!$L$2:$L$261,"C",PC_Model!$S$2:$S$261,"&gt;=0"),"")</f>
        <v>8.1519139530810696E-10</v>
      </c>
      <c r="C32" s="36">
        <f>IFERROR(SUMIFS(PC_Model!$S$2:$S$261,PC_Model!$K$2:$K$261,$A32,PC_Model!$L$2:$L$261,"C",PC_Model!$S$2:$S$261,"&gt;=0")/COUNTIFS(PC_Model!$K$2:$K$261,$A32,PC_Model!$L$2:$L$261,"C",PC_Model!$S$2:$S$261,"&gt;=0"),"")</f>
        <v>8.1519139530810696E-10</v>
      </c>
      <c r="D32" s="36">
        <f t="shared" si="4"/>
        <v>0</v>
      </c>
      <c r="E32" s="36">
        <f>IFERROR(SUMIFS(PC_Model!$S$2:$S$261,PC_Model!$K$2:$K$261,$A32,PC_Model!$L$2:$L$261,"T",PC_Model!$S$2:$S$261,"&gt;=0")/COUNTIFS(PC_Model!$K$2:$K$261,$A32,PC_Model!$L$2:$L$261,"T",PC_Model!$S$2:$S$261,"&gt;=0"),"")</f>
        <v>2.8043551770144935E-10</v>
      </c>
      <c r="F32" s="36">
        <f>IFERROR(SUMIFS(PC_Model!$S$2:$S$261,PC_Model!$K$2:$K$261,$A32,PC_Model!$L$2:$L$261,"T",PC_Model!$S$2:$S$261,"&gt;=0")/COUNTIFS(PC_Model!$K$2:$K$261,$A32,PC_Model!$L$2:$L$261,"T",PC_Model!$S$2:$S$261,"&gt;=0"),"")</f>
        <v>2.8043551770144935E-10</v>
      </c>
      <c r="G32" s="36">
        <f t="shared" si="5"/>
        <v>0</v>
      </c>
      <c r="H32" s="36">
        <f>IFERROR(SUMIFS(PC_Model!$S$2:$S$261,PC_Model!$K$2:$K$261,$A32,PC_Model!$L$2:$L$261,"PT",PC_Model!$S$2:$S$261,"&gt;=0")/COUNTIFS(PC_Model!$K$2:$K$261,$A32,PC_Model!$L$2:$L$261,"PT",PC_Model!$S$2:$S$261,"&gt;=0"),"")</f>
        <v>4.5961313201541728E-17</v>
      </c>
      <c r="I32" s="36">
        <f>IFERROR(SUMIFS(PC_Model!$S$2:$S$261,PC_Model!$K$2:$K$261,$A32,PC_Model!$L$2:$L$261,"PT",PC_Model!$S$2:$S$261,"&gt;=0")/COUNTIFS(PC_Model!$K$2:$K$261,$A32,PC_Model!$L$2:$L$261,"PT",PC_Model!$S$2:$S$261,"&gt;=0"),"")</f>
        <v>4.5961313201541728E-17</v>
      </c>
      <c r="J32" s="36">
        <f t="shared" si="6"/>
        <v>0</v>
      </c>
      <c r="K32" s="36" t="str">
        <f>IFERROR(SUMIFS(PC_Model!$S$2:$S$261,PC_Model!$K$2:$K$261,$A32,PC_Model!$L$2:$L$261,"E",PC_Model!$S$2:$S$261,"&gt;=0")/COUNTIFS(PC_Model!$K$2:$K$261,$A32,PC_Model!$L$2:$L$261,"E",PC_Model!$S$2:$S$261,"&gt;=0"),"")</f>
        <v/>
      </c>
      <c r="L32" s="36" t="str">
        <f>IFERROR(SUMIFS(PC_Model!$S$2:$S$261,PC_Model!$K$2:$K$261,$A32,PC_Model!$L$2:$L$261,"E",PC_Model!$S$2:$S$261,"&gt;=0")/COUNTIFS(PC_Model!$K$2:$K$261,$A32,PC_Model!$L$2:$L$261,"E",PC_Model!$S$2:$S$261,"&gt;=0"),"")</f>
        <v/>
      </c>
      <c r="M32" s="36" t="str">
        <f t="shared" si="7"/>
        <v/>
      </c>
    </row>
    <row r="33" spans="1:13">
      <c r="A33" s="37">
        <v>13</v>
      </c>
      <c r="B33" s="36">
        <f>IFERROR(SUMIFS(PC_Model!$S$2:$S$261,PC_Model!$K$2:$K$261,$A33,PC_Model!$L$2:$L$261,"C",PC_Model!$S$2:$S$261,"&gt;=0")/COUNTIFS(PC_Model!$K$2:$K$261,$A33,PC_Model!$L$2:$L$261,"C",PC_Model!$S$2:$S$261,"&gt;=0"),"")</f>
        <v>5.0431098863041155E-11</v>
      </c>
      <c r="C33" s="36">
        <f>IFERROR(SUMIFS(PC_Model!$S$2:$S$261,PC_Model!$K$2:$K$261,$A33,PC_Model!$L$2:$L$261,"C",PC_Model!$S$2:$S$261,"&gt;=0")/COUNTIFS(PC_Model!$K$2:$K$261,$A33,PC_Model!$L$2:$L$261,"C",PC_Model!$S$2:$S$261,"&gt;=0"),"")</f>
        <v>5.0431098863041155E-11</v>
      </c>
      <c r="D33" s="36">
        <f t="shared" si="4"/>
        <v>0</v>
      </c>
      <c r="E33" s="36">
        <f>IFERROR(SUMIFS(PC_Model!$S$2:$S$261,PC_Model!$K$2:$K$261,$A33,PC_Model!$L$2:$L$261,"T",PC_Model!$S$2:$S$261,"&gt;=0")/COUNTIFS(PC_Model!$K$2:$K$261,$A33,PC_Model!$L$2:$L$261,"T",PC_Model!$S$2:$S$261,"&gt;=0"),"")</f>
        <v>3.4483622364558009E-11</v>
      </c>
      <c r="F33" s="36">
        <f>IFERROR(SUMIFS(PC_Model!$S$2:$S$261,PC_Model!$K$2:$K$261,$A33,PC_Model!$L$2:$L$261,"T",PC_Model!$S$2:$S$261,"&gt;=0")/COUNTIFS(PC_Model!$K$2:$K$261,$A33,PC_Model!$L$2:$L$261,"T",PC_Model!$S$2:$S$261,"&gt;=0"),"")</f>
        <v>3.4483622364558009E-11</v>
      </c>
      <c r="G33" s="36">
        <f t="shared" si="5"/>
        <v>0</v>
      </c>
      <c r="H33" s="36">
        <f>IFERROR(SUMIFS(PC_Model!$S$2:$S$261,PC_Model!$K$2:$K$261,$A33,PC_Model!$L$2:$L$261,"PT",PC_Model!$S$2:$S$261,"&gt;=0")/COUNTIFS(PC_Model!$K$2:$K$261,$A33,PC_Model!$L$2:$L$261,"PT",PC_Model!$S$2:$S$261,"&gt;=0"),"")</f>
        <v>1.4216781134362263E-18</v>
      </c>
      <c r="I33" s="36">
        <f>IFERROR(SUMIFS(PC_Model!$S$2:$S$261,PC_Model!$K$2:$K$261,$A33,PC_Model!$L$2:$L$261,"PT",PC_Model!$S$2:$S$261,"&gt;=0")/COUNTIFS(PC_Model!$K$2:$K$261,$A33,PC_Model!$L$2:$L$261,"PT",PC_Model!$S$2:$S$261,"&gt;=0"),"")</f>
        <v>1.4216781134362263E-18</v>
      </c>
      <c r="J33" s="36">
        <f t="shared" si="6"/>
        <v>0</v>
      </c>
      <c r="K33" s="36" t="str">
        <f>IFERROR(SUMIFS(PC_Model!$S$2:$S$261,PC_Model!$K$2:$K$261,$A33,PC_Model!$L$2:$L$261,"E",PC_Model!$S$2:$S$261,"&gt;=0")/COUNTIFS(PC_Model!$K$2:$K$261,$A33,PC_Model!$L$2:$L$261,"E",PC_Model!$S$2:$S$261,"&gt;=0"),"")</f>
        <v/>
      </c>
      <c r="L33" s="36" t="str">
        <f>IFERROR(SUMIFS(PC_Model!$S$2:$S$261,PC_Model!$K$2:$K$261,$A33,PC_Model!$L$2:$L$261,"E",PC_Model!$S$2:$S$261,"&gt;=0")/COUNTIFS(PC_Model!$K$2:$K$261,$A33,PC_Model!$L$2:$L$261,"E",PC_Model!$S$2:$S$261,"&gt;=0"),"")</f>
        <v/>
      </c>
      <c r="M33" s="36" t="str">
        <f t="shared" si="7"/>
        <v/>
      </c>
    </row>
    <row r="34" spans="1:13">
      <c r="A34" s="37">
        <v>14</v>
      </c>
      <c r="B34" s="36">
        <f>IFERROR(SUMIFS(PC_Model!$S$2:$S$261,PC_Model!$K$2:$K$261,$A34,PC_Model!$L$2:$L$261,"C",PC_Model!$S$2:$S$261,"&gt;=0")/COUNTIFS(PC_Model!$K$2:$K$261,$A34,PC_Model!$L$2:$L$261,"C",PC_Model!$S$2:$S$261,"&gt;=0"),"")</f>
        <v>2.1289270343240944E-12</v>
      </c>
      <c r="C34" s="36">
        <f>IFERROR(SUMIFS(PC_Model!$S$2:$S$261,PC_Model!$K$2:$K$261,$A34,PC_Model!$L$2:$L$261,"C",PC_Model!$S$2:$S$261,"&gt;=0")/COUNTIFS(PC_Model!$K$2:$K$261,$A34,PC_Model!$L$2:$L$261,"C",PC_Model!$S$2:$S$261,"&gt;=0"),"")</f>
        <v>2.1289270343240944E-12</v>
      </c>
      <c r="D34" s="36">
        <f t="shared" si="4"/>
        <v>0</v>
      </c>
      <c r="E34" s="36">
        <f>IFERROR(SUMIFS(PC_Model!$S$2:$S$261,PC_Model!$K$2:$K$261,$A34,PC_Model!$L$2:$L$261,"T",PC_Model!$S$2:$S$261,"&gt;=0")/COUNTIFS(PC_Model!$K$2:$K$261,$A34,PC_Model!$L$2:$L$261,"T",PC_Model!$S$2:$S$261,"&gt;=0"),"")</f>
        <v>3.8451273557073288E-12</v>
      </c>
      <c r="F34" s="36">
        <f>IFERROR(SUMIFS(PC_Model!$S$2:$S$261,PC_Model!$K$2:$K$261,$A34,PC_Model!$L$2:$L$261,"T",PC_Model!$S$2:$S$261,"&gt;=0")/COUNTIFS(PC_Model!$K$2:$K$261,$A34,PC_Model!$L$2:$L$261,"T",PC_Model!$S$2:$S$261,"&gt;=0"),"")</f>
        <v>3.8451273557073288E-12</v>
      </c>
      <c r="G34" s="36">
        <f t="shared" si="5"/>
        <v>0</v>
      </c>
      <c r="H34" s="36">
        <f>IFERROR(SUMIFS(PC_Model!$S$2:$S$261,PC_Model!$K$2:$K$261,$A34,PC_Model!$L$2:$L$261,"PT",PC_Model!$S$2:$S$261,"&gt;=0")/COUNTIFS(PC_Model!$K$2:$K$261,$A34,PC_Model!$L$2:$L$261,"PT",PC_Model!$S$2:$S$261,"&gt;=0"),"")</f>
        <v>4.0010351258600918E-20</v>
      </c>
      <c r="I34" s="36">
        <f>IFERROR(SUMIFS(PC_Model!$S$2:$S$261,PC_Model!$K$2:$K$261,$A34,PC_Model!$L$2:$L$261,"PT",PC_Model!$S$2:$S$261,"&gt;=0")/COUNTIFS(PC_Model!$K$2:$K$261,$A34,PC_Model!$L$2:$L$261,"PT",PC_Model!$S$2:$S$261,"&gt;=0"),"")</f>
        <v>4.0010351258600918E-20</v>
      </c>
      <c r="J34" s="36">
        <f t="shared" si="6"/>
        <v>0</v>
      </c>
      <c r="K34" s="36" t="str">
        <f>IFERROR(SUMIFS(PC_Model!$S$2:$S$261,PC_Model!$K$2:$K$261,$A34,PC_Model!$L$2:$L$261,"E",PC_Model!$S$2:$S$261,"&gt;=0")/COUNTIFS(PC_Model!$K$2:$K$261,$A34,PC_Model!$L$2:$L$261,"E",PC_Model!$S$2:$S$261,"&gt;=0"),"")</f>
        <v/>
      </c>
      <c r="L34" s="36" t="str">
        <f>IFERROR(SUMIFS(PC_Model!$S$2:$S$261,PC_Model!$K$2:$K$261,$A34,PC_Model!$L$2:$L$261,"E",PC_Model!$S$2:$S$261,"&gt;=0")/COUNTIFS(PC_Model!$K$2:$K$261,$A34,PC_Model!$L$2:$L$261,"E",PC_Model!$S$2:$S$261,"&gt;=0"),"")</f>
        <v/>
      </c>
      <c r="M34" s="36" t="str">
        <f t="shared" si="7"/>
        <v/>
      </c>
    </row>
    <row r="35" spans="1:13">
      <c r="A35" s="37">
        <v>15</v>
      </c>
      <c r="B35" s="36">
        <f>IFERROR(SUMIFS(PC_Model!$S$2:$S$261,PC_Model!$K$2:$K$261,$A35,PC_Model!$L$2:$L$261,"C",PC_Model!$S$2:$S$261,"&gt;=0")/COUNTIFS(PC_Model!$K$2:$K$261,$A35,PC_Model!$L$2:$L$261,"C",PC_Model!$S$2:$S$261,"&gt;=0"),"")</f>
        <v>4.5994982886999241E-14</v>
      </c>
      <c r="C35" s="36">
        <f>IFERROR(SUMIFS(PC_Model!$S$2:$S$261,PC_Model!$K$2:$K$261,$A35,PC_Model!$L$2:$L$261,"C",PC_Model!$S$2:$S$261,"&gt;=0")/COUNTIFS(PC_Model!$K$2:$K$261,$A35,PC_Model!$L$2:$L$261,"C",PC_Model!$S$2:$S$261,"&gt;=0"),"")</f>
        <v>4.5994982886999241E-14</v>
      </c>
      <c r="D35" s="36">
        <f t="shared" si="4"/>
        <v>0</v>
      </c>
      <c r="E35" s="36">
        <f>IFERROR(SUMIFS(PC_Model!$S$2:$S$261,PC_Model!$K$2:$K$261,$A35,PC_Model!$L$2:$L$261,"T",PC_Model!$S$2:$S$261,"&gt;=0")/COUNTIFS(PC_Model!$K$2:$K$261,$A35,PC_Model!$L$2:$L$261,"T",PC_Model!$S$2:$S$261,"&gt;=0"),"")</f>
        <v>3.2823420389858094E-13</v>
      </c>
      <c r="F35" s="36">
        <f>IFERROR(SUMIFS(PC_Model!$S$2:$S$261,PC_Model!$K$2:$K$261,$A35,PC_Model!$L$2:$L$261,"T",PC_Model!$S$2:$S$261,"&gt;=0")/COUNTIFS(PC_Model!$K$2:$K$261,$A35,PC_Model!$L$2:$L$261,"T",PC_Model!$S$2:$S$261,"&gt;=0"),"")</f>
        <v>3.2823420389858094E-13</v>
      </c>
      <c r="G35" s="36">
        <f t="shared" si="5"/>
        <v>0</v>
      </c>
      <c r="H35" s="36">
        <f>IFERROR(SUMIFS(PC_Model!$S$2:$S$261,PC_Model!$K$2:$K$261,$A35,PC_Model!$L$2:$L$261,"PT",PC_Model!$S$2:$S$261,"&gt;=0")/COUNTIFS(PC_Model!$K$2:$K$261,$A35,PC_Model!$L$2:$L$261,"PT",PC_Model!$S$2:$S$261,"&gt;=0"),"")</f>
        <v>8.6441451105271942E-22</v>
      </c>
      <c r="I35" s="36">
        <f>IFERROR(SUMIFS(PC_Model!$S$2:$S$261,PC_Model!$K$2:$K$261,$A35,PC_Model!$L$2:$L$261,"PT",PC_Model!$S$2:$S$261,"&gt;=0")/COUNTIFS(PC_Model!$K$2:$K$261,$A35,PC_Model!$L$2:$L$261,"PT",PC_Model!$S$2:$S$261,"&gt;=0"),"")</f>
        <v>8.6441451105271942E-22</v>
      </c>
      <c r="J35" s="36">
        <f t="shared" si="6"/>
        <v>0</v>
      </c>
      <c r="K35" s="36" t="str">
        <f>IFERROR(SUMIFS(PC_Model!$S$2:$S$261,PC_Model!$K$2:$K$261,$A35,PC_Model!$L$2:$L$261,"E",PC_Model!$S$2:$S$261,"&gt;=0")/COUNTIFS(PC_Model!$K$2:$K$261,$A35,PC_Model!$L$2:$L$261,"E",PC_Model!$S$2:$S$261,"&gt;=0"),"")</f>
        <v/>
      </c>
      <c r="L35" s="36" t="str">
        <f>IFERROR(SUMIFS(PC_Model!$S$2:$S$261,PC_Model!$K$2:$K$261,$A35,PC_Model!$L$2:$L$261,"E",PC_Model!$S$2:$S$261,"&gt;=0")/COUNTIFS(PC_Model!$K$2:$K$261,$A35,PC_Model!$L$2:$L$261,"E",PC_Model!$S$2:$S$261,"&gt;=0"),"")</f>
        <v/>
      </c>
      <c r="M35" s="36" t="str">
        <f t="shared" si="7"/>
        <v/>
      </c>
    </row>
    <row r="38" spans="1:13">
      <c r="A38" s="50" t="s">
        <v>226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 spans="1:13">
      <c r="A39" s="35" t="s">
        <v>91</v>
      </c>
      <c r="B39" s="35" t="s">
        <v>208</v>
      </c>
      <c r="C39" s="35" t="s">
        <v>209</v>
      </c>
      <c r="D39" s="35" t="s">
        <v>210</v>
      </c>
      <c r="E39" s="35" t="s">
        <v>211</v>
      </c>
      <c r="F39" s="35" t="s">
        <v>212</v>
      </c>
      <c r="G39" s="35" t="s">
        <v>213</v>
      </c>
      <c r="H39" s="35" t="s">
        <v>214</v>
      </c>
      <c r="I39" s="35" t="s">
        <v>215</v>
      </c>
      <c r="J39" s="35" t="s">
        <v>216</v>
      </c>
      <c r="K39" s="35" t="s">
        <v>217</v>
      </c>
      <c r="L39" s="35" t="s">
        <v>218</v>
      </c>
      <c r="M39" s="35" t="s">
        <v>219</v>
      </c>
    </row>
    <row r="40" spans="1:13">
      <c r="A40" s="37">
        <v>3</v>
      </c>
      <c r="B40" s="36">
        <f>IFERROR(SUMIFS(PC_Model!$AB$2:$AB$261,PC_Model!$K$2:$K$261,$A40,PC_Model!$L$2:$L$261,"C",PC_Model!$AB$2:$AB$261,"&gt;=0")/COUNTIFS(PC_Model!$K$2:$K$261,$A40,PC_Model!$L$2:$L$261,"C",PC_Model!$AB$2:$AB$261,"&gt;=0"),"")</f>
        <v>0.53669556592149048</v>
      </c>
      <c r="C40" s="36">
        <f>IFERROR(SUMIFS(PC_Model!$V$2:$V$261,PC_Model!$K$2:$K$261,$A40,PC_Model!$L$2:$L$261,"C",PC_Model!$V$2:$V$261,"&gt;=0")/COUNTIFS(PC_Model!$K$2:$K$261,$A40,PC_Model!$L$2:$L$261,"C",PC_Model!$V$2:$V$261,"&gt;=0"),"")</f>
        <v>0.53667944920716693</v>
      </c>
      <c r="D40" s="36">
        <f t="shared" ref="D40:D52" si="8">IF(OR(B40="",C40=""),"",C40-B40)</f>
        <v>-1.6116714323555215E-5</v>
      </c>
      <c r="E40" s="36">
        <f>IFERROR(SUMIFS(PC_Model!$AB$2:$AB$261,PC_Model!$K$2:$K$261,$A40,PC_Model!$L$2:$L$261,"T",PC_Model!$AB$2:$AB$261,"&gt;=0")/COUNTIFS(PC_Model!$K$2:$K$261,$A40,PC_Model!$L$2:$L$261,"T",PC_Model!$AB$2:$AB$261,"&gt;=0"),"")</f>
        <v>0.47512382470634018</v>
      </c>
      <c r="F40" s="36">
        <f>IFERROR(SUMIFS(PC_Model!$V$2:$V$261,PC_Model!$K$2:$K$261,$A40,PC_Model!$L$2:$L$261,"T",PC_Model!$V$2:$V$261,"&gt;=0")/COUNTIFS(PC_Model!$K$2:$K$261,$A40,PC_Model!$L$2:$L$261,"T",PC_Model!$V$2:$V$261,"&gt;=0"),"")</f>
        <v>0.47495523961111913</v>
      </c>
      <c r="G40" s="36">
        <f t="shared" ref="G40:G52" si="9">IF(OR(E40="",F40=""),"",F40-E40)</f>
        <v>-1.6858509522105214E-4</v>
      </c>
      <c r="H40" s="36">
        <f>IFERROR(SUMIFS(PC_Model!$AB$2:$AB$261,PC_Model!$K$2:$K$261,$A40,PC_Model!$L$2:$L$261,"PT",PC_Model!$AB$2:$AB$261,"&gt;=0")/COUNTIFS(PC_Model!$K$2:$K$261,$A40,PC_Model!$L$2:$L$261,"PT",PC_Model!$AB$2:$AB$261,"&gt;=0"),"")</f>
        <v>0.13749833570353664</v>
      </c>
      <c r="I40" s="36">
        <f>IFERROR(SUMIFS(PC_Model!$V$2:$V$261,PC_Model!$K$2:$K$261,$A40,PC_Model!$L$2:$L$261,"PT",PC_Model!$V$2:$V$261,"&gt;=0")/COUNTIFS(PC_Model!$K$2:$K$261,$A40,PC_Model!$L$2:$L$261,"PT",PC_Model!$V$2:$V$261,"&gt;=0"),"")</f>
        <v>0.16900201527607364</v>
      </c>
      <c r="J40" s="36">
        <f t="shared" ref="J40:J52" si="10">IF(OR(H40="",I40=""),"",I40-H40)</f>
        <v>3.1503679572536997E-2</v>
      </c>
      <c r="K40" s="36">
        <f>IFERROR(SUMIFS(PC_Model!$AB$2:$AB$261,PC_Model!$K$2:$K$261,$A40,PC_Model!$L$2:$L$261,"E",PC_Model!$AB$2:$AB$261,"&gt;=0")/COUNTIFS(PC_Model!$K$2:$K$261,$A40,PC_Model!$L$2:$L$261,"E",PC_Model!$AB$2:$AB$261,"&gt;=0"),"")</f>
        <v>0.1865428115517663</v>
      </c>
      <c r="L40" s="36">
        <f>IFERROR(SUMIFS(PC_Model!$V$2:$V$261,PC_Model!$K$2:$K$261,$A40,PC_Model!$L$2:$L$261,"E",PC_Model!$V$2:$V$261,"&gt;=0")/COUNTIFS(PC_Model!$K$2:$K$261,$A40,PC_Model!$L$2:$L$261,"E",PC_Model!$V$2:$V$261,"&gt;=0"),"")</f>
        <v>0.2120573661510316</v>
      </c>
      <c r="M40" s="36">
        <f t="shared" ref="M40:M52" si="11">IF(OR(K40="",L40=""),"",L40-K40)</f>
        <v>2.5514554599265299E-2</v>
      </c>
    </row>
    <row r="41" spans="1:13">
      <c r="A41" s="37">
        <v>4</v>
      </c>
      <c r="B41" s="36">
        <f>IFERROR(SUMIFS(PC_Model!$AB$2:$AB$261,PC_Model!$K$2:$K$261,$A41,PC_Model!$L$2:$L$261,"C",PC_Model!$AB$2:$AB$261,"&gt;=0")/COUNTIFS(PC_Model!$K$2:$K$261,$A41,PC_Model!$L$2:$L$261,"C",PC_Model!$AB$2:$AB$261,"&gt;=0"),"")</f>
        <v>0.38615723477825692</v>
      </c>
      <c r="C41" s="36">
        <f>IFERROR(SUMIFS(PC_Model!$V$2:$V$261,PC_Model!$K$2:$K$261,$A41,PC_Model!$L$2:$L$261,"C",PC_Model!$V$2:$V$261,"&gt;=0")/COUNTIFS(PC_Model!$K$2:$K$261,$A41,PC_Model!$L$2:$L$261,"C",PC_Model!$V$2:$V$261,"&gt;=0"),"")</f>
        <v>0.38427807896708072</v>
      </c>
      <c r="D41" s="36">
        <f t="shared" si="8"/>
        <v>-1.879155811176203E-3</v>
      </c>
      <c r="E41" s="36">
        <f>IFERROR(SUMIFS(PC_Model!$AB$2:$AB$261,PC_Model!$K$2:$K$261,$A41,PC_Model!$L$2:$L$261,"T",PC_Model!$AB$2:$AB$261,"&gt;=0")/COUNTIFS(PC_Model!$K$2:$K$261,$A41,PC_Model!$L$2:$L$261,"T",PC_Model!$AB$2:$AB$261,"&gt;=0"),"")</f>
        <v>0.31540679177734543</v>
      </c>
      <c r="F41" s="36">
        <f>IFERROR(SUMIFS(PC_Model!$V$2:$V$261,PC_Model!$K$2:$K$261,$A41,PC_Model!$L$2:$L$261,"T",PC_Model!$V$2:$V$261,"&gt;=0")/COUNTIFS(PC_Model!$K$2:$K$261,$A41,PC_Model!$L$2:$L$261,"T",PC_Model!$V$2:$V$261,"&gt;=0"),"")</f>
        <v>0.31422944071353431</v>
      </c>
      <c r="G41" s="36">
        <f t="shared" si="9"/>
        <v>-1.1773510638111162E-3</v>
      </c>
      <c r="H41" s="36">
        <f>IFERROR(SUMIFS(PC_Model!$AB$2:$AB$261,PC_Model!$K$2:$K$261,$A41,PC_Model!$L$2:$L$261,"PT",PC_Model!$AB$2:$AB$261,"&gt;=0")/COUNTIFS(PC_Model!$K$2:$K$261,$A41,PC_Model!$L$2:$L$261,"PT",PC_Model!$AB$2:$AB$261,"&gt;=0"),"")</f>
        <v>2.1099698208507857E-2</v>
      </c>
      <c r="I41" s="36">
        <f>IFERROR(SUMIFS(PC_Model!$V$2:$V$261,PC_Model!$K$2:$K$261,$A41,PC_Model!$L$2:$L$261,"PT",PC_Model!$V$2:$V$261,"&gt;=0")/COUNTIFS(PC_Model!$K$2:$K$261,$A41,PC_Model!$L$2:$L$261,"PT",PC_Model!$V$2:$V$261,"&gt;=0"),"")</f>
        <v>4.8039993120429184E-2</v>
      </c>
      <c r="J41" s="36">
        <f t="shared" si="10"/>
        <v>2.6940294911921327E-2</v>
      </c>
      <c r="K41" s="36">
        <f>IFERROR(SUMIFS(PC_Model!$AB$2:$AB$261,PC_Model!$K$2:$K$261,$A41,PC_Model!$L$2:$L$261,"E",PC_Model!$AB$2:$AB$261,"&gt;=0")/COUNTIFS(PC_Model!$K$2:$K$261,$A41,PC_Model!$L$2:$L$261,"E",PC_Model!$AB$2:$AB$261,"&gt;=0"),"")</f>
        <v>1.3538315770979687E-2</v>
      </c>
      <c r="L41" s="36">
        <f>IFERROR(SUMIFS(PC_Model!$V$2:$V$261,PC_Model!$K$2:$K$261,$A41,PC_Model!$L$2:$L$261,"E",PC_Model!$V$2:$V$261,"&gt;=0")/COUNTIFS(PC_Model!$K$2:$K$261,$A41,PC_Model!$L$2:$L$261,"E",PC_Model!$V$2:$V$261,"&gt;=0"),"")</f>
        <v>2.8947811959387788E-2</v>
      </c>
      <c r="M41" s="36">
        <f t="shared" si="11"/>
        <v>1.5409496188408102E-2</v>
      </c>
    </row>
    <row r="42" spans="1:13">
      <c r="A42" s="37">
        <v>5</v>
      </c>
      <c r="B42" s="36">
        <f>IFERROR(SUMIFS(PC_Model!$AB$2:$AB$261,PC_Model!$K$2:$K$261,$A42,PC_Model!$L$2:$L$261,"C",PC_Model!$AB$2:$AB$261,"&gt;=0")/COUNTIFS(PC_Model!$K$2:$K$261,$A42,PC_Model!$L$2:$L$261,"C",PC_Model!$AB$2:$AB$261,"&gt;=0"),"")</f>
        <v>0.26819218939611894</v>
      </c>
      <c r="C42" s="36">
        <f>IFERROR(SUMIFS(PC_Model!$V$2:$V$261,PC_Model!$K$2:$K$261,$A42,PC_Model!$L$2:$L$261,"C",PC_Model!$V$2:$V$261,"&gt;=0")/COUNTIFS(PC_Model!$K$2:$K$261,$A42,PC_Model!$L$2:$L$261,"C",PC_Model!$V$2:$V$261,"&gt;=0"),"")</f>
        <v>0.25460997587300244</v>
      </c>
      <c r="D42" s="36">
        <f t="shared" si="8"/>
        <v>-1.3582213523116504E-2</v>
      </c>
      <c r="E42" s="36">
        <f>IFERROR(SUMIFS(PC_Model!$AB$2:$AB$261,PC_Model!$K$2:$K$261,$A42,PC_Model!$L$2:$L$261,"T",PC_Model!$AB$2:$AB$261,"&gt;=0")/COUNTIFS(PC_Model!$K$2:$K$261,$A42,PC_Model!$L$2:$L$261,"T",PC_Model!$AB$2:$AB$261,"&gt;=0"),"")</f>
        <v>0.2094565668043526</v>
      </c>
      <c r="F42" s="36">
        <f>IFERROR(SUMIFS(PC_Model!$V$2:$V$261,PC_Model!$K$2:$K$261,$A42,PC_Model!$L$2:$L$261,"T",PC_Model!$V$2:$V$261,"&gt;=0")/COUNTIFS(PC_Model!$K$2:$K$261,$A42,PC_Model!$L$2:$L$261,"T",PC_Model!$V$2:$V$261,"&gt;=0"),"")</f>
        <v>0.2054052595508653</v>
      </c>
      <c r="G42" s="36">
        <f t="shared" si="9"/>
        <v>-4.0513072534872907E-3</v>
      </c>
      <c r="H42" s="36">
        <f>IFERROR(SUMIFS(PC_Model!$AB$2:$AB$261,PC_Model!$K$2:$K$261,$A42,PC_Model!$L$2:$L$261,"PT",PC_Model!$AB$2:$AB$261,"&gt;=0")/COUNTIFS(PC_Model!$K$2:$K$261,$A42,PC_Model!$L$2:$L$261,"PT",PC_Model!$AB$2:$AB$261,"&gt;=0"),"")</f>
        <v>2.6577857679699916E-3</v>
      </c>
      <c r="I42" s="36">
        <f>IFERROR(SUMIFS(PC_Model!$V$2:$V$261,PC_Model!$K$2:$K$261,$A42,PC_Model!$L$2:$L$261,"PT",PC_Model!$V$2:$V$261,"&gt;=0")/COUNTIFS(PC_Model!$K$2:$K$261,$A42,PC_Model!$L$2:$L$261,"PT",PC_Model!$V$2:$V$261,"&gt;=0"),"")</f>
        <v>1.3830156733178032E-2</v>
      </c>
      <c r="J42" s="36">
        <f t="shared" si="10"/>
        <v>1.1172370965208039E-2</v>
      </c>
      <c r="K42" s="36">
        <f>IFERROR(SUMIFS(PC_Model!$AB$2:$AB$261,PC_Model!$K$2:$K$261,$A42,PC_Model!$L$2:$L$261,"E",PC_Model!$AB$2:$AB$261,"&gt;=0")/COUNTIFS(PC_Model!$K$2:$K$261,$A42,PC_Model!$L$2:$L$261,"E",PC_Model!$AB$2:$AB$261,"&gt;=0"),"")</f>
        <v>5.2560174431316676E-4</v>
      </c>
      <c r="L42" s="36">
        <f>IFERROR(SUMIFS(PC_Model!$V$2:$V$261,PC_Model!$K$2:$K$261,$A42,PC_Model!$L$2:$L$261,"E",PC_Model!$V$2:$V$261,"&gt;=0")/COUNTIFS(PC_Model!$K$2:$K$261,$A42,PC_Model!$L$2:$L$261,"E",PC_Model!$V$2:$V$261,"&gt;=0"),"")</f>
        <v>3.7534905499820426E-4</v>
      </c>
      <c r="M42" s="36">
        <f t="shared" si="11"/>
        <v>-1.502526893149625E-4</v>
      </c>
    </row>
    <row r="43" spans="1:13">
      <c r="A43" s="37">
        <v>6</v>
      </c>
      <c r="B43" s="36">
        <f>IFERROR(SUMIFS(PC_Model!$AB$2:$AB$261,PC_Model!$K$2:$K$261,$A43,PC_Model!$L$2:$L$261,"C",PC_Model!$AB$2:$AB$261,"&gt;=0")/COUNTIFS(PC_Model!$K$2:$K$261,$A43,PC_Model!$L$2:$L$261,"C",PC_Model!$AB$2:$AB$261,"&gt;=0"),"")</f>
        <v>0.14748042482864093</v>
      </c>
      <c r="C43" s="36">
        <f>IFERROR(SUMIFS(PC_Model!$V$2:$V$261,PC_Model!$K$2:$K$261,$A43,PC_Model!$L$2:$L$261,"C",PC_Model!$V$2:$V$261,"&gt;=0")/COUNTIFS(PC_Model!$K$2:$K$261,$A43,PC_Model!$L$2:$L$261,"C",PC_Model!$V$2:$V$261,"&gt;=0"),"")</f>
        <v>0.14607596192265329</v>
      </c>
      <c r="D43" s="36">
        <f t="shared" si="8"/>
        <v>-1.4044629059876412E-3</v>
      </c>
      <c r="E43" s="36">
        <f>IFERROR(SUMIFS(PC_Model!$AB$2:$AB$261,PC_Model!$K$2:$K$261,$A43,PC_Model!$L$2:$L$261,"T",PC_Model!$AB$2:$AB$261,"&gt;=0")/COUNTIFS(PC_Model!$K$2:$K$261,$A43,PC_Model!$L$2:$L$261,"T",PC_Model!$AB$2:$AB$261,"&gt;=0"),"")</f>
        <v>0.13776184201737729</v>
      </c>
      <c r="F43" s="36">
        <f>IFERROR(SUMIFS(PC_Model!$V$2:$V$261,PC_Model!$K$2:$K$261,$A43,PC_Model!$L$2:$L$261,"T",PC_Model!$V$2:$V$261,"&gt;=0")/COUNTIFS(PC_Model!$K$2:$K$261,$A43,PC_Model!$L$2:$L$261,"T",PC_Model!$V$2:$V$261,"&gt;=0"),"")</f>
        <v>0.13065088646875925</v>
      </c>
      <c r="G43" s="36">
        <f t="shared" si="9"/>
        <v>-7.110955548618042E-3</v>
      </c>
      <c r="H43" s="36">
        <f>IFERROR(SUMIFS(PC_Model!$AB$2:$AB$261,PC_Model!$K$2:$K$261,$A43,PC_Model!$L$2:$L$261,"PT",PC_Model!$AB$2:$AB$261,"&gt;=0")/COUNTIFS(PC_Model!$K$2:$K$261,$A43,PC_Model!$L$2:$L$261,"PT",PC_Model!$AB$2:$AB$261,"&gt;=0"),"")</f>
        <v>3.0630609261173025E-4</v>
      </c>
      <c r="I43" s="36">
        <f>IFERROR(SUMIFS(PC_Model!$V$2:$V$261,PC_Model!$K$2:$K$261,$A43,PC_Model!$L$2:$L$261,"PT",PC_Model!$V$2:$V$261,"&gt;=0")/COUNTIFS(PC_Model!$K$2:$K$261,$A43,PC_Model!$L$2:$L$261,"PT",PC_Model!$V$2:$V$261,"&gt;=0"),"")</f>
        <v>3.7718351882428903E-3</v>
      </c>
      <c r="J43" s="36">
        <f t="shared" si="10"/>
        <v>3.4655290956311603E-3</v>
      </c>
      <c r="K43" s="36" t="str">
        <f>IFERROR(SUMIFS(PC_Model!$AB$2:$AB$261,PC_Model!$K$2:$K$261,$A43,PC_Model!$L$2:$L$261,"E",PC_Model!$AB$2:$AB$261,"&gt;=0")/COUNTIFS(PC_Model!$K$2:$K$261,$A43,PC_Model!$L$2:$L$261,"E",PC_Model!$AB$2:$AB$261,"&gt;=0"),"")</f>
        <v/>
      </c>
      <c r="L43" s="36" t="str">
        <f>IFERROR(SUMIFS(PC_Model!$V$2:$V$261,PC_Model!$K$2:$K$261,$A43,PC_Model!$L$2:$L$261,"E",PC_Model!$V$2:$V$261,"&gt;=0")/COUNTIFS(PC_Model!$K$2:$K$261,$A43,PC_Model!$L$2:$L$261,"E",PC_Model!$V$2:$V$261,"&gt;=0"),"")</f>
        <v/>
      </c>
      <c r="M43" s="36" t="str">
        <f t="shared" si="11"/>
        <v/>
      </c>
    </row>
    <row r="44" spans="1:13">
      <c r="A44" s="37">
        <v>7</v>
      </c>
      <c r="B44" s="36">
        <f>IFERROR(SUMIFS(PC_Model!$AB$2:$AB$261,PC_Model!$K$2:$K$261,$A44,PC_Model!$L$2:$L$261,"C",PC_Model!$AB$2:$AB$261,"&gt;=0")/COUNTIFS(PC_Model!$K$2:$K$261,$A44,PC_Model!$L$2:$L$261,"C",PC_Model!$AB$2:$AB$261,"&gt;=0"),"")</f>
        <v>4.4681349152506288E-2</v>
      </c>
      <c r="C44" s="36">
        <f>IFERROR(SUMIFS(PC_Model!$V$2:$V$261,PC_Model!$K$2:$K$261,$A44,PC_Model!$L$2:$L$261,"C",PC_Model!$V$2:$V$261,"&gt;=0")/COUNTIFS(PC_Model!$K$2:$K$261,$A44,PC_Model!$L$2:$L$261,"C",PC_Model!$V$2:$V$261,"&gt;=0"),"")</f>
        <v>7.5337931511046619E-2</v>
      </c>
      <c r="D44" s="36">
        <f t="shared" si="8"/>
        <v>3.0656582358540331E-2</v>
      </c>
      <c r="E44" s="36">
        <f>IFERROR(SUMIFS(PC_Model!$AB$2:$AB$261,PC_Model!$K$2:$K$261,$A44,PC_Model!$L$2:$L$261,"T",PC_Model!$AB$2:$AB$261,"&gt;=0")/COUNTIFS(PC_Model!$K$2:$K$261,$A44,PC_Model!$L$2:$L$261,"T",PC_Model!$AB$2:$AB$261,"&gt;=0"),"")</f>
        <v>8.6317864746470532E-2</v>
      </c>
      <c r="F44" s="36">
        <f>IFERROR(SUMIFS(PC_Model!$V$2:$V$261,PC_Model!$K$2:$K$261,$A44,PC_Model!$L$2:$L$261,"T",PC_Model!$V$2:$V$261,"&gt;=0")/COUNTIFS(PC_Model!$K$2:$K$261,$A44,PC_Model!$L$2:$L$261,"T",PC_Model!$V$2:$V$261,"&gt;=0"),"")</f>
        <v>8.0096642765292075E-2</v>
      </c>
      <c r="G44" s="36">
        <f t="shared" si="9"/>
        <v>-6.2212219811784569E-3</v>
      </c>
      <c r="H44" s="36">
        <f>IFERROR(SUMIFS(PC_Model!$AB$2:$AB$261,PC_Model!$K$2:$K$261,$A44,PC_Model!$L$2:$L$261,"PT",PC_Model!$AB$2:$AB$261,"&gt;=0")/COUNTIFS(PC_Model!$K$2:$K$261,$A44,PC_Model!$L$2:$L$261,"PT",PC_Model!$AB$2:$AB$261,"&gt;=0"),"")</f>
        <v>3.2780039566795412E-5</v>
      </c>
      <c r="I44" s="36">
        <f>IFERROR(SUMIFS(PC_Model!$V$2:$V$261,PC_Model!$K$2:$K$261,$A44,PC_Model!$L$2:$L$261,"PT",PC_Model!$V$2:$V$261,"&gt;=0")/COUNTIFS(PC_Model!$K$2:$K$261,$A44,PC_Model!$L$2:$L$261,"PT",PC_Model!$V$2:$V$261,"&gt;=0"),"")</f>
        <v>9.5399562263435587E-4</v>
      </c>
      <c r="J44" s="36">
        <f t="shared" si="10"/>
        <v>9.2121558306756046E-4</v>
      </c>
      <c r="K44" s="36" t="str">
        <f>IFERROR(SUMIFS(PC_Model!$AB$2:$AB$261,PC_Model!$K$2:$K$261,$A44,PC_Model!$L$2:$L$261,"E",PC_Model!$AB$2:$AB$261,"&gt;=0")/COUNTIFS(PC_Model!$K$2:$K$261,$A44,PC_Model!$L$2:$L$261,"E",PC_Model!$AB$2:$AB$261,"&gt;=0"),"")</f>
        <v/>
      </c>
      <c r="L44" s="36" t="str">
        <f>IFERROR(SUMIFS(PC_Model!$V$2:$V$261,PC_Model!$K$2:$K$261,$A44,PC_Model!$L$2:$L$261,"E",PC_Model!$V$2:$V$261,"&gt;=0")/COUNTIFS(PC_Model!$K$2:$K$261,$A44,PC_Model!$L$2:$L$261,"E",PC_Model!$V$2:$V$261,"&gt;=0"),"")</f>
        <v/>
      </c>
      <c r="M44" s="36" t="str">
        <f t="shared" si="11"/>
        <v/>
      </c>
    </row>
    <row r="45" spans="1:13">
      <c r="A45" s="37">
        <v>8</v>
      </c>
      <c r="B45" s="36">
        <f>IFERROR(SUMIFS(PC_Model!$AB$2:$AB$261,PC_Model!$K$2:$K$261,$A45,PC_Model!$L$2:$L$261,"C",PC_Model!$AB$2:$AB$261,"&gt;=0")/COUNTIFS(PC_Model!$K$2:$K$261,$A45,PC_Model!$L$2:$L$261,"C",PC_Model!$AB$2:$AB$261,"&gt;=0"),"")</f>
        <v>7.3980680927442947E-3</v>
      </c>
      <c r="C45" s="36">
        <f>IFERROR(SUMIFS(PC_Model!$V$2:$V$261,PC_Model!$K$2:$K$261,$A45,PC_Model!$L$2:$L$261,"C",PC_Model!$V$2:$V$261,"&gt;=0")/COUNTIFS(PC_Model!$K$2:$K$261,$A45,PC_Model!$L$2:$L$261,"C",PC_Model!$V$2:$V$261,"&gt;=0"),"")</f>
        <v>3.8087182331505112E-2</v>
      </c>
      <c r="D45" s="36">
        <f t="shared" si="8"/>
        <v>3.0689114238760817E-2</v>
      </c>
      <c r="E45" s="36">
        <f>IFERROR(SUMIFS(PC_Model!$AB$2:$AB$261,PC_Model!$K$2:$K$261,$A45,PC_Model!$L$2:$L$261,"T",PC_Model!$AB$2:$AB$261,"&gt;=0")/COUNTIFS(PC_Model!$K$2:$K$261,$A45,PC_Model!$L$2:$L$261,"T",PC_Model!$AB$2:$AB$261,"&gt;=0"),"")</f>
        <v>4.7793076726362883E-2</v>
      </c>
      <c r="F45" s="36">
        <f>IFERROR(SUMIFS(PC_Model!$V$2:$V$261,PC_Model!$K$2:$K$261,$A45,PC_Model!$L$2:$L$261,"T",PC_Model!$V$2:$V$261,"&gt;=0")/COUNTIFS(PC_Model!$K$2:$K$261,$A45,PC_Model!$L$2:$L$261,"T",PC_Model!$V$2:$V$261,"&gt;=0"),"")</f>
        <v>4.6845246517182117E-2</v>
      </c>
      <c r="G45" s="36">
        <f t="shared" si="9"/>
        <v>-9.4783020918076666E-4</v>
      </c>
      <c r="H45" s="36">
        <f>IFERROR(SUMIFS(PC_Model!$AB$2:$AB$261,PC_Model!$K$2:$K$261,$A45,PC_Model!$L$2:$L$261,"PT",PC_Model!$AB$2:$AB$261,"&gt;=0")/COUNTIFS(PC_Model!$K$2:$K$261,$A45,PC_Model!$L$2:$L$261,"PT",PC_Model!$AB$2:$AB$261,"&gt;=0"),"")</f>
        <v>3.2311934602217084E-6</v>
      </c>
      <c r="I45" s="36">
        <f>IFERROR(SUMIFS(PC_Model!$V$2:$V$261,PC_Model!$K$2:$K$261,$A45,PC_Model!$L$2:$L$261,"PT",PC_Model!$V$2:$V$261,"&gt;=0")/COUNTIFS(PC_Model!$K$2:$K$261,$A45,PC_Model!$L$2:$L$261,"PT",PC_Model!$V$2:$V$261,"&gt;=0"),"")</f>
        <v>2.2776131176788908E-4</v>
      </c>
      <c r="J45" s="36">
        <f t="shared" si="10"/>
        <v>2.2453011830766737E-4</v>
      </c>
      <c r="K45" s="36" t="str">
        <f>IFERROR(SUMIFS(PC_Model!$AB$2:$AB$261,PC_Model!$K$2:$K$261,$A45,PC_Model!$L$2:$L$261,"E",PC_Model!$AB$2:$AB$261,"&gt;=0")/COUNTIFS(PC_Model!$K$2:$K$261,$A45,PC_Model!$L$2:$L$261,"E",PC_Model!$AB$2:$AB$261,"&gt;=0"),"")</f>
        <v/>
      </c>
      <c r="L45" s="36" t="str">
        <f>IFERROR(SUMIFS(PC_Model!$V$2:$V$261,PC_Model!$K$2:$K$261,$A45,PC_Model!$L$2:$L$261,"E",PC_Model!$V$2:$V$261,"&gt;=0")/COUNTIFS(PC_Model!$K$2:$K$261,$A45,PC_Model!$L$2:$L$261,"E",PC_Model!$V$2:$V$261,"&gt;=0"),"")</f>
        <v/>
      </c>
      <c r="M45" s="36" t="str">
        <f t="shared" si="11"/>
        <v/>
      </c>
    </row>
    <row r="46" spans="1:13">
      <c r="A46" s="37">
        <v>9</v>
      </c>
      <c r="B46" s="36">
        <f>IFERROR(SUMIFS(PC_Model!$AB$2:$AB$261,PC_Model!$K$2:$K$261,$A46,PC_Model!$L$2:$L$261,"C",PC_Model!$AB$2:$AB$261,"&gt;=0")/COUNTIFS(PC_Model!$K$2:$K$261,$A46,PC_Model!$L$2:$L$261,"C",PC_Model!$AB$2:$AB$261,"&gt;=0"),"")</f>
        <v>8.1081444507199855E-4</v>
      </c>
      <c r="C46" s="36">
        <f>IFERROR(SUMIFS(PC_Model!$V$2:$V$261,PC_Model!$K$2:$K$261,$A46,PC_Model!$L$2:$L$261,"C",PC_Model!$V$2:$V$261,"&gt;=0")/COUNTIFS(PC_Model!$K$2:$K$261,$A46,PC_Model!$L$2:$L$261,"C",PC_Model!$V$2:$V$261,"&gt;=0"),"")</f>
        <v>1.744681079963438E-2</v>
      </c>
      <c r="D46" s="36">
        <f t="shared" si="8"/>
        <v>1.663599635456238E-2</v>
      </c>
      <c r="E46" s="36">
        <f>IFERROR(SUMIFS(PC_Model!$AB$2:$AB$261,PC_Model!$K$2:$K$261,$A46,PC_Model!$L$2:$L$261,"T",PC_Model!$AB$2:$AB$261,"&gt;=0")/COUNTIFS(PC_Model!$K$2:$K$261,$A46,PC_Model!$L$2:$L$261,"T",PC_Model!$AB$2:$AB$261,"&gt;=0"),"")</f>
        <v>2.1802204663242088E-2</v>
      </c>
      <c r="F46" s="36">
        <f>IFERROR(SUMIFS(PC_Model!$V$2:$V$261,PC_Model!$K$2:$K$261,$A46,PC_Model!$L$2:$L$261,"T",PC_Model!$V$2:$V$261,"&gt;=0")/COUNTIFS(PC_Model!$K$2:$K$261,$A46,PC_Model!$L$2:$L$261,"T",PC_Model!$V$2:$V$261,"&gt;=0"),"")</f>
        <v>2.6189458244701792E-2</v>
      </c>
      <c r="G46" s="36">
        <f t="shared" si="9"/>
        <v>4.387253581459704E-3</v>
      </c>
      <c r="H46" s="36">
        <f>IFERROR(SUMIFS(PC_Model!$AB$2:$AB$261,PC_Model!$K$2:$K$261,$A46,PC_Model!$L$2:$L$261,"PT",PC_Model!$AB$2:$AB$261,"&gt;=0")/COUNTIFS(PC_Model!$K$2:$K$261,$A46,PC_Model!$L$2:$L$261,"PT",PC_Model!$AB$2:$AB$261,"&gt;=0"),"")</f>
        <v>2.8881158350838846E-7</v>
      </c>
      <c r="I46" s="36">
        <f>IFERROR(SUMIFS(PC_Model!$V$2:$V$261,PC_Model!$K$2:$K$261,$A46,PC_Model!$L$2:$L$261,"PT",PC_Model!$V$2:$V$261,"&gt;=0")/COUNTIFS(PC_Model!$K$2:$K$261,$A46,PC_Model!$L$2:$L$261,"PT",PC_Model!$V$2:$V$261,"&gt;=0"),"")</f>
        <v>5.2034945687014419E-5</v>
      </c>
      <c r="J46" s="36">
        <f t="shared" si="10"/>
        <v>5.1746134103506032E-5</v>
      </c>
      <c r="K46" s="36" t="str">
        <f>IFERROR(SUMIFS(PC_Model!$AB$2:$AB$261,PC_Model!$K$2:$K$261,$A46,PC_Model!$L$2:$L$261,"E",PC_Model!$AB$2:$AB$261,"&gt;=0")/COUNTIFS(PC_Model!$K$2:$K$261,$A46,PC_Model!$L$2:$L$261,"E",PC_Model!$AB$2:$AB$261,"&gt;=0"),"")</f>
        <v/>
      </c>
      <c r="L46" s="36" t="str">
        <f>IFERROR(SUMIFS(PC_Model!$V$2:$V$261,PC_Model!$K$2:$K$261,$A46,PC_Model!$L$2:$L$261,"E",PC_Model!$V$2:$V$261,"&gt;=0")/COUNTIFS(PC_Model!$K$2:$K$261,$A46,PC_Model!$L$2:$L$261,"E",PC_Model!$V$2:$V$261,"&gt;=0"),"")</f>
        <v/>
      </c>
      <c r="M46" s="36" t="str">
        <f t="shared" si="11"/>
        <v/>
      </c>
    </row>
    <row r="47" spans="1:13">
      <c r="A47" s="37">
        <v>10</v>
      </c>
      <c r="B47" s="36">
        <f>IFERROR(SUMIFS(PC_Model!$AB$2:$AB$261,PC_Model!$K$2:$K$261,$A47,PC_Model!$L$2:$L$261,"C",PC_Model!$AB$2:$AB$261,"&gt;=0")/COUNTIFS(PC_Model!$K$2:$K$261,$A47,PC_Model!$L$2:$L$261,"C",PC_Model!$AB$2:$AB$261,"&gt;=0"),"")</f>
        <v>6.224798012513939E-5</v>
      </c>
      <c r="C47" s="36">
        <f>IFERROR(SUMIFS(PC_Model!$V$2:$V$261,PC_Model!$K$2:$K$261,$A47,PC_Model!$L$2:$L$261,"C",PC_Model!$V$2:$V$261,"&gt;=0")/COUNTIFS(PC_Model!$K$2:$K$261,$A47,PC_Model!$L$2:$L$261,"C",PC_Model!$V$2:$V$261,"&gt;=0"),"")</f>
        <v>9.2174593914219841E-3</v>
      </c>
      <c r="D47" s="36">
        <f t="shared" si="8"/>
        <v>9.1552114112968454E-3</v>
      </c>
      <c r="E47" s="36">
        <f>IFERROR(SUMIFS(PC_Model!$AB$2:$AB$261,PC_Model!$K$2:$K$261,$A47,PC_Model!$L$2:$L$261,"T",PC_Model!$AB$2:$AB$261,"&gt;=0")/COUNTIFS(PC_Model!$K$2:$K$261,$A47,PC_Model!$L$2:$L$261,"T",PC_Model!$AB$2:$AB$261,"&gt;=0"),"")</f>
        <v>7.9590460404274626E-3</v>
      </c>
      <c r="F47" s="36">
        <f>IFERROR(SUMIFS(PC_Model!$V$2:$V$261,PC_Model!$K$2:$K$261,$A47,PC_Model!$L$2:$L$261,"T",PC_Model!$V$2:$V$261,"&gt;=0")/COUNTIFS(PC_Model!$K$2:$K$261,$A47,PC_Model!$L$2:$L$261,"T",PC_Model!$V$2:$V$261,"&gt;=0"),"")</f>
        <v>1.4556389713936094E-2</v>
      </c>
      <c r="G47" s="36">
        <f t="shared" si="9"/>
        <v>6.5973436735086311E-3</v>
      </c>
      <c r="H47" s="36">
        <f>IFERROR(SUMIFS(PC_Model!$AB$2:$AB$261,PC_Model!$K$2:$K$261,$A47,PC_Model!$L$2:$L$261,"PT",PC_Model!$AB$2:$AB$261,"&gt;=0")/COUNTIFS(PC_Model!$K$2:$K$261,$A47,PC_Model!$L$2:$L$261,"PT",PC_Model!$AB$2:$AB$261,"&gt;=0"),"")</f>
        <v>2.2904382342737738E-8</v>
      </c>
      <c r="I47" s="36">
        <f>IFERROR(SUMIFS(PC_Model!$V$2:$V$261,PC_Model!$K$2:$K$261,$A47,PC_Model!$L$2:$L$261,"PT",PC_Model!$V$2:$V$261,"&gt;=0")/COUNTIFS(PC_Model!$K$2:$K$261,$A47,PC_Model!$L$2:$L$261,"PT",PC_Model!$V$2:$V$261,"&gt;=0"),"")</f>
        <v>1.1408925311984297E-5</v>
      </c>
      <c r="J47" s="36">
        <f t="shared" si="10"/>
        <v>1.1386020929641559E-5</v>
      </c>
      <c r="K47" s="36" t="str">
        <f>IFERROR(SUMIFS(PC_Model!$AB$2:$AB$261,PC_Model!$K$2:$K$261,$A47,PC_Model!$L$2:$L$261,"E",PC_Model!$AB$2:$AB$261,"&gt;=0")/COUNTIFS(PC_Model!$K$2:$K$261,$A47,PC_Model!$L$2:$L$261,"E",PC_Model!$AB$2:$AB$261,"&gt;=0"),"")</f>
        <v/>
      </c>
      <c r="L47" s="36" t="str">
        <f>IFERROR(SUMIFS(PC_Model!$V$2:$V$261,PC_Model!$K$2:$K$261,$A47,PC_Model!$L$2:$L$261,"E",PC_Model!$V$2:$V$261,"&gt;=0")/COUNTIFS(PC_Model!$K$2:$K$261,$A47,PC_Model!$L$2:$L$261,"E",PC_Model!$V$2:$V$261,"&gt;=0"),"")</f>
        <v/>
      </c>
      <c r="M47" s="36" t="str">
        <f t="shared" si="11"/>
        <v/>
      </c>
    </row>
    <row r="48" spans="1:13">
      <c r="A48" s="37">
        <v>11</v>
      </c>
      <c r="B48" s="36">
        <f>IFERROR(SUMIFS(PC_Model!$AB$2:$AB$261,PC_Model!$K$2:$K$261,$A48,PC_Model!$L$2:$L$261,"C",PC_Model!$AB$2:$AB$261,"&gt;=0")/COUNTIFS(PC_Model!$K$2:$K$261,$A48,PC_Model!$L$2:$L$261,"C",PC_Model!$AB$2:$AB$261,"&gt;=0"),"")</f>
        <v>3.2594352334716939E-6</v>
      </c>
      <c r="C48" s="36">
        <f>IFERROR(SUMIFS(PC_Model!$V$2:$V$261,PC_Model!$K$2:$K$261,$A48,PC_Model!$L$2:$L$261,"C",PC_Model!$V$2:$V$261,"&gt;=0")/COUNTIFS(PC_Model!$K$2:$K$261,$A48,PC_Model!$L$2:$L$261,"C",PC_Model!$V$2:$V$261,"&gt;=0"),"")</f>
        <v>3.6215551133152906E-3</v>
      </c>
      <c r="D48" s="36">
        <f t="shared" si="8"/>
        <v>3.6182956780818187E-3</v>
      </c>
      <c r="E48" s="36">
        <f>IFERROR(SUMIFS(PC_Model!$AB$2:$AB$261,PC_Model!$K$2:$K$261,$A48,PC_Model!$L$2:$L$261,"T",PC_Model!$AB$2:$AB$261,"&gt;=0")/COUNTIFS(PC_Model!$K$2:$K$261,$A48,PC_Model!$L$2:$L$261,"T",PC_Model!$AB$2:$AB$261,"&gt;=0"),"")</f>
        <v>2.3169217607708847E-3</v>
      </c>
      <c r="F48" s="36">
        <f>IFERROR(SUMIFS(PC_Model!$V$2:$V$261,PC_Model!$K$2:$K$261,$A48,PC_Model!$L$2:$L$261,"T",PC_Model!$V$2:$V$261,"&gt;=0")/COUNTIFS(PC_Model!$K$2:$K$261,$A48,PC_Model!$L$2:$L$261,"T",PC_Model!$V$2:$V$261,"&gt;=0"),"")</f>
        <v>8.4600657974670517E-3</v>
      </c>
      <c r="G48" s="36">
        <f t="shared" si="9"/>
        <v>6.1431440366961666E-3</v>
      </c>
      <c r="H48" s="36">
        <f>IFERROR(SUMIFS(PC_Model!$AB$2:$AB$261,PC_Model!$K$2:$K$261,$A48,PC_Model!$L$2:$L$261,"PT",PC_Model!$AB$2:$AB$261,"&gt;=0")/COUNTIFS(PC_Model!$K$2:$K$261,$A48,PC_Model!$L$2:$L$261,"PT",PC_Model!$AB$2:$AB$261,"&gt;=0"),"")</f>
        <v>1.563257003920362E-9</v>
      </c>
      <c r="I48" s="36">
        <f>IFERROR(SUMIFS(PC_Model!$V$2:$V$261,PC_Model!$K$2:$K$261,$A48,PC_Model!$L$2:$L$261,"PT",PC_Model!$V$2:$V$261,"&gt;=0")/COUNTIFS(PC_Model!$K$2:$K$261,$A48,PC_Model!$L$2:$L$261,"PT",PC_Model!$V$2:$V$261,"&gt;=0"),"")</f>
        <v>2.3872395356667485E-6</v>
      </c>
      <c r="J48" s="36">
        <f t="shared" si="10"/>
        <v>2.3856762786628283E-6</v>
      </c>
      <c r="K48" s="36" t="str">
        <f>IFERROR(SUMIFS(PC_Model!$AB$2:$AB$261,PC_Model!$K$2:$K$261,$A48,PC_Model!$L$2:$L$261,"E",PC_Model!$AB$2:$AB$261,"&gt;=0")/COUNTIFS(PC_Model!$K$2:$K$261,$A48,PC_Model!$L$2:$L$261,"E",PC_Model!$AB$2:$AB$261,"&gt;=0"),"")</f>
        <v/>
      </c>
      <c r="L48" s="36" t="str">
        <f>IFERROR(SUMIFS(PC_Model!$V$2:$V$261,PC_Model!$K$2:$K$261,$A48,PC_Model!$L$2:$L$261,"E",PC_Model!$V$2:$V$261,"&gt;=0")/COUNTIFS(PC_Model!$K$2:$K$261,$A48,PC_Model!$L$2:$L$261,"E",PC_Model!$V$2:$V$261,"&gt;=0"),"")</f>
        <v/>
      </c>
      <c r="M48" s="36" t="str">
        <f t="shared" si="11"/>
        <v/>
      </c>
    </row>
    <row r="49" spans="1:13">
      <c r="A49" s="37">
        <v>12</v>
      </c>
      <c r="B49" s="36">
        <f>IFERROR(SUMIFS(PC_Model!$AB$2:$AB$261,PC_Model!$K$2:$K$261,$A49,PC_Model!$L$2:$L$261,"C",PC_Model!$AB$2:$AB$261,"&gt;=0")/COUNTIFS(PC_Model!$K$2:$K$261,$A49,PC_Model!$L$2:$L$261,"C",PC_Model!$AB$2:$AB$261,"&gt;=0"),"")</f>
        <v>1.0906078151942859E-7</v>
      </c>
      <c r="C49" s="36">
        <f>IFERROR(SUMIFS(PC_Model!$V$2:$V$261,PC_Model!$K$2:$K$261,$A49,PC_Model!$L$2:$L$261,"C",PC_Model!$V$2:$V$261,"&gt;=0")/COUNTIFS(PC_Model!$K$2:$K$261,$A49,PC_Model!$L$2:$L$261,"C",PC_Model!$V$2:$V$261,"&gt;=0"),"")</f>
        <v>5.5958127575501352E-4</v>
      </c>
      <c r="D49" s="36">
        <f t="shared" si="8"/>
        <v>5.5947221497349407E-4</v>
      </c>
      <c r="E49" s="36">
        <f>IFERROR(SUMIFS(PC_Model!$AB$2:$AB$261,PC_Model!$K$2:$K$261,$A49,PC_Model!$L$2:$L$261,"T",PC_Model!$AB$2:$AB$261,"&gt;=0")/COUNTIFS(PC_Model!$K$2:$K$261,$A49,PC_Model!$L$2:$L$261,"T",PC_Model!$AB$2:$AB$261,"&gt;=0"),"")</f>
        <v>5.3097750836146552E-4</v>
      </c>
      <c r="F49" s="36">
        <f>IFERROR(SUMIFS(PC_Model!$V$2:$V$261,PC_Model!$K$2:$K$261,$A49,PC_Model!$L$2:$L$261,"T",PC_Model!$V$2:$V$261,"&gt;=0")/COUNTIFS(PC_Model!$K$2:$K$261,$A49,PC_Model!$L$2:$L$261,"T",PC_Model!$V$2:$V$261,"&gt;=0"),"")</f>
        <v>5.2135711729394641E-3</v>
      </c>
      <c r="G49" s="36">
        <f t="shared" si="9"/>
        <v>4.6825936645779991E-3</v>
      </c>
      <c r="H49" s="36">
        <f>IFERROR(SUMIFS(PC_Model!$AB$2:$AB$261,PC_Model!$K$2:$K$261,$A49,PC_Model!$L$2:$L$261,"PT",PC_Model!$AB$2:$AB$261,"&gt;=0")/COUNTIFS(PC_Model!$K$2:$K$261,$A49,PC_Model!$L$2:$L$261,"PT",PC_Model!$AB$2:$AB$261,"&gt;=0"),"")</f>
        <v>8.7727175522594585E-11</v>
      </c>
      <c r="I49" s="36">
        <f>IFERROR(SUMIFS(PC_Model!$V$2:$V$261,PC_Model!$K$2:$K$261,$A49,PC_Model!$L$2:$L$261,"PT",PC_Model!$V$2:$V$261,"&gt;=0")/COUNTIFS(PC_Model!$K$2:$K$261,$A49,PC_Model!$L$2:$L$261,"PT",PC_Model!$V$2:$V$261,"&gt;=0"),"")</f>
        <v>4.7033748680659342E-7</v>
      </c>
      <c r="J49" s="36">
        <f t="shared" si="10"/>
        <v>4.7024975963107082E-7</v>
      </c>
      <c r="K49" s="36" t="str">
        <f>IFERROR(SUMIFS(PC_Model!$AB$2:$AB$261,PC_Model!$K$2:$K$261,$A49,PC_Model!$L$2:$L$261,"E",PC_Model!$AB$2:$AB$261,"&gt;=0")/COUNTIFS(PC_Model!$K$2:$K$261,$A49,PC_Model!$L$2:$L$261,"E",PC_Model!$AB$2:$AB$261,"&gt;=0"),"")</f>
        <v/>
      </c>
      <c r="L49" s="36" t="str">
        <f>IFERROR(SUMIFS(PC_Model!$V$2:$V$261,PC_Model!$K$2:$K$261,$A49,PC_Model!$L$2:$L$261,"E",PC_Model!$V$2:$V$261,"&gt;=0")/COUNTIFS(PC_Model!$K$2:$K$261,$A49,PC_Model!$L$2:$L$261,"E",PC_Model!$V$2:$V$261,"&gt;=0"),"")</f>
        <v/>
      </c>
      <c r="M49" s="36" t="str">
        <f t="shared" si="11"/>
        <v/>
      </c>
    </row>
    <row r="50" spans="1:13">
      <c r="A50" s="37">
        <v>13</v>
      </c>
      <c r="B50" s="36">
        <f>IFERROR(SUMIFS(PC_Model!$AB$2:$AB$261,PC_Model!$K$2:$K$261,$A50,PC_Model!$L$2:$L$261,"C",PC_Model!$AB$2:$AB$261,"&gt;=0")/COUNTIFS(PC_Model!$K$2:$K$261,$A50,PC_Model!$L$2:$L$261,"C",PC_Model!$AB$2:$AB$261,"&gt;=0"),"")</f>
        <v>2.0876124134162722E-9</v>
      </c>
      <c r="C50" s="36">
        <f>IFERROR(SUMIFS(PC_Model!$V$2:$V$261,PC_Model!$K$2:$K$261,$A50,PC_Model!$L$2:$L$261,"C",PC_Model!$V$2:$V$261,"&gt;=0")/COUNTIFS(PC_Model!$K$2:$K$261,$A50,PC_Model!$L$2:$L$261,"C",PC_Model!$V$2:$V$261,"&gt;=0"),"")</f>
        <v>5.8904972856371285E-5</v>
      </c>
      <c r="D50" s="36">
        <f t="shared" si="8"/>
        <v>5.8902885243957869E-5</v>
      </c>
      <c r="E50" s="36">
        <f>IFERROR(SUMIFS(PC_Model!$AB$2:$AB$261,PC_Model!$K$2:$K$261,$A50,PC_Model!$L$2:$L$261,"T",PC_Model!$AB$2:$AB$261,"&gt;=0")/COUNTIFS(PC_Model!$K$2:$K$261,$A50,PC_Model!$L$2:$L$261,"T",PC_Model!$AB$2:$AB$261,"&gt;=0"),"")</f>
        <v>9.0902893346152686E-5</v>
      </c>
      <c r="F50" s="36">
        <f>IFERROR(SUMIFS(PC_Model!$V$2:$V$261,PC_Model!$K$2:$K$261,$A50,PC_Model!$L$2:$L$261,"T",PC_Model!$V$2:$V$261,"&gt;=0")/COUNTIFS(PC_Model!$K$2:$K$261,$A50,PC_Model!$L$2:$L$261,"T",PC_Model!$V$2:$V$261,"&gt;=0"),"")</f>
        <v>4.0930697366323744E-3</v>
      </c>
      <c r="G50" s="36">
        <f t="shared" si="9"/>
        <v>4.0021668432862218E-3</v>
      </c>
      <c r="H50" s="36">
        <f>IFERROR(SUMIFS(PC_Model!$AB$2:$AB$261,PC_Model!$K$2:$K$261,$A50,PC_Model!$L$2:$L$261,"PT",PC_Model!$AB$2:$AB$261,"&gt;=0")/COUNTIFS(PC_Model!$K$2:$K$261,$A50,PC_Model!$L$2:$L$261,"PT",PC_Model!$AB$2:$AB$261,"&gt;=0"),"")</f>
        <v>3.7533238448342807E-12</v>
      </c>
      <c r="I50" s="36">
        <f>IFERROR(SUMIFS(PC_Model!$V$2:$V$261,PC_Model!$K$2:$K$261,$A50,PC_Model!$L$2:$L$261,"PT",PC_Model!$V$2:$V$261,"&gt;=0")/COUNTIFS(PC_Model!$K$2:$K$261,$A50,PC_Model!$L$2:$L$261,"PT",PC_Model!$V$2:$V$261,"&gt;=0"),"")</f>
        <v>1.0630529728111331E-7</v>
      </c>
      <c r="J50" s="36">
        <f t="shared" si="10"/>
        <v>1.0630154395726848E-7</v>
      </c>
      <c r="K50" s="36" t="str">
        <f>IFERROR(SUMIFS(PC_Model!$AB$2:$AB$261,PC_Model!$K$2:$K$261,$A50,PC_Model!$L$2:$L$261,"E",PC_Model!$AB$2:$AB$261,"&gt;=0")/COUNTIFS(PC_Model!$K$2:$K$261,$A50,PC_Model!$L$2:$L$261,"E",PC_Model!$AB$2:$AB$261,"&gt;=0"),"")</f>
        <v/>
      </c>
      <c r="L50" s="36" t="str">
        <f>IFERROR(SUMIFS(PC_Model!$V$2:$V$261,PC_Model!$K$2:$K$261,$A50,PC_Model!$L$2:$L$261,"E",PC_Model!$V$2:$V$261,"&gt;=0")/COUNTIFS(PC_Model!$K$2:$K$261,$A50,PC_Model!$L$2:$L$261,"E",PC_Model!$V$2:$V$261,"&gt;=0"),"")</f>
        <v/>
      </c>
      <c r="M50" s="36" t="str">
        <f t="shared" si="11"/>
        <v/>
      </c>
    </row>
    <row r="51" spans="1:13">
      <c r="A51" s="37">
        <v>14</v>
      </c>
      <c r="B51" s="36">
        <f>IFERROR(SUMIFS(PC_Model!$AB$2:$AB$261,PC_Model!$K$2:$K$261,$A51,PC_Model!$L$2:$L$261,"C",PC_Model!$AB$2:$AB$261,"&gt;=0")/COUNTIFS(PC_Model!$K$2:$K$261,$A51,PC_Model!$L$2:$L$261,"C",PC_Model!$AB$2:$AB$261,"&gt;=0"),"")</f>
        <v>1.8579507898955092E-11</v>
      </c>
      <c r="C51" s="36">
        <f>IFERROR(SUMIFS(PC_Model!$V$2:$V$261,PC_Model!$K$2:$K$261,$A51,PC_Model!$L$2:$L$261,"C",PC_Model!$V$2:$V$261,"&gt;=0")/COUNTIFS(PC_Model!$K$2:$K$261,$A51,PC_Model!$L$2:$L$261,"C",PC_Model!$V$2:$V$261,"&gt;=0"),"")</f>
        <v>2.934363877437135E-6</v>
      </c>
      <c r="D51" s="36">
        <f t="shared" si="8"/>
        <v>2.9343452979292361E-6</v>
      </c>
      <c r="E51" s="36">
        <f>IFERROR(SUMIFS(PC_Model!$AB$2:$AB$261,PC_Model!$K$2:$K$261,$A51,PC_Model!$L$2:$L$261,"T",PC_Model!$AB$2:$AB$261,"&gt;=0")/COUNTIFS(PC_Model!$K$2:$K$261,$A51,PC_Model!$L$2:$L$261,"T",PC_Model!$AB$2:$AB$261,"&gt;=0"),"")</f>
        <v>1.0149682169828808E-5</v>
      </c>
      <c r="F51" s="36">
        <f>IFERROR(SUMIFS(PC_Model!$V$2:$V$261,PC_Model!$K$2:$K$261,$A51,PC_Model!$L$2:$L$261,"T",PC_Model!$V$2:$V$261,"&gt;=0")/COUNTIFS(PC_Model!$K$2:$K$261,$A51,PC_Model!$L$2:$L$261,"T",PC_Model!$V$2:$V$261,"&gt;=0"),"")</f>
        <v>2.3442094070610744E-3</v>
      </c>
      <c r="G51" s="36">
        <f t="shared" si="9"/>
        <v>2.3340597248912454E-3</v>
      </c>
      <c r="H51" s="36">
        <f>IFERROR(SUMIFS(PC_Model!$AB$2:$AB$261,PC_Model!$K$2:$K$261,$A51,PC_Model!$L$2:$L$261,"PT",PC_Model!$AB$2:$AB$261,"&gt;=0")/COUNTIFS(PC_Model!$K$2:$K$261,$A51,PC_Model!$L$2:$L$261,"PT",PC_Model!$AB$2:$AB$261,"&gt;=0"),"")</f>
        <v>1.056296455912322E-13</v>
      </c>
      <c r="I51" s="36">
        <f>IFERROR(SUMIFS(PC_Model!$V$2:$V$261,PC_Model!$K$2:$K$261,$A51,PC_Model!$L$2:$L$261,"PT",PC_Model!$V$2:$V$261,"&gt;=0")/COUNTIFS(PC_Model!$K$2:$K$261,$A51,PC_Model!$L$2:$L$261,"PT",PC_Model!$V$2:$V$261,"&gt;=0"),"")</f>
        <v>1.6685641135262701E-8</v>
      </c>
      <c r="J51" s="36">
        <f t="shared" si="10"/>
        <v>1.6685535505617109E-8</v>
      </c>
      <c r="K51" s="36" t="str">
        <f>IFERROR(SUMIFS(PC_Model!$AB$2:$AB$261,PC_Model!$K$2:$K$261,$A51,PC_Model!$L$2:$L$261,"E",PC_Model!$AB$2:$AB$261,"&gt;=0")/COUNTIFS(PC_Model!$K$2:$K$261,$A51,PC_Model!$L$2:$L$261,"E",PC_Model!$AB$2:$AB$261,"&gt;=0"),"")</f>
        <v/>
      </c>
      <c r="L51" s="36" t="str">
        <f>IFERROR(SUMIFS(PC_Model!$V$2:$V$261,PC_Model!$K$2:$K$261,$A51,PC_Model!$L$2:$L$261,"E",PC_Model!$V$2:$V$261,"&gt;=0")/COUNTIFS(PC_Model!$K$2:$K$261,$A51,PC_Model!$L$2:$L$261,"E",PC_Model!$V$2:$V$261,"&gt;=0"),"")</f>
        <v/>
      </c>
      <c r="M51" s="36" t="str">
        <f t="shared" si="11"/>
        <v/>
      </c>
    </row>
    <row r="52" spans="1:13">
      <c r="A52" s="37">
        <v>15</v>
      </c>
      <c r="B52" s="36">
        <f>IFERROR(SUMIFS(PC_Model!$AB$2:$AB$261,PC_Model!$K$2:$K$261,$A52,PC_Model!$L$2:$L$261,"C",PC_Model!$AB$2:$AB$261,"&gt;=0")/COUNTIFS(PC_Model!$K$2:$K$261,$A52,PC_Model!$L$2:$L$261,"C",PC_Model!$AB$2:$AB$261,"&gt;=0"),"")</f>
        <v>4.5987335012482861E-14</v>
      </c>
      <c r="C52" s="36">
        <f>IFERROR(SUMIFS(PC_Model!$V$2:$V$261,PC_Model!$K$2:$K$261,$A52,PC_Model!$L$2:$L$261,"C",PC_Model!$V$2:$V$261,"&gt;=0")/COUNTIFS(PC_Model!$K$2:$K$261,$A52,PC_Model!$L$2:$L$261,"C",PC_Model!$V$2:$V$261,"&gt;=0"),"")</f>
        <v>6.7133181695625336E-8</v>
      </c>
      <c r="D52" s="36">
        <f t="shared" si="8"/>
        <v>6.7133135708290323E-8</v>
      </c>
      <c r="E52" s="36">
        <f>IFERROR(SUMIFS(PC_Model!$AB$2:$AB$261,PC_Model!$K$2:$K$261,$A52,PC_Model!$L$2:$L$261,"T",PC_Model!$AB$2:$AB$261,"&gt;=0")/COUNTIFS(PC_Model!$K$2:$K$261,$A52,PC_Model!$L$2:$L$261,"T",PC_Model!$AB$2:$AB$261,"&gt;=0"),"")</f>
        <v>4.9770433204449703E-7</v>
      </c>
      <c r="F52" s="36">
        <f>IFERROR(SUMIFS(PC_Model!$V$2:$V$261,PC_Model!$K$2:$K$261,$A52,PC_Model!$L$2:$L$261,"T",PC_Model!$V$2:$V$261,"&gt;=0")/COUNTIFS(PC_Model!$K$2:$K$261,$A52,PC_Model!$L$2:$L$261,"T",PC_Model!$V$2:$V$261,"&gt;=0"),"")</f>
        <v>1.1066576356008797E-3</v>
      </c>
      <c r="G52" s="36">
        <f t="shared" si="9"/>
        <v>1.1061599312688353E-3</v>
      </c>
      <c r="H52" s="36">
        <f>IFERROR(SUMIFS(PC_Model!$AB$2:$AB$261,PC_Model!$K$2:$K$261,$A52,PC_Model!$L$2:$L$261,"PT",PC_Model!$AB$2:$AB$261,"&gt;=0")/COUNTIFS(PC_Model!$K$2:$K$261,$A52,PC_Model!$L$2:$L$261,"PT",PC_Model!$AB$2:$AB$261,"&gt;=0"),"")</f>
        <v>1.3105106667328376E-15</v>
      </c>
      <c r="I52" s="36">
        <f>IFERROR(SUMIFS(PC_Model!$V$2:$V$261,PC_Model!$K$2:$K$261,$A52,PC_Model!$L$2:$L$261,"PT",PC_Model!$V$2:$V$261,"&gt;=0")/COUNTIFS(PC_Model!$K$2:$K$261,$A52,PC_Model!$L$2:$L$261,"PT",PC_Model!$V$2:$V$261,"&gt;=0"),"")</f>
        <v>1.9131082651332103E-9</v>
      </c>
      <c r="J52" s="36">
        <f t="shared" si="10"/>
        <v>1.9131069546225434E-9</v>
      </c>
      <c r="K52" s="36" t="str">
        <f>IFERROR(SUMIFS(PC_Model!$AB$2:$AB$261,PC_Model!$K$2:$K$261,$A52,PC_Model!$L$2:$L$261,"E",PC_Model!$AB$2:$AB$261,"&gt;=0")/COUNTIFS(PC_Model!$K$2:$K$261,$A52,PC_Model!$L$2:$L$261,"E",PC_Model!$AB$2:$AB$261,"&gt;=0"),"")</f>
        <v/>
      </c>
      <c r="L52" s="36" t="str">
        <f>IFERROR(SUMIFS(PC_Model!$V$2:$V$261,PC_Model!$K$2:$K$261,$A52,PC_Model!$L$2:$L$261,"E",PC_Model!$V$2:$V$261,"&gt;=0")/COUNTIFS(PC_Model!$K$2:$K$261,$A52,PC_Model!$L$2:$L$261,"E",PC_Model!$V$2:$V$261,"&gt;=0"),"")</f>
        <v/>
      </c>
      <c r="M52" s="36" t="str">
        <f t="shared" si="11"/>
        <v/>
      </c>
    </row>
  </sheetData>
  <mergeCells count="4">
    <mergeCell ref="A2:M2"/>
    <mergeCell ref="A4:M4"/>
    <mergeCell ref="A21:M21"/>
    <mergeCell ref="A38:M38"/>
  </mergeCells>
  <conditionalFormatting sqref="D1">
    <cfRule type="colorScale" priority="1">
      <colorScale>
        <cfvo type="min"/>
        <cfvo type="percentile" val="50"/>
        <cfvo type="max"/>
        <color rgb="FFFCE4D6"/>
        <color rgb="FFFFFFFF"/>
        <color rgb="FFD9EAD3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FCE4D6"/>
        <color rgb="FFFFFFFF"/>
        <color rgb="FFD9EAD3"/>
      </colorScale>
    </cfRule>
  </conditionalFormatting>
  <conditionalFormatting sqref="J1">
    <cfRule type="colorScale" priority="3">
      <colorScale>
        <cfvo type="min"/>
        <cfvo type="percentile" val="50"/>
        <cfvo type="max"/>
        <color rgb="FFFCE4D6"/>
        <color rgb="FFFFFFFF"/>
        <color rgb="FFD9EAD3"/>
      </colorScale>
    </cfRule>
  </conditionalFormatting>
  <conditionalFormatting sqref="M1">
    <cfRule type="colorScale" priority="4">
      <colorScale>
        <cfvo type="min"/>
        <cfvo type="percentile" val="50"/>
        <cfvo type="max"/>
        <color rgb="FFFCE4D6"/>
        <color rgb="FFFFFFFF"/>
        <color rgb="FFD9EAD3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9"/>
  <sheetViews>
    <sheetView workbookViewId="0"/>
  </sheetViews>
  <sheetFormatPr defaultRowHeight="14.15"/>
  <cols>
    <col min="1" max="1" width="8" customWidth="1"/>
    <col min="2" max="13" width="13" customWidth="1"/>
  </cols>
  <sheetData>
    <row r="1" spans="1:13" ht="20.149999999999999">
      <c r="A1" s="51" t="s">
        <v>227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5.75" customHeight="1">
      <c r="A2" s="46" t="s">
        <v>228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spans="1:13">
      <c r="A4" s="32" t="s">
        <v>207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>
      <c r="A5" s="34" t="s">
        <v>91</v>
      </c>
      <c r="B5" s="34" t="s">
        <v>208</v>
      </c>
      <c r="C5" s="34" t="s">
        <v>209</v>
      </c>
      <c r="D5" s="34" t="s">
        <v>210</v>
      </c>
      <c r="E5" s="34" t="s">
        <v>211</v>
      </c>
      <c r="F5" s="34" t="s">
        <v>212</v>
      </c>
      <c r="G5" s="34" t="s">
        <v>213</v>
      </c>
      <c r="H5" s="34" t="s">
        <v>214</v>
      </c>
      <c r="I5" s="34" t="s">
        <v>215</v>
      </c>
      <c r="J5" s="34" t="s">
        <v>216</v>
      </c>
      <c r="K5" s="34" t="s">
        <v>217</v>
      </c>
      <c r="L5" s="34" t="s">
        <v>218</v>
      </c>
      <c r="M5" s="34" t="s">
        <v>219</v>
      </c>
    </row>
    <row r="6" spans="1:13">
      <c r="A6">
        <v>3</v>
      </c>
      <c r="B6" s="36">
        <v>8.803007007923676E-8</v>
      </c>
      <c r="C6" s="36">
        <v>3.9781377495771964E-5</v>
      </c>
      <c r="D6" s="36">
        <v>3.9693347425692728E-5</v>
      </c>
      <c r="E6" s="36">
        <v>1.6439345984300596E-5</v>
      </c>
      <c r="F6" s="36">
        <v>4.609346664631758E-4</v>
      </c>
      <c r="G6" s="36">
        <v>4.444953204788752E-4</v>
      </c>
      <c r="H6" s="36">
        <v>0.83156579683024245</v>
      </c>
      <c r="I6" s="36">
        <v>0.69199720592137981</v>
      </c>
      <c r="J6" s="36">
        <v>-0.13956859090886264</v>
      </c>
      <c r="K6" s="36">
        <v>0.54005182666481555</v>
      </c>
      <c r="L6" s="36">
        <v>0.40828571979498662</v>
      </c>
      <c r="M6" s="36">
        <v>-0.13176610686982893</v>
      </c>
    </row>
    <row r="7" spans="1:13">
      <c r="A7">
        <v>4</v>
      </c>
      <c r="B7" s="36">
        <v>1.8781110710475347E-4</v>
      </c>
      <c r="C7" s="36">
        <v>6.9018280007242024E-3</v>
      </c>
      <c r="D7" s="36">
        <v>6.714016893619449E-3</v>
      </c>
      <c r="E7" s="36">
        <v>1.9848844881270106E-4</v>
      </c>
      <c r="F7" s="36">
        <v>4.9222532119698979E-3</v>
      </c>
      <c r="G7" s="36">
        <v>4.7237647631571972E-3</v>
      </c>
      <c r="H7" s="36">
        <v>2.3365336993118033</v>
      </c>
      <c r="I7" s="36">
        <v>1.8739244517174805</v>
      </c>
      <c r="J7" s="36">
        <v>-0.46260924759432287</v>
      </c>
      <c r="K7" s="36">
        <v>2.921188190501939</v>
      </c>
      <c r="L7" s="36">
        <v>2.3107721348935244</v>
      </c>
      <c r="M7" s="36">
        <v>-0.61041605560841461</v>
      </c>
    </row>
    <row r="8" spans="1:13">
      <c r="A8">
        <v>5</v>
      </c>
      <c r="B8" s="36">
        <v>3.128523381198519E-2</v>
      </c>
      <c r="C8" s="36">
        <v>0.11928379205754551</v>
      </c>
      <c r="D8" s="36">
        <v>8.7998558245560327E-2</v>
      </c>
      <c r="E8" s="36">
        <v>2.23868586412813E-3</v>
      </c>
      <c r="F8" s="36">
        <v>2.7882533042441381E-2</v>
      </c>
      <c r="G8" s="36">
        <v>2.564384717831325E-2</v>
      </c>
      <c r="H8" s="36">
        <v>4.1018301231961329</v>
      </c>
      <c r="I8" s="36">
        <v>3.3246017645780719</v>
      </c>
      <c r="J8" s="36">
        <v>-0.77722835861806105</v>
      </c>
      <c r="K8" s="36">
        <v>5.9497542900981548</v>
      </c>
      <c r="L8" s="36">
        <v>6.4797637797445429</v>
      </c>
      <c r="M8" s="36">
        <v>0.53000948964638805</v>
      </c>
    </row>
    <row r="9" spans="1:13">
      <c r="A9">
        <v>6</v>
      </c>
      <c r="B9" s="36">
        <v>0.39500075895740977</v>
      </c>
      <c r="C9" s="36">
        <v>0.56067945508680439</v>
      </c>
      <c r="D9" s="36">
        <v>0.16567869612939462</v>
      </c>
      <c r="E9" s="36">
        <v>1.8394168628285419E-2</v>
      </c>
      <c r="F9" s="36">
        <v>9.6478746900988302E-2</v>
      </c>
      <c r="G9" s="36">
        <v>7.8084578272702876E-2</v>
      </c>
      <c r="H9" s="36">
        <v>5.9906452748971519</v>
      </c>
      <c r="I9" s="36">
        <v>4.9403707160536481</v>
      </c>
      <c r="J9" s="36">
        <v>-1.0502745588435038</v>
      </c>
      <c r="K9" s="36"/>
      <c r="L9" s="36"/>
      <c r="M9" s="36"/>
    </row>
    <row r="10" spans="1:13">
      <c r="A10">
        <v>7</v>
      </c>
      <c r="B10" s="36">
        <v>1.556838335340951</v>
      </c>
      <c r="C10" s="36">
        <v>1.4554083132076656</v>
      </c>
      <c r="D10" s="36">
        <v>-0.10143002213328534</v>
      </c>
      <c r="E10" s="36">
        <v>9.693608967046341E-2</v>
      </c>
      <c r="F10" s="36">
        <v>0.24457271135405736</v>
      </c>
      <c r="G10" s="36">
        <v>0.14763662168359395</v>
      </c>
      <c r="H10" s="36">
        <v>7.9845755600257009</v>
      </c>
      <c r="I10" s="36">
        <v>6.681789971024763</v>
      </c>
      <c r="J10" s="36">
        <v>-1.3027855890009379</v>
      </c>
      <c r="K10" s="36"/>
      <c r="L10" s="36"/>
      <c r="M10" s="36"/>
    </row>
    <row r="11" spans="1:13">
      <c r="A11">
        <v>8</v>
      </c>
      <c r="B11" s="36">
        <v>3.424388799374634</v>
      </c>
      <c r="C11" s="36">
        <v>2.777062940985386</v>
      </c>
      <c r="D11" s="36">
        <v>-0.64732585838924805</v>
      </c>
      <c r="E11" s="36">
        <v>0.331533008191644</v>
      </c>
      <c r="F11" s="36">
        <v>0.51122806132012599</v>
      </c>
      <c r="G11" s="36">
        <v>0.179695053128482</v>
      </c>
      <c r="H11" s="36">
        <v>10.092713360034342</v>
      </c>
      <c r="I11" s="36">
        <v>8.5381140800244335</v>
      </c>
      <c r="J11" s="36">
        <v>-1.5545992800099082</v>
      </c>
      <c r="K11" s="36"/>
      <c r="L11" s="36"/>
      <c r="M11" s="36"/>
    </row>
    <row r="12" spans="1:13">
      <c r="A12">
        <v>9</v>
      </c>
      <c r="B12" s="36">
        <v>5.7628798282320925</v>
      </c>
      <c r="C12" s="36">
        <v>4.5564357920070879</v>
      </c>
      <c r="D12" s="36">
        <v>-1.2064440362250046</v>
      </c>
      <c r="E12" s="36">
        <v>0.8093069919945588</v>
      </c>
      <c r="F12" s="36">
        <v>0.92827724652820653</v>
      </c>
      <c r="G12" s="36">
        <v>0.11897025453364773</v>
      </c>
      <c r="H12" s="36">
        <v>12.332933809888649</v>
      </c>
      <c r="I12" s="36">
        <v>10.515552848691183</v>
      </c>
      <c r="J12" s="36">
        <v>-1.8173809611974665</v>
      </c>
      <c r="K12" s="36"/>
      <c r="L12" s="36"/>
      <c r="M12" s="36"/>
    </row>
    <row r="13" spans="1:13">
      <c r="A13">
        <v>10</v>
      </c>
      <c r="B13" s="36">
        <v>8.5148259826941235</v>
      </c>
      <c r="C13" s="36">
        <v>6.7338349387383687</v>
      </c>
      <c r="D13" s="36">
        <v>-1.7809910439557548</v>
      </c>
      <c r="E13" s="36">
        <v>1.5656253062121612</v>
      </c>
      <c r="F13" s="36">
        <v>1.5107510094466057</v>
      </c>
      <c r="G13" s="36">
        <v>-5.4874296765555552E-2</v>
      </c>
      <c r="H13" s="36">
        <v>14.730279482637243</v>
      </c>
      <c r="I13" s="36">
        <v>12.632564533370829</v>
      </c>
      <c r="J13" s="36">
        <v>-2.0977149492664147</v>
      </c>
      <c r="K13" s="36"/>
      <c r="L13" s="36"/>
      <c r="M13" s="36"/>
    </row>
    <row r="14" spans="1:13">
      <c r="A14">
        <v>11</v>
      </c>
      <c r="B14" s="36">
        <v>11.710666639129274</v>
      </c>
      <c r="C14" s="36">
        <v>9.3921986825067254</v>
      </c>
      <c r="D14" s="36">
        <v>-2.3184679566225483</v>
      </c>
      <c r="E14" s="36">
        <v>2.6030285170177949</v>
      </c>
      <c r="F14" s="36">
        <v>2.269339782299876</v>
      </c>
      <c r="G14" s="36">
        <v>-0.33368873471791893</v>
      </c>
      <c r="H14" s="36">
        <v>17.320131552855038</v>
      </c>
      <c r="I14" s="36">
        <v>14.92095947508227</v>
      </c>
      <c r="J14" s="36">
        <v>-2.3991720777727679</v>
      </c>
      <c r="K14" s="36"/>
      <c r="L14" s="36"/>
      <c r="M14" s="36"/>
    </row>
    <row r="15" spans="1:13">
      <c r="A15">
        <v>12</v>
      </c>
      <c r="B15" s="36">
        <v>15.421623259634018</v>
      </c>
      <c r="C15" s="36">
        <v>12.711904637405443</v>
      </c>
      <c r="D15" s="36">
        <v>-2.709718622228575</v>
      </c>
      <c r="E15" s="36">
        <v>3.9344876807396028</v>
      </c>
      <c r="F15" s="36">
        <v>3.2338485691960934</v>
      </c>
      <c r="G15" s="36">
        <v>-0.70063911154350933</v>
      </c>
      <c r="H15" s="36">
        <v>20.155626169255804</v>
      </c>
      <c r="I15" s="36">
        <v>17.434847691084919</v>
      </c>
      <c r="J15" s="36">
        <v>-2.7207784781708853</v>
      </c>
      <c r="K15" s="36"/>
      <c r="L15" s="36"/>
      <c r="M15" s="36"/>
    </row>
    <row r="16" spans="1:13">
      <c r="A16">
        <v>13</v>
      </c>
      <c r="B16" s="36">
        <v>19.769322314110223</v>
      </c>
      <c r="C16" s="36">
        <v>16.729443337639793</v>
      </c>
      <c r="D16" s="36">
        <v>-3.0398789764704297</v>
      </c>
      <c r="E16" s="36">
        <v>5.6198833140461328</v>
      </c>
      <c r="F16" s="36">
        <v>4.4986302557434561</v>
      </c>
      <c r="G16" s="36">
        <v>-1.1212530583026767</v>
      </c>
      <c r="H16" s="36">
        <v>23.324670509337956</v>
      </c>
      <c r="I16" s="36">
        <v>20.28369610529294</v>
      </c>
      <c r="J16" s="36">
        <v>-3.0409744040450164</v>
      </c>
      <c r="K16" s="36"/>
      <c r="L16" s="36"/>
      <c r="M16" s="36"/>
    </row>
    <row r="17" spans="1:13">
      <c r="A17">
        <v>14</v>
      </c>
      <c r="B17" s="36">
        <v>24.983017436033908</v>
      </c>
      <c r="C17" s="36">
        <v>18.509142600905278</v>
      </c>
      <c r="D17" s="36">
        <v>-6.4738748351286297</v>
      </c>
      <c r="E17" s="36">
        <v>7.815962083923031</v>
      </c>
      <c r="F17" s="36">
        <v>4.0151975897503984</v>
      </c>
      <c r="G17" s="36">
        <v>-3.8007644941726326</v>
      </c>
      <c r="H17" s="36">
        <v>26.997902177523351</v>
      </c>
      <c r="I17" s="36">
        <v>20.523978889037345</v>
      </c>
      <c r="J17" s="36">
        <v>-6.4739232884860058</v>
      </c>
      <c r="K17" s="36"/>
      <c r="L17" s="36"/>
      <c r="M17" s="36"/>
    </row>
    <row r="18" spans="1:13">
      <c r="A18">
        <v>15</v>
      </c>
      <c r="B18" s="36">
        <v>31.627904896508142</v>
      </c>
      <c r="C18" s="36">
        <v>23.972251136796906</v>
      </c>
      <c r="D18" s="36">
        <v>-7.6556537597112353</v>
      </c>
      <c r="E18" s="36">
        <v>10.974896009184967</v>
      </c>
      <c r="F18" s="36">
        <v>5.8365143827859916</v>
      </c>
      <c r="G18" s="36">
        <v>-5.1383816263989752</v>
      </c>
      <c r="H18" s="36">
        <v>31.627904896508142</v>
      </c>
      <c r="I18" s="36">
        <v>23.972251136796906</v>
      </c>
      <c r="J18" s="36">
        <v>-7.6556537597112353</v>
      </c>
      <c r="K18" s="36"/>
      <c r="L18" s="36"/>
      <c r="M18" s="36"/>
    </row>
    <row r="21" spans="1:13">
      <c r="A21" s="32" t="s">
        <v>229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>
      <c r="A22" s="34" t="s">
        <v>91</v>
      </c>
      <c r="B22" s="34" t="s">
        <v>208</v>
      </c>
      <c r="C22" s="34" t="s">
        <v>209</v>
      </c>
      <c r="D22" s="34" t="s">
        <v>210</v>
      </c>
      <c r="E22" s="34" t="s">
        <v>211</v>
      </c>
      <c r="F22" s="34" t="s">
        <v>212</v>
      </c>
      <c r="G22" s="34" t="s">
        <v>213</v>
      </c>
      <c r="H22" s="34" t="s">
        <v>214</v>
      </c>
      <c r="I22" s="34" t="s">
        <v>215</v>
      </c>
      <c r="J22" s="34" t="s">
        <v>216</v>
      </c>
      <c r="K22" s="34" t="s">
        <v>217</v>
      </c>
      <c r="L22" s="34" t="s">
        <v>218</v>
      </c>
      <c r="M22" s="34" t="s">
        <v>219</v>
      </c>
    </row>
    <row r="23" spans="1:13">
      <c r="A23">
        <v>3</v>
      </c>
      <c r="B23" s="36">
        <v>3.1165913993355123</v>
      </c>
      <c r="C23" s="36">
        <v>3.1165913993355123</v>
      </c>
      <c r="D23" s="36">
        <v>0</v>
      </c>
      <c r="E23" s="36">
        <v>3.7208358975337772</v>
      </c>
      <c r="F23" s="36">
        <v>3.7208358975337772</v>
      </c>
      <c r="G23" s="36">
        <v>0</v>
      </c>
      <c r="H23" s="36">
        <v>6.6719394608249258</v>
      </c>
      <c r="I23" s="36">
        <v>6.6719394608249258</v>
      </c>
      <c r="J23" s="36">
        <v>0</v>
      </c>
      <c r="K23" s="36">
        <v>6.2515797449602744</v>
      </c>
      <c r="L23" s="36">
        <v>6.2515797449602744</v>
      </c>
      <c r="M23" s="36">
        <v>0</v>
      </c>
    </row>
    <row r="24" spans="1:13">
      <c r="A24">
        <v>4</v>
      </c>
      <c r="B24" s="36">
        <v>4.7681819578546634</v>
      </c>
      <c r="C24" s="36">
        <v>4.7681819578546634</v>
      </c>
      <c r="D24" s="36">
        <v>0</v>
      </c>
      <c r="E24" s="36">
        <v>5.7686768513089461</v>
      </c>
      <c r="F24" s="36">
        <v>5.7686768513089461</v>
      </c>
      <c r="G24" s="36">
        <v>0</v>
      </c>
      <c r="H24" s="36">
        <v>10.195332196245669</v>
      </c>
      <c r="I24" s="36">
        <v>10.195332196245669</v>
      </c>
      <c r="J24" s="36">
        <v>0</v>
      </c>
      <c r="K24" s="36">
        <v>10.110818081043449</v>
      </c>
      <c r="L24" s="36">
        <v>10.110818081043449</v>
      </c>
      <c r="M24" s="36">
        <v>0</v>
      </c>
    </row>
    <row r="25" spans="1:13">
      <c r="A25">
        <v>5</v>
      </c>
      <c r="B25" s="36">
        <v>6.4905696503139101</v>
      </c>
      <c r="C25" s="36">
        <v>6.4905696503139101</v>
      </c>
      <c r="D25" s="36">
        <v>0</v>
      </c>
      <c r="E25" s="36">
        <v>7.8072722313506713</v>
      </c>
      <c r="F25" s="36">
        <v>7.8072722313506713</v>
      </c>
      <c r="G25" s="36">
        <v>0</v>
      </c>
      <c r="H25" s="36">
        <v>13.709479357932969</v>
      </c>
      <c r="I25" s="36">
        <v>13.709479357932969</v>
      </c>
      <c r="J25" s="36">
        <v>0</v>
      </c>
      <c r="K25" s="36">
        <v>13.955816700061986</v>
      </c>
      <c r="L25" s="36">
        <v>13.955816700061986</v>
      </c>
      <c r="M25" s="36">
        <v>0</v>
      </c>
    </row>
    <row r="26" spans="1:13">
      <c r="A26">
        <v>6</v>
      </c>
      <c r="B26" s="36">
        <v>8.2917825652790889</v>
      </c>
      <c r="C26" s="36">
        <v>8.2917825652790889</v>
      </c>
      <c r="D26" s="36">
        <v>0</v>
      </c>
      <c r="E26" s="36">
        <v>9.8376814569087028</v>
      </c>
      <c r="F26" s="36">
        <v>9.8376814569087028</v>
      </c>
      <c r="G26" s="36">
        <v>0</v>
      </c>
      <c r="H26" s="36">
        <v>17.215440365136576</v>
      </c>
      <c r="I26" s="36">
        <v>17.215440365136576</v>
      </c>
      <c r="J26" s="36">
        <v>0</v>
      </c>
      <c r="K26" s="36"/>
      <c r="L26" s="36"/>
      <c r="M26" s="36"/>
    </row>
    <row r="27" spans="1:13">
      <c r="A27">
        <v>7</v>
      </c>
      <c r="B27" s="36">
        <v>10.18159101772034</v>
      </c>
      <c r="C27" s="36">
        <v>10.18159101772034</v>
      </c>
      <c r="D27" s="36">
        <v>0</v>
      </c>
      <c r="E27" s="36">
        <v>11.861376040138477</v>
      </c>
      <c r="F27" s="36">
        <v>11.861376040138477</v>
      </c>
      <c r="G27" s="36">
        <v>0</v>
      </c>
      <c r="H27" s="36">
        <v>20.714686730011927</v>
      </c>
      <c r="I27" s="36">
        <v>20.714686730011927</v>
      </c>
      <c r="J27" s="36">
        <v>0</v>
      </c>
      <c r="K27" s="36"/>
      <c r="L27" s="36"/>
      <c r="M27" s="36"/>
    </row>
    <row r="28" spans="1:13">
      <c r="A28">
        <v>8</v>
      </c>
      <c r="B28" s="36">
        <v>12.172127706242218</v>
      </c>
      <c r="C28" s="36">
        <v>12.172127706242218</v>
      </c>
      <c r="D28" s="36">
        <v>0</v>
      </c>
      <c r="E28" s="36">
        <v>13.880438343791056</v>
      </c>
      <c r="F28" s="36">
        <v>13.880438343791056</v>
      </c>
      <c r="G28" s="36">
        <v>0</v>
      </c>
      <c r="H28" s="36">
        <v>24.20930081531008</v>
      </c>
      <c r="I28" s="36">
        <v>24.20930081531008</v>
      </c>
      <c r="J28" s="36">
        <v>0</v>
      </c>
      <c r="K28" s="36"/>
      <c r="L28" s="36"/>
      <c r="M28" s="36"/>
    </row>
    <row r="29" spans="1:13">
      <c r="A29">
        <v>9</v>
      </c>
      <c r="B29" s="36">
        <v>14.278840836092149</v>
      </c>
      <c r="C29" s="36">
        <v>14.278840836092149</v>
      </c>
      <c r="D29" s="36">
        <v>0</v>
      </c>
      <c r="E29" s="36">
        <v>15.897894053115303</v>
      </c>
      <c r="F29" s="36">
        <v>15.897894053115303</v>
      </c>
      <c r="G29" s="36">
        <v>0</v>
      </c>
      <c r="H29" s="36">
        <v>27.7023083062799</v>
      </c>
      <c r="I29" s="36">
        <v>27.7023083062799</v>
      </c>
      <c r="J29" s="36">
        <v>0</v>
      </c>
      <c r="K29" s="36"/>
      <c r="L29" s="36"/>
      <c r="M29" s="36"/>
    </row>
    <row r="30" spans="1:13">
      <c r="A30">
        <v>10</v>
      </c>
      <c r="B30" s="36">
        <v>16.522038643309259</v>
      </c>
      <c r="C30" s="36">
        <v>16.522038643309259</v>
      </c>
      <c r="D30" s="36">
        <v>0</v>
      </c>
      <c r="E30" s="36">
        <v>17.918303047182206</v>
      </c>
      <c r="F30" s="36">
        <v>17.918303047182206</v>
      </c>
      <c r="G30" s="36">
        <v>0</v>
      </c>
      <c r="H30" s="36">
        <v>31.198269081992379</v>
      </c>
      <c r="I30" s="36">
        <v>31.198269081992379</v>
      </c>
      <c r="J30" s="36">
        <v>0</v>
      </c>
      <c r="K30" s="36"/>
      <c r="L30" s="36"/>
      <c r="M30" s="36"/>
    </row>
    <row r="31" spans="1:13">
      <c r="A31">
        <v>11</v>
      </c>
      <c r="B31" s="36">
        <v>18.929569442090305</v>
      </c>
      <c r="C31" s="36">
        <v>18.929569442090305</v>
      </c>
      <c r="D31" s="36">
        <v>0</v>
      </c>
      <c r="E31" s="36">
        <v>19.948894352985782</v>
      </c>
      <c r="F31" s="36">
        <v>19.948894352985782</v>
      </c>
      <c r="G31" s="36">
        <v>0</v>
      </c>
      <c r="H31" s="36">
        <v>34.704412169441525</v>
      </c>
      <c r="I31" s="36">
        <v>34.704412169441525</v>
      </c>
      <c r="J31" s="36">
        <v>0</v>
      </c>
      <c r="K31" s="36"/>
      <c r="L31" s="36"/>
      <c r="M31" s="36"/>
    </row>
    <row r="32" spans="1:13">
      <c r="A32">
        <v>12</v>
      </c>
      <c r="B32" s="36">
        <v>21.541920493180655</v>
      </c>
      <c r="C32" s="36">
        <v>21.541920493180655</v>
      </c>
      <c r="D32" s="36">
        <v>0</v>
      </c>
      <c r="E32" s="36">
        <v>22.001984354304717</v>
      </c>
      <c r="F32" s="36">
        <v>22.001984354304717</v>
      </c>
      <c r="G32" s="36">
        <v>0</v>
      </c>
      <c r="H32" s="36">
        <v>38.233053952406038</v>
      </c>
      <c r="I32" s="36">
        <v>38.233053952406038</v>
      </c>
      <c r="J32" s="36">
        <v>0</v>
      </c>
      <c r="K32" s="36"/>
      <c r="L32" s="36"/>
      <c r="M32" s="36"/>
    </row>
    <row r="33" spans="1:13">
      <c r="A33">
        <v>13</v>
      </c>
      <c r="B33" s="36">
        <v>24.423282701613893</v>
      </c>
      <c r="C33" s="36">
        <v>24.423282701613893</v>
      </c>
      <c r="D33" s="36">
        <v>0</v>
      </c>
      <c r="E33" s="36">
        <v>24.100941961652325</v>
      </c>
      <c r="F33" s="36">
        <v>24.100941961652325</v>
      </c>
      <c r="G33" s="36">
        <v>0</v>
      </c>
      <c r="H33" s="36">
        <v>41.807563341399224</v>
      </c>
      <c r="I33" s="36">
        <v>41.807563341399224</v>
      </c>
      <c r="J33" s="36">
        <v>0</v>
      </c>
      <c r="K33" s="36"/>
      <c r="L33" s="36"/>
      <c r="M33" s="36"/>
    </row>
    <row r="34" spans="1:13">
      <c r="A34">
        <v>14</v>
      </c>
      <c r="B34" s="36">
        <v>27.691077836098021</v>
      </c>
      <c r="C34" s="36">
        <v>27.691077836098021</v>
      </c>
      <c r="D34" s="36">
        <v>0</v>
      </c>
      <c r="E34" s="36">
        <v>26.298650422599042</v>
      </c>
      <c r="F34" s="36">
        <v>26.298650422599042</v>
      </c>
      <c r="G34" s="36">
        <v>0</v>
      </c>
      <c r="H34" s="36">
        <v>45.480823583991516</v>
      </c>
      <c r="I34" s="36">
        <v>45.480823583991516</v>
      </c>
      <c r="J34" s="36">
        <v>0</v>
      </c>
      <c r="K34" s="36"/>
      <c r="L34" s="36"/>
      <c r="M34" s="36"/>
    </row>
    <row r="35" spans="1:13">
      <c r="A35">
        <v>15</v>
      </c>
      <c r="B35" s="36">
        <v>31.632612219660803</v>
      </c>
      <c r="C35" s="36">
        <v>31.632612219660803</v>
      </c>
      <c r="D35" s="36">
        <v>0</v>
      </c>
      <c r="E35" s="36">
        <v>28.76463302451625</v>
      </c>
      <c r="F35" s="36">
        <v>28.76463302451625</v>
      </c>
      <c r="G35" s="36">
        <v>0</v>
      </c>
      <c r="H35" s="36">
        <v>49.422357967554298</v>
      </c>
      <c r="I35" s="36">
        <v>49.422357967554298</v>
      </c>
      <c r="J35" s="36">
        <v>0</v>
      </c>
      <c r="K35" s="36"/>
      <c r="L35" s="36"/>
      <c r="M35" s="36"/>
    </row>
    <row r="38" spans="1:13">
      <c r="A38" s="32" t="s">
        <v>221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>
      <c r="A39" s="34" t="s">
        <v>91</v>
      </c>
      <c r="B39" s="34" t="s">
        <v>208</v>
      </c>
      <c r="C39" s="34" t="s">
        <v>209</v>
      </c>
      <c r="D39" s="34" t="s">
        <v>210</v>
      </c>
      <c r="E39" s="34" t="s">
        <v>211</v>
      </c>
      <c r="F39" s="34" t="s">
        <v>212</v>
      </c>
      <c r="G39" s="34" t="s">
        <v>213</v>
      </c>
      <c r="H39" s="34" t="s">
        <v>214</v>
      </c>
      <c r="I39" s="34" t="s">
        <v>215</v>
      </c>
      <c r="J39" s="34" t="s">
        <v>216</v>
      </c>
      <c r="K39" s="34" t="s">
        <v>217</v>
      </c>
      <c r="L39" s="34" t="s">
        <v>218</v>
      </c>
      <c r="M39" s="34" t="s">
        <v>219</v>
      </c>
    </row>
    <row r="40" spans="1:13">
      <c r="A40">
        <v>3</v>
      </c>
      <c r="B40" s="36">
        <v>0.62331835029115834</v>
      </c>
      <c r="C40" s="36">
        <v>0.62335010496909893</v>
      </c>
      <c r="D40" s="36">
        <v>3.1754677940587506E-5</v>
      </c>
      <c r="E40" s="36">
        <v>0.74418033098354264</v>
      </c>
      <c r="F40" s="36">
        <v>0.7445359272399259</v>
      </c>
      <c r="G40" s="36">
        <v>3.5559625638326153E-4</v>
      </c>
      <c r="H40" s="36">
        <v>1.999640529629179</v>
      </c>
      <c r="I40" s="36">
        <v>1.8879856569020887</v>
      </c>
      <c r="J40" s="36">
        <v>-0.11165487272709029</v>
      </c>
      <c r="K40" s="36">
        <v>1.6823574103239072</v>
      </c>
      <c r="L40" s="36">
        <v>1.5769445248280438</v>
      </c>
      <c r="M40" s="36">
        <v>-0.10541288549586336</v>
      </c>
    </row>
    <row r="41" spans="1:13">
      <c r="A41">
        <v>4</v>
      </c>
      <c r="B41" s="36">
        <v>0.95378664045661632</v>
      </c>
      <c r="C41" s="36">
        <v>0.95915785397151188</v>
      </c>
      <c r="D41" s="36">
        <v>5.3712135148955564E-3</v>
      </c>
      <c r="E41" s="36">
        <v>1.1538941610208391</v>
      </c>
      <c r="F41" s="36">
        <v>1.1576731728313647</v>
      </c>
      <c r="G41" s="36">
        <v>3.7790118105256454E-3</v>
      </c>
      <c r="H41" s="36">
        <v>3.9082933986985759</v>
      </c>
      <c r="I41" s="36">
        <v>3.5382060006231177</v>
      </c>
      <c r="J41" s="36">
        <v>-0.37008739807545821</v>
      </c>
      <c r="K41" s="36">
        <v>4.3591141686102404</v>
      </c>
      <c r="L41" s="36">
        <v>3.8707813241235085</v>
      </c>
      <c r="M41" s="36">
        <v>-0.48833284448673187</v>
      </c>
    </row>
    <row r="42" spans="1:13">
      <c r="A42">
        <v>5</v>
      </c>
      <c r="B42" s="36">
        <v>1.3231421171123696</v>
      </c>
      <c r="C42" s="36">
        <v>1.3935409637088179</v>
      </c>
      <c r="D42" s="36">
        <v>7.0398846596448239E-2</v>
      </c>
      <c r="E42" s="36">
        <v>1.5632453949614362</v>
      </c>
      <c r="F42" s="36">
        <v>1.5837604727040868</v>
      </c>
      <c r="G42" s="36">
        <v>2.05150777426506E-2</v>
      </c>
      <c r="H42" s="36">
        <v>6.0233599701435008</v>
      </c>
      <c r="I42" s="36">
        <v>5.4015772832490514</v>
      </c>
      <c r="J42" s="36">
        <v>-0.62178268689444938</v>
      </c>
      <c r="K42" s="36">
        <v>7.5509667720909199</v>
      </c>
      <c r="L42" s="36">
        <v>7.9749743638080313</v>
      </c>
      <c r="M42" s="36">
        <v>0.42400759171711133</v>
      </c>
    </row>
    <row r="43" spans="1:13">
      <c r="A43">
        <v>6</v>
      </c>
      <c r="B43" s="36">
        <v>1.9743571202217456</v>
      </c>
      <c r="C43" s="36">
        <v>2.1069000771252613</v>
      </c>
      <c r="D43" s="36">
        <v>0.1325429569035157</v>
      </c>
      <c r="E43" s="36">
        <v>1.9822516262843686</v>
      </c>
      <c r="F43" s="36">
        <v>2.0447192889025305</v>
      </c>
      <c r="G43" s="36">
        <v>6.2467662618161945E-2</v>
      </c>
      <c r="H43" s="36">
        <v>8.2356042929450357</v>
      </c>
      <c r="I43" s="36">
        <v>7.3953846458702319</v>
      </c>
      <c r="J43" s="36">
        <v>-0.84021964707480379</v>
      </c>
      <c r="K43" s="36"/>
      <c r="L43" s="36"/>
      <c r="M43" s="36"/>
    </row>
    <row r="44" spans="1:13">
      <c r="A44">
        <v>7</v>
      </c>
      <c r="B44" s="36">
        <v>3.2817888718168282</v>
      </c>
      <c r="C44" s="36">
        <v>3.2006448541101995</v>
      </c>
      <c r="D44" s="36">
        <v>-8.1144017706628713E-2</v>
      </c>
      <c r="E44" s="36">
        <v>2.4498240797640656</v>
      </c>
      <c r="F44" s="36">
        <v>2.5679333771109407</v>
      </c>
      <c r="G44" s="36">
        <v>0.11810929734687514</v>
      </c>
      <c r="H44" s="36">
        <v>10.530597794022945</v>
      </c>
      <c r="I44" s="36">
        <v>9.4883693228221944</v>
      </c>
      <c r="J44" s="36">
        <v>-1.042228471200751</v>
      </c>
      <c r="K44" s="36"/>
      <c r="L44" s="36"/>
      <c r="M44" s="36"/>
    </row>
    <row r="45" spans="1:13">
      <c r="A45">
        <v>8</v>
      </c>
      <c r="B45" s="36">
        <v>5.1739365807481503</v>
      </c>
      <c r="C45" s="36">
        <v>4.6560758940367517</v>
      </c>
      <c r="D45" s="36">
        <v>-0.51786068671139862</v>
      </c>
      <c r="E45" s="36">
        <v>3.0413140753115262</v>
      </c>
      <c r="F45" s="36">
        <v>3.1850701178143117</v>
      </c>
      <c r="G45" s="36">
        <v>0.14375604250278551</v>
      </c>
      <c r="H45" s="36">
        <v>12.916030851089488</v>
      </c>
      <c r="I45" s="36">
        <v>11.672351427081562</v>
      </c>
      <c r="J45" s="36">
        <v>-1.2436794240079259</v>
      </c>
      <c r="K45" s="36"/>
      <c r="L45" s="36"/>
      <c r="M45" s="36"/>
    </row>
    <row r="46" spans="1:13">
      <c r="A46">
        <v>9</v>
      </c>
      <c r="B46" s="36">
        <v>7.4660720298041046</v>
      </c>
      <c r="C46" s="36">
        <v>6.5009168008240987</v>
      </c>
      <c r="D46" s="36">
        <v>-0.96515522898000583</v>
      </c>
      <c r="E46" s="36">
        <v>3.8270244042187072</v>
      </c>
      <c r="F46" s="36">
        <v>3.9222006078456246</v>
      </c>
      <c r="G46" s="36">
        <v>9.5176203626917477E-2</v>
      </c>
      <c r="H46" s="36">
        <v>15.406808709166899</v>
      </c>
      <c r="I46" s="36">
        <v>13.952903940208927</v>
      </c>
      <c r="J46" s="36">
        <v>-1.4539047689579725</v>
      </c>
      <c r="K46" s="36"/>
      <c r="L46" s="36"/>
      <c r="M46" s="36"/>
    </row>
    <row r="47" spans="1:13">
      <c r="A47">
        <v>10</v>
      </c>
      <c r="B47" s="36">
        <v>10.116268514817147</v>
      </c>
      <c r="C47" s="36">
        <v>8.6914756796525445</v>
      </c>
      <c r="D47" s="36">
        <v>-1.4247928351646024</v>
      </c>
      <c r="E47" s="36">
        <v>4.8361608544061694</v>
      </c>
      <c r="F47" s="36">
        <v>4.7922614169937248</v>
      </c>
      <c r="G47" s="36">
        <v>-4.389943741244462E-2</v>
      </c>
      <c r="H47" s="36">
        <v>18.023877402508269</v>
      </c>
      <c r="I47" s="36">
        <v>16.345705443095138</v>
      </c>
      <c r="J47" s="36">
        <v>-1.678171959413131</v>
      </c>
      <c r="K47" s="36"/>
      <c r="L47" s="36"/>
      <c r="M47" s="36"/>
    </row>
    <row r="48" spans="1:13">
      <c r="A48">
        <v>11</v>
      </c>
      <c r="B48" s="36">
        <v>13.154447199721478</v>
      </c>
      <c r="C48" s="36">
        <v>11.29967283442344</v>
      </c>
      <c r="D48" s="36">
        <v>-1.854774365298038</v>
      </c>
      <c r="E48" s="36">
        <v>6.0722016842113922</v>
      </c>
      <c r="F48" s="36">
        <v>5.8052506964370574</v>
      </c>
      <c r="G48" s="36">
        <v>-0.26695098777433479</v>
      </c>
      <c r="H48" s="36">
        <v>20.796987676172336</v>
      </c>
      <c r="I48" s="36">
        <v>18.877650013954121</v>
      </c>
      <c r="J48" s="36">
        <v>-1.919337662218215</v>
      </c>
      <c r="K48" s="36"/>
      <c r="L48" s="36"/>
      <c r="M48" s="36"/>
    </row>
    <row r="49" spans="1:13">
      <c r="A49">
        <v>12</v>
      </c>
      <c r="B49" s="36">
        <v>16.645682706343347</v>
      </c>
      <c r="C49" s="36">
        <v>14.477907808560484</v>
      </c>
      <c r="D49" s="36">
        <v>-2.1677748977828628</v>
      </c>
      <c r="E49" s="36">
        <v>7.547987015452625</v>
      </c>
      <c r="F49" s="36">
        <v>6.9874757262178182</v>
      </c>
      <c r="G49" s="36">
        <v>-0.56051128923480675</v>
      </c>
      <c r="H49" s="36">
        <v>23.771111725885852</v>
      </c>
      <c r="I49" s="36">
        <v>21.594488943349141</v>
      </c>
      <c r="J49" s="36">
        <v>-2.176622782536711</v>
      </c>
      <c r="K49" s="36"/>
      <c r="L49" s="36"/>
      <c r="M49" s="36"/>
    </row>
    <row r="50" spans="1:13">
      <c r="A50">
        <v>13</v>
      </c>
      <c r="B50" s="36">
        <v>20.70011439161096</v>
      </c>
      <c r="C50" s="36">
        <v>18.268211210434611</v>
      </c>
      <c r="D50" s="36">
        <v>-2.4319031811763487</v>
      </c>
      <c r="E50" s="36">
        <v>9.3160950435673691</v>
      </c>
      <c r="F50" s="36">
        <v>8.4190925969252284</v>
      </c>
      <c r="G50" s="36">
        <v>-0.89700244664214068</v>
      </c>
      <c r="H50" s="36">
        <v>27.021249075750212</v>
      </c>
      <c r="I50" s="36">
        <v>24.588469552514194</v>
      </c>
      <c r="J50" s="36">
        <v>-2.4327795232360181</v>
      </c>
      <c r="K50" s="36"/>
      <c r="L50" s="36"/>
      <c r="M50" s="36"/>
    </row>
    <row r="51" spans="1:13">
      <c r="A51">
        <v>14</v>
      </c>
      <c r="B51" s="36">
        <v>25.52462951604673</v>
      </c>
      <c r="C51" s="36">
        <v>20.247951258468564</v>
      </c>
      <c r="D51" s="36">
        <v>-5.2766782575781654</v>
      </c>
      <c r="E51" s="36">
        <v>11.512499751658231</v>
      </c>
      <c r="F51" s="36">
        <v>8.4613357518574048</v>
      </c>
      <c r="G51" s="36">
        <v>-3.051163999800826</v>
      </c>
      <c r="H51" s="36">
        <v>30.694486458816982</v>
      </c>
      <c r="I51" s="36">
        <v>25.417769438552913</v>
      </c>
      <c r="J51" s="36">
        <v>-5.2767170202640692</v>
      </c>
      <c r="K51" s="36"/>
      <c r="L51" s="36"/>
      <c r="M51" s="36"/>
    </row>
    <row r="52" spans="1:13">
      <c r="A52">
        <v>15</v>
      </c>
      <c r="B52" s="36">
        <v>31.62884636113867</v>
      </c>
      <c r="C52" s="36">
        <v>25.398277989863892</v>
      </c>
      <c r="D52" s="36">
        <v>-6.2305683712747779</v>
      </c>
      <c r="E52" s="36">
        <v>14.532843412251221</v>
      </c>
      <c r="F52" s="36">
        <v>10.40981303917822</v>
      </c>
      <c r="G52" s="36">
        <v>-4.1230303730730018</v>
      </c>
      <c r="H52" s="36">
        <v>35.186795510717374</v>
      </c>
      <c r="I52" s="36">
        <v>28.956227139442593</v>
      </c>
      <c r="J52" s="36">
        <v>-6.2305683712747815</v>
      </c>
      <c r="K52" s="36"/>
      <c r="L52" s="36"/>
      <c r="M52" s="36"/>
    </row>
    <row r="55" spans="1:13">
      <c r="A55" s="40" t="s">
        <v>230</v>
      </c>
      <c r="B55" s="40"/>
      <c r="C55" s="40"/>
      <c r="D55" s="40"/>
      <c r="E55" s="40"/>
      <c r="F55" s="40"/>
      <c r="G55" s="40"/>
      <c r="H55" s="40"/>
      <c r="I55" s="40"/>
    </row>
    <row r="56" spans="1:13">
      <c r="A56" s="33" t="s">
        <v>91</v>
      </c>
      <c r="B56" s="33" t="s">
        <v>231</v>
      </c>
      <c r="C56" s="33" t="s">
        <v>232</v>
      </c>
      <c r="D56" s="33" t="s">
        <v>233</v>
      </c>
      <c r="E56" s="33" t="s">
        <v>234</v>
      </c>
      <c r="F56" s="33" t="s">
        <v>235</v>
      </c>
      <c r="G56" s="33" t="s">
        <v>236</v>
      </c>
      <c r="H56" s="33" t="s">
        <v>237</v>
      </c>
      <c r="I56" s="33" t="s">
        <v>238</v>
      </c>
    </row>
    <row r="57" spans="1:13">
      <c r="A57">
        <v>3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</row>
    <row r="58" spans="1:13">
      <c r="A58">
        <v>4</v>
      </c>
      <c r="B58">
        <v>5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</row>
    <row r="59" spans="1:13">
      <c r="A59">
        <v>5</v>
      </c>
      <c r="B59">
        <v>5</v>
      </c>
      <c r="C59">
        <v>5</v>
      </c>
      <c r="D59">
        <v>5</v>
      </c>
      <c r="E59">
        <v>2</v>
      </c>
      <c r="F59">
        <v>5</v>
      </c>
      <c r="G59">
        <v>5</v>
      </c>
      <c r="H59">
        <v>5</v>
      </c>
      <c r="I59">
        <v>2</v>
      </c>
    </row>
    <row r="60" spans="1:13">
      <c r="A60">
        <v>6</v>
      </c>
      <c r="B60">
        <v>5</v>
      </c>
      <c r="C60">
        <v>5</v>
      </c>
      <c r="D60">
        <v>5</v>
      </c>
      <c r="E60">
        <v>0</v>
      </c>
      <c r="F60">
        <v>5</v>
      </c>
      <c r="G60">
        <v>5</v>
      </c>
      <c r="H60">
        <v>5</v>
      </c>
      <c r="I60">
        <v>0</v>
      </c>
    </row>
    <row r="61" spans="1:13">
      <c r="A61">
        <v>7</v>
      </c>
      <c r="B61">
        <v>5</v>
      </c>
      <c r="C61">
        <v>5</v>
      </c>
      <c r="D61">
        <v>5</v>
      </c>
      <c r="E61">
        <v>0</v>
      </c>
      <c r="F61">
        <v>5</v>
      </c>
      <c r="G61">
        <v>5</v>
      </c>
      <c r="H61">
        <v>5</v>
      </c>
      <c r="I61">
        <v>0</v>
      </c>
    </row>
    <row r="62" spans="1:13">
      <c r="A62">
        <v>8</v>
      </c>
      <c r="B62">
        <v>5</v>
      </c>
      <c r="C62">
        <v>5</v>
      </c>
      <c r="D62">
        <v>5</v>
      </c>
      <c r="E62">
        <v>0</v>
      </c>
      <c r="F62">
        <v>5</v>
      </c>
      <c r="G62">
        <v>5</v>
      </c>
      <c r="H62">
        <v>5</v>
      </c>
      <c r="I62">
        <v>0</v>
      </c>
    </row>
    <row r="63" spans="1:13">
      <c r="A63">
        <v>9</v>
      </c>
      <c r="B63">
        <v>5</v>
      </c>
      <c r="C63">
        <v>5</v>
      </c>
      <c r="D63">
        <v>5</v>
      </c>
      <c r="E63">
        <v>0</v>
      </c>
      <c r="F63">
        <v>5</v>
      </c>
      <c r="G63">
        <v>5</v>
      </c>
      <c r="H63">
        <v>5</v>
      </c>
      <c r="I63">
        <v>0</v>
      </c>
    </row>
    <row r="64" spans="1:13">
      <c r="A64">
        <v>10</v>
      </c>
      <c r="B64">
        <v>5</v>
      </c>
      <c r="C64">
        <v>5</v>
      </c>
      <c r="D64">
        <v>5</v>
      </c>
      <c r="E64">
        <v>0</v>
      </c>
      <c r="F64">
        <v>5</v>
      </c>
      <c r="G64">
        <v>5</v>
      </c>
      <c r="H64">
        <v>5</v>
      </c>
      <c r="I64">
        <v>0</v>
      </c>
    </row>
    <row r="65" spans="1:9">
      <c r="A65">
        <v>11</v>
      </c>
      <c r="B65">
        <v>5</v>
      </c>
      <c r="C65">
        <v>5</v>
      </c>
      <c r="D65">
        <v>5</v>
      </c>
      <c r="E65">
        <v>0</v>
      </c>
      <c r="F65">
        <v>5</v>
      </c>
      <c r="G65">
        <v>5</v>
      </c>
      <c r="H65">
        <v>5</v>
      </c>
      <c r="I65">
        <v>0</v>
      </c>
    </row>
    <row r="66" spans="1:9">
      <c r="A66">
        <v>12</v>
      </c>
      <c r="B66">
        <v>5</v>
      </c>
      <c r="C66">
        <v>5</v>
      </c>
      <c r="D66">
        <v>5</v>
      </c>
      <c r="E66">
        <v>0</v>
      </c>
      <c r="F66">
        <v>5</v>
      </c>
      <c r="G66">
        <v>5</v>
      </c>
      <c r="H66">
        <v>5</v>
      </c>
      <c r="I66">
        <v>0</v>
      </c>
    </row>
    <row r="67" spans="1:9">
      <c r="A67">
        <v>13</v>
      </c>
      <c r="B67">
        <v>5</v>
      </c>
      <c r="C67">
        <v>5</v>
      </c>
      <c r="D67">
        <v>5</v>
      </c>
      <c r="E67">
        <v>0</v>
      </c>
      <c r="F67">
        <v>5</v>
      </c>
      <c r="G67">
        <v>5</v>
      </c>
      <c r="H67">
        <v>5</v>
      </c>
      <c r="I67">
        <v>0</v>
      </c>
    </row>
    <row r="68" spans="1:9">
      <c r="A68">
        <v>14</v>
      </c>
      <c r="B68">
        <v>4</v>
      </c>
      <c r="C68">
        <v>4</v>
      </c>
      <c r="D68">
        <v>4</v>
      </c>
      <c r="E68">
        <v>0</v>
      </c>
      <c r="F68">
        <v>4</v>
      </c>
      <c r="G68">
        <v>4</v>
      </c>
      <c r="H68">
        <v>4</v>
      </c>
      <c r="I68">
        <v>0</v>
      </c>
    </row>
    <row r="69" spans="1:9">
      <c r="A69">
        <v>15</v>
      </c>
      <c r="B69">
        <v>4</v>
      </c>
      <c r="C69">
        <v>4</v>
      </c>
      <c r="D69">
        <v>4</v>
      </c>
      <c r="E69">
        <v>0</v>
      </c>
      <c r="F69">
        <v>4</v>
      </c>
      <c r="G69">
        <v>4</v>
      </c>
      <c r="H69">
        <v>4</v>
      </c>
      <c r="I69">
        <v>0</v>
      </c>
    </row>
  </sheetData>
  <mergeCells count="2">
    <mergeCell ref="A1:M1"/>
    <mergeCell ref="A2:M2"/>
  </mergeCells>
  <conditionalFormatting sqref="D1">
    <cfRule type="colorScale" priority="1">
      <colorScale>
        <cfvo type="min"/>
        <cfvo type="percentile" val="50"/>
        <cfvo type="max"/>
        <color rgb="FFFCE4D6"/>
        <color rgb="FFFFFFFF"/>
        <color rgb="FFD9EAD3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FCE4D6"/>
        <color rgb="FFFFFFFF"/>
        <color rgb="FFD9EAD3"/>
      </colorScale>
    </cfRule>
  </conditionalFormatting>
  <conditionalFormatting sqref="J1">
    <cfRule type="colorScale" priority="3">
      <colorScale>
        <cfvo type="min"/>
        <cfvo type="percentile" val="50"/>
        <cfvo type="max"/>
        <color rgb="FFFCE4D6"/>
        <color rgb="FFFFFFFF"/>
        <color rgb="FFD9EAD3"/>
      </colorScale>
    </cfRule>
  </conditionalFormatting>
  <conditionalFormatting sqref="M1">
    <cfRule type="colorScale" priority="4">
      <colorScale>
        <cfvo type="min"/>
        <cfvo type="percentile" val="50"/>
        <cfvo type="max"/>
        <color rgb="FFFCE4D6"/>
        <color rgb="FFFFFFFF"/>
        <color rgb="FFD9EAD3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52"/>
  <sheetViews>
    <sheetView workbookViewId="0"/>
  </sheetViews>
  <sheetFormatPr defaultRowHeight="14.15"/>
  <cols>
    <col min="1" max="1" width="8" customWidth="1"/>
    <col min="2" max="13" width="13" customWidth="1"/>
  </cols>
  <sheetData>
    <row r="1" spans="1:13" ht="20.149999999999999">
      <c r="A1" s="51" t="s">
        <v>239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7.149999999999999" customHeight="1">
      <c r="A2" s="46" t="s">
        <v>240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spans="1:13">
      <c r="A4" s="32" t="s">
        <v>224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>
      <c r="A5" s="34" t="s">
        <v>91</v>
      </c>
      <c r="B5" s="34" t="s">
        <v>208</v>
      </c>
      <c r="C5" s="34" t="s">
        <v>209</v>
      </c>
      <c r="D5" s="34" t="s">
        <v>210</v>
      </c>
      <c r="E5" s="34" t="s">
        <v>211</v>
      </c>
      <c r="F5" s="34" t="s">
        <v>212</v>
      </c>
      <c r="G5" s="34" t="s">
        <v>213</v>
      </c>
      <c r="H5" s="34" t="s">
        <v>214</v>
      </c>
      <c r="I5" s="34" t="s">
        <v>215</v>
      </c>
      <c r="J5" s="34" t="s">
        <v>216</v>
      </c>
      <c r="K5" s="34" t="s">
        <v>217</v>
      </c>
      <c r="L5" s="34" t="s">
        <v>218</v>
      </c>
      <c r="M5" s="34" t="s">
        <v>219</v>
      </c>
    </row>
    <row r="6" spans="1:13">
      <c r="A6">
        <v>3</v>
      </c>
      <c r="B6" s="5">
        <v>0.99999991196993965</v>
      </c>
      <c r="C6" s="5">
        <v>0.99996022256989325</v>
      </c>
      <c r="D6" s="5">
        <v>-3.9689400046394319E-5</v>
      </c>
      <c r="E6" s="5">
        <v>0.99998356078956285</v>
      </c>
      <c r="F6" s="5">
        <v>0.99953958093330753</v>
      </c>
      <c r="G6" s="5">
        <v>-4.4397985625532765E-4</v>
      </c>
      <c r="H6" s="5">
        <v>0.44134400727273765</v>
      </c>
      <c r="I6" s="5">
        <v>0.5781961305758806</v>
      </c>
      <c r="J6" s="5">
        <v>0.13685212330314295</v>
      </c>
      <c r="K6" s="5">
        <v>0.58422290704257163</v>
      </c>
      <c r="L6" s="5">
        <v>0.69587161306238376</v>
      </c>
      <c r="M6" s="5">
        <v>0.11164870601981214</v>
      </c>
    </row>
    <row r="7" spans="1:13">
      <c r="A7">
        <v>4</v>
      </c>
      <c r="B7" s="5">
        <v>0.9998122329124286</v>
      </c>
      <c r="C7" s="5">
        <v>0.99321276069452558</v>
      </c>
      <c r="D7" s="5">
        <v>-6.5994722179030241E-3</v>
      </c>
      <c r="E7" s="5">
        <v>0.99980153140037997</v>
      </c>
      <c r="F7" s="5">
        <v>0.9951358837739509</v>
      </c>
      <c r="G7" s="5">
        <v>-4.6656476264290703E-3</v>
      </c>
      <c r="H7" s="5">
        <v>0.10150126181899348</v>
      </c>
      <c r="I7" s="5">
        <v>0.30645001065530747</v>
      </c>
      <c r="J7" s="5">
        <v>0.20494874883631398</v>
      </c>
      <c r="K7" s="5">
        <v>5.6982805582779572E-2</v>
      </c>
      <c r="L7" s="5">
        <v>0.17331684103940057</v>
      </c>
      <c r="M7" s="5">
        <v>0.11633403545662099</v>
      </c>
    </row>
    <row r="8" spans="1:13">
      <c r="A8">
        <v>5</v>
      </c>
      <c r="B8" s="5">
        <v>0.96984709994380847</v>
      </c>
      <c r="C8" s="5">
        <v>0.90409590552879382</v>
      </c>
      <c r="D8" s="5">
        <v>-6.5751194415014647E-2</v>
      </c>
      <c r="E8" s="5">
        <v>0.9977638462583881</v>
      </c>
      <c r="F8" s="5">
        <v>0.973857625784051</v>
      </c>
      <c r="G8" s="5">
        <v>-2.3906220474337103E-2</v>
      </c>
      <c r="H8" s="5">
        <v>1.8151365314086232E-2</v>
      </c>
      <c r="I8" s="5">
        <v>0.1673819088980148</v>
      </c>
      <c r="J8" s="5">
        <v>0.14923054358392857</v>
      </c>
      <c r="K8" s="5">
        <v>2.6064808778946125E-3</v>
      </c>
      <c r="L8" s="5">
        <v>1.7547470919194175E-3</v>
      </c>
      <c r="M8" s="5">
        <v>-8.51733785975195E-4</v>
      </c>
    </row>
    <row r="9" spans="1:13">
      <c r="A9">
        <v>6</v>
      </c>
      <c r="B9" s="5">
        <v>0.70417307559875653</v>
      </c>
      <c r="C9" s="5">
        <v>0.69586053101715473</v>
      </c>
      <c r="D9" s="5">
        <v>-8.3125445816017995E-3</v>
      </c>
      <c r="E9" s="5">
        <v>0.98177584640801552</v>
      </c>
      <c r="F9" s="5">
        <v>0.9207432561869423</v>
      </c>
      <c r="G9" s="5">
        <v>-6.1032590221073213E-2</v>
      </c>
      <c r="H9" s="5">
        <v>2.8913565287411735E-3</v>
      </c>
      <c r="I9" s="5">
        <v>8.2760990633998444E-2</v>
      </c>
      <c r="J9" s="5">
        <v>7.986963410525727E-2</v>
      </c>
      <c r="K9" s="5"/>
      <c r="L9" s="5"/>
      <c r="M9" s="5"/>
    </row>
    <row r="10" spans="1:13">
      <c r="A10">
        <v>7</v>
      </c>
      <c r="B10" s="5">
        <v>0.24888080110429409</v>
      </c>
      <c r="C10" s="5">
        <v>0.49244784557212407</v>
      </c>
      <c r="D10" s="5">
        <v>0.24356704446782998</v>
      </c>
      <c r="E10" s="5">
        <v>0.9076506509235488</v>
      </c>
      <c r="F10" s="5">
        <v>0.83413145508626996</v>
      </c>
      <c r="G10" s="5">
        <v>-7.3519195837278839E-2</v>
      </c>
      <c r="H10" s="5">
        <v>4.1814580697969729E-4</v>
      </c>
      <c r="I10" s="5">
        <v>3.6164184842991089E-2</v>
      </c>
      <c r="J10" s="5">
        <v>3.5746039036011389E-2</v>
      </c>
      <c r="K10" s="5"/>
      <c r="L10" s="5"/>
      <c r="M10" s="5"/>
    </row>
    <row r="11" spans="1:13">
      <c r="A11">
        <v>8</v>
      </c>
      <c r="B11" s="5">
        <v>4.2490424192943445E-2</v>
      </c>
      <c r="C11" s="5">
        <v>0.35899641323983961</v>
      </c>
      <c r="D11" s="5">
        <v>0.31650598904689614</v>
      </c>
      <c r="E11" s="5">
        <v>0.71804200459579959</v>
      </c>
      <c r="F11" s="5">
        <v>0.71619980510381276</v>
      </c>
      <c r="G11" s="5">
        <v>-1.842199491986829E-3</v>
      </c>
      <c r="H11" s="5">
        <v>5.4389285419831349E-5</v>
      </c>
      <c r="I11" s="5">
        <v>1.4451615917136795E-2</v>
      </c>
      <c r="J11" s="5">
        <v>1.4397226631716963E-2</v>
      </c>
      <c r="K11" s="5"/>
      <c r="L11" s="5"/>
      <c r="M11" s="5"/>
    </row>
    <row r="12" spans="1:13">
      <c r="A12">
        <v>9</v>
      </c>
      <c r="B12" s="5">
        <v>4.4517478674370283E-3</v>
      </c>
      <c r="C12" s="5">
        <v>0.24225798227769743</v>
      </c>
      <c r="D12" s="5">
        <v>0.23780623441026041</v>
      </c>
      <c r="E12" s="5">
        <v>0.44566351389452485</v>
      </c>
      <c r="F12" s="5">
        <v>0.58648173713523877</v>
      </c>
      <c r="G12" s="5">
        <v>0.14081822324071391</v>
      </c>
      <c r="H12" s="5">
        <v>6.2457041063224142E-6</v>
      </c>
      <c r="I12" s="5">
        <v>5.4127312703617257E-3</v>
      </c>
      <c r="J12" s="5">
        <v>5.4064855662554036E-3</v>
      </c>
      <c r="K12" s="5"/>
      <c r="L12" s="5"/>
      <c r="M12" s="5"/>
    </row>
    <row r="13" spans="1:13">
      <c r="A13">
        <v>10</v>
      </c>
      <c r="B13" s="5">
        <v>3.0875702659101113E-4</v>
      </c>
      <c r="C13" s="5">
        <v>0.20424083604244289</v>
      </c>
      <c r="D13" s="5">
        <v>0.20393207901585189</v>
      </c>
      <c r="E13" s="5">
        <v>0.20949812063910142</v>
      </c>
      <c r="F13" s="5">
        <v>0.48505563232498189</v>
      </c>
      <c r="G13" s="5">
        <v>0.2755575116858805</v>
      </c>
      <c r="H13" s="5">
        <v>6.1703524958378606E-7</v>
      </c>
      <c r="I13" s="5">
        <v>1.9156897357010428E-3</v>
      </c>
      <c r="J13" s="5">
        <v>1.9150727004514591E-3</v>
      </c>
      <c r="K13" s="5"/>
      <c r="L13" s="5"/>
      <c r="M13" s="5"/>
    </row>
    <row r="14" spans="1:13">
      <c r="A14">
        <v>11</v>
      </c>
      <c r="B14" s="5">
        <v>1.3809183132074132E-5</v>
      </c>
      <c r="C14" s="5">
        <v>0.116777259573866</v>
      </c>
      <c r="D14" s="5">
        <v>0.11676345039073394</v>
      </c>
      <c r="E14" s="5">
        <v>7.4391483709648015E-2</v>
      </c>
      <c r="F14" s="5">
        <v>0.42962319482174605</v>
      </c>
      <c r="G14" s="5">
        <v>0.35523171111209806</v>
      </c>
      <c r="H14" s="5">
        <v>5.0583608857124318E-8</v>
      </c>
      <c r="I14" s="5">
        <v>6.3857300958636287E-4</v>
      </c>
      <c r="J14" s="5">
        <v>6.3852242597750575E-4</v>
      </c>
      <c r="K14" s="5"/>
      <c r="L14" s="5"/>
      <c r="M14" s="5"/>
    </row>
    <row r="15" spans="1:13">
      <c r="A15">
        <v>12</v>
      </c>
      <c r="B15" s="5">
        <v>3.7091197948591057E-7</v>
      </c>
      <c r="C15" s="5">
        <v>2.1312118729558783E-2</v>
      </c>
      <c r="D15" s="5">
        <v>2.1311747817579298E-2</v>
      </c>
      <c r="E15" s="5">
        <v>1.9696404673375256E-2</v>
      </c>
      <c r="F15" s="5">
        <v>0.40726635149994195</v>
      </c>
      <c r="G15" s="5">
        <v>0.3875699468265667</v>
      </c>
      <c r="H15" s="5">
        <v>3.260765568668944E-9</v>
      </c>
      <c r="I15" s="5">
        <v>1.9798078617776492E-4</v>
      </c>
      <c r="J15" s="5">
        <v>1.9797752541219626E-4</v>
      </c>
      <c r="K15" s="5"/>
      <c r="L15" s="5"/>
      <c r="M15" s="5"/>
    </row>
    <row r="16" spans="1:13">
      <c r="A16">
        <v>13</v>
      </c>
      <c r="B16" s="5">
        <v>5.2952653817328608E-9</v>
      </c>
      <c r="C16" s="5">
        <v>1.9388050489059562E-3</v>
      </c>
      <c r="D16" s="5">
        <v>1.9387997536405744E-3</v>
      </c>
      <c r="E16" s="5">
        <v>3.6628481603595332E-3</v>
      </c>
      <c r="F16" s="5">
        <v>0.39167127203559932</v>
      </c>
      <c r="G16" s="5">
        <v>0.38800842387523976</v>
      </c>
      <c r="H16" s="5">
        <v>1.5129331121244149E-10</v>
      </c>
      <c r="I16" s="5">
        <v>5.5656587103714017E-5</v>
      </c>
      <c r="J16" s="5">
        <v>5.5656435810402805E-5</v>
      </c>
      <c r="K16" s="5"/>
      <c r="L16" s="5"/>
      <c r="M16" s="5"/>
    </row>
    <row r="17" spans="1:13">
      <c r="A17">
        <v>14</v>
      </c>
      <c r="B17" s="5">
        <v>3.1933944377726678E-11</v>
      </c>
      <c r="C17" s="5">
        <v>1.2575729076697018E-4</v>
      </c>
      <c r="D17" s="5">
        <v>1.2575725883302581E-4</v>
      </c>
      <c r="E17" s="5">
        <v>4.091079051367297E-4</v>
      </c>
      <c r="F17" s="5">
        <v>0.42487323526545884</v>
      </c>
      <c r="G17" s="5">
        <v>0.42446412736032213</v>
      </c>
      <c r="H17" s="5">
        <v>4.25783852620043E-12</v>
      </c>
      <c r="I17" s="5">
        <v>1.6771292962042272E-5</v>
      </c>
      <c r="J17" s="5">
        <v>1.6771288704203745E-5</v>
      </c>
      <c r="K17" s="5"/>
      <c r="L17" s="5"/>
      <c r="M17" s="5"/>
    </row>
    <row r="18" spans="1:13">
      <c r="A18">
        <v>15</v>
      </c>
      <c r="B18" s="5">
        <v>4.5985437679973983E-14</v>
      </c>
      <c r="C18" s="5">
        <v>2.9163413214072786E-6</v>
      </c>
      <c r="D18" s="5">
        <v>2.9163412754218409E-6</v>
      </c>
      <c r="E18" s="5">
        <v>1.7464989035986811E-5</v>
      </c>
      <c r="F18" s="5">
        <v>0.31718747125484981</v>
      </c>
      <c r="G18" s="5">
        <v>0.31717000626581382</v>
      </c>
      <c r="H18" s="5">
        <v>4.5985437679973983E-14</v>
      </c>
      <c r="I18" s="5">
        <v>2.9163413214072786E-6</v>
      </c>
      <c r="J18" s="5">
        <v>2.9163412754218409E-6</v>
      </c>
      <c r="K18" s="5"/>
      <c r="L18" s="5"/>
      <c r="M18" s="5"/>
    </row>
    <row r="21" spans="1:13">
      <c r="A21" s="32" t="s">
        <v>241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>
      <c r="A22" s="34" t="s">
        <v>91</v>
      </c>
      <c r="B22" s="34" t="s">
        <v>208</v>
      </c>
      <c r="C22" s="34" t="s">
        <v>209</v>
      </c>
      <c r="D22" s="34" t="s">
        <v>210</v>
      </c>
      <c r="E22" s="34" t="s">
        <v>211</v>
      </c>
      <c r="F22" s="34" t="s">
        <v>212</v>
      </c>
      <c r="G22" s="34" t="s">
        <v>213</v>
      </c>
      <c r="H22" s="34" t="s">
        <v>214</v>
      </c>
      <c r="I22" s="34" t="s">
        <v>215</v>
      </c>
      <c r="J22" s="34" t="s">
        <v>216</v>
      </c>
      <c r="K22" s="34" t="s">
        <v>217</v>
      </c>
      <c r="L22" s="34" t="s">
        <v>218</v>
      </c>
      <c r="M22" s="34" t="s">
        <v>219</v>
      </c>
    </row>
    <row r="23" spans="1:13">
      <c r="A23">
        <v>3</v>
      </c>
      <c r="B23" s="5">
        <v>4.5387653251355485E-2</v>
      </c>
      <c r="C23" s="5">
        <v>4.5387653251355485E-2</v>
      </c>
      <c r="D23" s="5">
        <v>0</v>
      </c>
      <c r="E23" s="5">
        <v>2.4214024677744524E-2</v>
      </c>
      <c r="F23" s="5">
        <v>2.4214024677744524E-2</v>
      </c>
      <c r="G23" s="5">
        <v>0</v>
      </c>
      <c r="H23" s="5">
        <v>1.296790092895871E-3</v>
      </c>
      <c r="I23" s="5">
        <v>1.296790092895871E-3</v>
      </c>
      <c r="J23" s="5">
        <v>0</v>
      </c>
      <c r="K23" s="5">
        <v>1.9405761573683881E-3</v>
      </c>
      <c r="L23" s="5">
        <v>1.9405761573683881E-3</v>
      </c>
      <c r="M23" s="5">
        <v>0</v>
      </c>
    </row>
    <row r="24" spans="1:13">
      <c r="A24">
        <v>4</v>
      </c>
      <c r="B24" s="5">
        <v>8.9642212902494474E-3</v>
      </c>
      <c r="C24" s="5">
        <v>8.9642212902494474E-3</v>
      </c>
      <c r="D24" s="5">
        <v>0</v>
      </c>
      <c r="E24" s="5">
        <v>3.1240489941199586E-3</v>
      </c>
      <c r="F24" s="5">
        <v>3.1240489941199586E-3</v>
      </c>
      <c r="G24" s="5">
        <v>0</v>
      </c>
      <c r="H24" s="5">
        <v>3.9403170506590972E-5</v>
      </c>
      <c r="I24" s="5">
        <v>3.9403170506590972E-5</v>
      </c>
      <c r="J24" s="5">
        <v>0</v>
      </c>
      <c r="K24" s="5">
        <v>4.3138643913898146E-5</v>
      </c>
      <c r="L24" s="5">
        <v>4.3138643913898146E-5</v>
      </c>
      <c r="M24" s="5">
        <v>0</v>
      </c>
    </row>
    <row r="25" spans="1:13">
      <c r="A25">
        <v>5</v>
      </c>
      <c r="B25" s="5">
        <v>1.6676190511801549E-3</v>
      </c>
      <c r="C25" s="5">
        <v>1.6676190511801549E-3</v>
      </c>
      <c r="D25" s="5">
        <v>0</v>
      </c>
      <c r="E25" s="5">
        <v>4.0682546032076066E-4</v>
      </c>
      <c r="F25" s="5">
        <v>4.0682546032076066E-4</v>
      </c>
      <c r="G25" s="5">
        <v>0</v>
      </c>
      <c r="H25" s="5">
        <v>1.2216989385935203E-6</v>
      </c>
      <c r="I25" s="5">
        <v>1.2216989385935203E-6</v>
      </c>
      <c r="J25" s="5">
        <v>0</v>
      </c>
      <c r="K25" s="5">
        <v>8.6909212898022475E-7</v>
      </c>
      <c r="L25" s="5">
        <v>8.6909212898022475E-7</v>
      </c>
      <c r="M25" s="5">
        <v>0</v>
      </c>
    </row>
    <row r="26" spans="1:13">
      <c r="A26">
        <v>6</v>
      </c>
      <c r="B26" s="5">
        <v>2.8964562663884579E-4</v>
      </c>
      <c r="C26" s="5">
        <v>2.8964562663884579E-4</v>
      </c>
      <c r="D26" s="5">
        <v>0</v>
      </c>
      <c r="E26" s="5">
        <v>5.3418871832309067E-5</v>
      </c>
      <c r="F26" s="5">
        <v>5.3418871832309067E-5</v>
      </c>
      <c r="G26" s="5">
        <v>0</v>
      </c>
      <c r="H26" s="5">
        <v>3.8580836049130314E-8</v>
      </c>
      <c r="I26" s="5">
        <v>3.8580836049130314E-8</v>
      </c>
      <c r="J26" s="5">
        <v>0</v>
      </c>
      <c r="K26" s="5"/>
      <c r="L26" s="5"/>
      <c r="M26" s="5"/>
    </row>
    <row r="27" spans="1:13">
      <c r="A27">
        <v>7</v>
      </c>
      <c r="B27" s="5">
        <v>4.6473109158008032E-5</v>
      </c>
      <c r="C27" s="5">
        <v>4.6473109158008032E-5</v>
      </c>
      <c r="D27" s="5">
        <v>0</v>
      </c>
      <c r="E27" s="5">
        <v>7.0625374914451966E-6</v>
      </c>
      <c r="F27" s="5">
        <v>7.0625374914451966E-6</v>
      </c>
      <c r="G27" s="5">
        <v>0</v>
      </c>
      <c r="H27" s="5">
        <v>1.2380448660142E-9</v>
      </c>
      <c r="I27" s="5">
        <v>1.2380448660142E-9</v>
      </c>
      <c r="J27" s="5">
        <v>0</v>
      </c>
      <c r="K27" s="5"/>
      <c r="L27" s="5"/>
      <c r="M27" s="5"/>
    </row>
    <row r="28" spans="1:13">
      <c r="A28">
        <v>8</v>
      </c>
      <c r="B28" s="5">
        <v>6.7989093840785077E-6</v>
      </c>
      <c r="C28" s="5">
        <v>6.7989093840785077E-6</v>
      </c>
      <c r="D28" s="5">
        <v>0</v>
      </c>
      <c r="E28" s="5">
        <v>9.3827445580039432E-7</v>
      </c>
      <c r="F28" s="5">
        <v>9.3827445580039432E-7</v>
      </c>
      <c r="G28" s="5">
        <v>0</v>
      </c>
      <c r="H28" s="5">
        <v>4.024958380332857E-11</v>
      </c>
      <c r="I28" s="5">
        <v>4.024958380332857E-11</v>
      </c>
      <c r="J28" s="5">
        <v>0</v>
      </c>
      <c r="K28" s="5"/>
      <c r="L28" s="5"/>
      <c r="M28" s="5"/>
    </row>
    <row r="29" spans="1:13">
      <c r="A29">
        <v>9</v>
      </c>
      <c r="B29" s="5">
        <v>8.9224735068240451E-7</v>
      </c>
      <c r="C29" s="5">
        <v>8.9224735068240451E-7</v>
      </c>
      <c r="D29" s="5">
        <v>0</v>
      </c>
      <c r="E29" s="5">
        <v>1.248884308450191E-7</v>
      </c>
      <c r="F29" s="5">
        <v>1.248884308450191E-7</v>
      </c>
      <c r="G29" s="5">
        <v>0</v>
      </c>
      <c r="H29" s="5">
        <v>1.3205273995373578E-12</v>
      </c>
      <c r="I29" s="5">
        <v>1.3205273995373578E-12</v>
      </c>
      <c r="J29" s="5">
        <v>0</v>
      </c>
      <c r="K29" s="5"/>
      <c r="L29" s="5"/>
      <c r="M29" s="5"/>
    </row>
    <row r="30" spans="1:13">
      <c r="A30">
        <v>10</v>
      </c>
      <c r="B30" s="5">
        <v>1.0283925435289512E-7</v>
      </c>
      <c r="C30" s="5">
        <v>1.0283925435289512E-7</v>
      </c>
      <c r="D30" s="5">
        <v>0</v>
      </c>
      <c r="E30" s="5">
        <v>1.6580522061681999E-8</v>
      </c>
      <c r="F30" s="5">
        <v>1.6580522061681999E-8</v>
      </c>
      <c r="G30" s="5">
        <v>0</v>
      </c>
      <c r="H30" s="5">
        <v>4.3486356755580971E-14</v>
      </c>
      <c r="I30" s="5">
        <v>4.3486356755580971E-14</v>
      </c>
      <c r="J30" s="5">
        <v>0</v>
      </c>
      <c r="K30" s="5"/>
      <c r="L30" s="5"/>
      <c r="M30" s="5"/>
    </row>
    <row r="31" spans="1:13">
      <c r="A31">
        <v>11</v>
      </c>
      <c r="B31" s="5">
        <v>1.0116722155140629E-8</v>
      </c>
      <c r="C31" s="5">
        <v>1.0116722155140629E-8</v>
      </c>
      <c r="D31" s="5">
        <v>0</v>
      </c>
      <c r="E31" s="5">
        <v>2.1800491342558329E-9</v>
      </c>
      <c r="F31" s="5">
        <v>2.1800491342558329E-9</v>
      </c>
      <c r="G31" s="5">
        <v>0</v>
      </c>
      <c r="H31" s="5">
        <v>1.4259775011782752E-15</v>
      </c>
      <c r="I31" s="5">
        <v>1.4259775011782752E-15</v>
      </c>
      <c r="J31" s="5">
        <v>0</v>
      </c>
      <c r="K31" s="5"/>
      <c r="L31" s="5"/>
      <c r="M31" s="5"/>
    </row>
    <row r="32" spans="1:13">
      <c r="A32">
        <v>12</v>
      </c>
      <c r="B32" s="5">
        <v>8.1519139530810716E-10</v>
      </c>
      <c r="C32" s="5">
        <v>8.1519139530810716E-10</v>
      </c>
      <c r="D32" s="5">
        <v>0</v>
      </c>
      <c r="E32" s="5">
        <v>2.804355177014493E-10</v>
      </c>
      <c r="F32" s="5">
        <v>2.804355177014493E-10</v>
      </c>
      <c r="G32" s="5">
        <v>0</v>
      </c>
      <c r="H32" s="5">
        <v>4.5961313201541716E-17</v>
      </c>
      <c r="I32" s="5">
        <v>4.5961313201541716E-17</v>
      </c>
      <c r="J32" s="5">
        <v>0</v>
      </c>
      <c r="K32" s="5"/>
      <c r="L32" s="5"/>
      <c r="M32" s="5"/>
    </row>
    <row r="33" spans="1:13">
      <c r="A33">
        <v>13</v>
      </c>
      <c r="B33" s="5">
        <v>5.0431098863041155E-11</v>
      </c>
      <c r="C33" s="5">
        <v>5.0431098863041155E-11</v>
      </c>
      <c r="D33" s="5">
        <v>0</v>
      </c>
      <c r="E33" s="5">
        <v>3.4483622364558009E-11</v>
      </c>
      <c r="F33" s="5">
        <v>3.4483622364558009E-11</v>
      </c>
      <c r="G33" s="5">
        <v>0</v>
      </c>
      <c r="H33" s="5">
        <v>1.4216781134362257E-18</v>
      </c>
      <c r="I33" s="5">
        <v>1.4216781134362257E-18</v>
      </c>
      <c r="J33" s="5">
        <v>0</v>
      </c>
      <c r="K33" s="5"/>
      <c r="L33" s="5"/>
      <c r="M33" s="5"/>
    </row>
    <row r="34" spans="1:13">
      <c r="A34">
        <v>14</v>
      </c>
      <c r="B34" s="5">
        <v>2.1289270343240944E-12</v>
      </c>
      <c r="C34" s="5">
        <v>2.1289270343240944E-12</v>
      </c>
      <c r="D34" s="5">
        <v>0</v>
      </c>
      <c r="E34" s="5">
        <v>3.8451273557073288E-12</v>
      </c>
      <c r="F34" s="5">
        <v>3.8451273557073288E-12</v>
      </c>
      <c r="G34" s="5">
        <v>0</v>
      </c>
      <c r="H34" s="5">
        <v>4.00103512586009E-20</v>
      </c>
      <c r="I34" s="5">
        <v>4.00103512586009E-20</v>
      </c>
      <c r="J34" s="5">
        <v>0</v>
      </c>
      <c r="K34" s="5"/>
      <c r="L34" s="5"/>
      <c r="M34" s="5"/>
    </row>
    <row r="35" spans="1:13">
      <c r="A35">
        <v>15</v>
      </c>
      <c r="B35" s="5">
        <v>4.5994982886999254E-14</v>
      </c>
      <c r="C35" s="5">
        <v>4.5994982886999254E-14</v>
      </c>
      <c r="D35" s="5">
        <v>0</v>
      </c>
      <c r="E35" s="5">
        <v>3.2823420389858089E-13</v>
      </c>
      <c r="F35" s="5">
        <v>3.2823420389858089E-13</v>
      </c>
      <c r="G35" s="5">
        <v>0</v>
      </c>
      <c r="H35" s="5">
        <v>8.6441451105271886E-22</v>
      </c>
      <c r="I35" s="5">
        <v>8.6441451105271886E-22</v>
      </c>
      <c r="J35" s="5">
        <v>0</v>
      </c>
      <c r="K35" s="5"/>
      <c r="L35" s="5"/>
      <c r="M35" s="5"/>
    </row>
    <row r="38" spans="1:13">
      <c r="A38" s="32" t="s">
        <v>226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>
      <c r="A39" s="34" t="s">
        <v>91</v>
      </c>
      <c r="B39" s="34" t="s">
        <v>208</v>
      </c>
      <c r="C39" s="34" t="s">
        <v>209</v>
      </c>
      <c r="D39" s="34" t="s">
        <v>210</v>
      </c>
      <c r="E39" s="34" t="s">
        <v>211</v>
      </c>
      <c r="F39" s="34" t="s">
        <v>212</v>
      </c>
      <c r="G39" s="34" t="s">
        <v>213</v>
      </c>
      <c r="H39" s="34" t="s">
        <v>214</v>
      </c>
      <c r="I39" s="34" t="s">
        <v>215</v>
      </c>
      <c r="J39" s="34" t="s">
        <v>216</v>
      </c>
      <c r="K39" s="34" t="s">
        <v>217</v>
      </c>
      <c r="L39" s="34" t="s">
        <v>218</v>
      </c>
      <c r="M39" s="34" t="s">
        <v>219</v>
      </c>
    </row>
    <row r="40" spans="1:13">
      <c r="A40">
        <v>3</v>
      </c>
      <c r="B40" s="5">
        <v>0.53669556592149048</v>
      </c>
      <c r="C40" s="5">
        <v>0.53667944920716693</v>
      </c>
      <c r="D40" s="5">
        <v>-1.6116714323555215E-5</v>
      </c>
      <c r="E40" s="5">
        <v>0.47512382470634018</v>
      </c>
      <c r="F40" s="5">
        <v>0.47495523961111913</v>
      </c>
      <c r="G40" s="5">
        <v>-1.6858509522105214E-4</v>
      </c>
      <c r="H40" s="5">
        <v>0.1374983357035367</v>
      </c>
      <c r="I40" s="5">
        <v>0.16900201527607364</v>
      </c>
      <c r="J40" s="5">
        <v>3.1503679572536941E-2</v>
      </c>
      <c r="K40" s="5">
        <v>0.18654281155176636</v>
      </c>
      <c r="L40" s="5">
        <v>0.21205736615103166</v>
      </c>
      <c r="M40" s="5">
        <v>2.5514554599265299E-2</v>
      </c>
    </row>
    <row r="41" spans="1:13">
      <c r="A41">
        <v>4</v>
      </c>
      <c r="B41" s="5">
        <v>0.38615723477825697</v>
      </c>
      <c r="C41" s="5">
        <v>0.38427807896708072</v>
      </c>
      <c r="D41" s="5">
        <v>-1.8791558111762585E-3</v>
      </c>
      <c r="E41" s="5">
        <v>0.31540679177734549</v>
      </c>
      <c r="F41" s="5">
        <v>0.31422944071353437</v>
      </c>
      <c r="G41" s="5">
        <v>-1.1773510638111162E-3</v>
      </c>
      <c r="H41" s="5">
        <v>2.109969820850786E-2</v>
      </c>
      <c r="I41" s="5">
        <v>4.8039993120429184E-2</v>
      </c>
      <c r="J41" s="5">
        <v>2.6940294911921323E-2</v>
      </c>
      <c r="K41" s="5">
        <v>1.3538315770979687E-2</v>
      </c>
      <c r="L41" s="5">
        <v>2.8947811959387792E-2</v>
      </c>
      <c r="M41" s="5">
        <v>1.5409496188408105E-2</v>
      </c>
    </row>
    <row r="42" spans="1:13">
      <c r="A42">
        <v>5</v>
      </c>
      <c r="B42" s="5">
        <v>0.26819218939611894</v>
      </c>
      <c r="C42" s="5">
        <v>0.25460997587300244</v>
      </c>
      <c r="D42" s="5">
        <v>-1.3582213523116504E-2</v>
      </c>
      <c r="E42" s="5">
        <v>0.2094565668043526</v>
      </c>
      <c r="F42" s="5">
        <v>0.2054052595508653</v>
      </c>
      <c r="G42" s="5">
        <v>-4.0513072534872907E-3</v>
      </c>
      <c r="H42" s="5">
        <v>2.6577857679699916E-3</v>
      </c>
      <c r="I42" s="5">
        <v>1.3830156733178032E-2</v>
      </c>
      <c r="J42" s="5">
        <v>1.1172370965208039E-2</v>
      </c>
      <c r="K42" s="5">
        <v>5.2560174431316676E-4</v>
      </c>
      <c r="L42" s="5">
        <v>3.7534905499820426E-4</v>
      </c>
      <c r="M42" s="5">
        <v>-1.502526893149625E-4</v>
      </c>
    </row>
    <row r="43" spans="1:13">
      <c r="A43">
        <v>6</v>
      </c>
      <c r="B43" s="5">
        <v>0.1474804248286409</v>
      </c>
      <c r="C43" s="5">
        <v>0.14607596192265326</v>
      </c>
      <c r="D43" s="5">
        <v>-1.4044629059876412E-3</v>
      </c>
      <c r="E43" s="5">
        <v>0.13776184201737732</v>
      </c>
      <c r="F43" s="5">
        <v>0.13065088646875925</v>
      </c>
      <c r="G43" s="5">
        <v>-7.1109555486180698E-3</v>
      </c>
      <c r="H43" s="5">
        <v>3.0630609261173025E-4</v>
      </c>
      <c r="I43" s="5">
        <v>3.7718351882428912E-3</v>
      </c>
      <c r="J43" s="5">
        <v>3.4655290956311612E-3</v>
      </c>
      <c r="K43" s="5"/>
      <c r="L43" s="5"/>
      <c r="M43" s="5"/>
    </row>
    <row r="44" spans="1:13">
      <c r="A44">
        <v>7</v>
      </c>
      <c r="B44" s="5">
        <v>4.4681349152506308E-2</v>
      </c>
      <c r="C44" s="5">
        <v>7.5337931511046619E-2</v>
      </c>
      <c r="D44" s="5">
        <v>3.065658235854031E-2</v>
      </c>
      <c r="E44" s="5">
        <v>8.6317864746470546E-2</v>
      </c>
      <c r="F44" s="5">
        <v>8.0096642765292075E-2</v>
      </c>
      <c r="G44" s="5">
        <v>-6.2212219811784708E-3</v>
      </c>
      <c r="H44" s="5">
        <v>3.2780039566795418E-5</v>
      </c>
      <c r="I44" s="5">
        <v>9.5399562263435587E-4</v>
      </c>
      <c r="J44" s="5">
        <v>9.2121558306756046E-4</v>
      </c>
      <c r="K44" s="5"/>
      <c r="L44" s="5"/>
      <c r="M44" s="5"/>
    </row>
    <row r="45" spans="1:13">
      <c r="A45">
        <v>8</v>
      </c>
      <c r="B45" s="5">
        <v>7.3980680927443077E-3</v>
      </c>
      <c r="C45" s="5">
        <v>3.8087182331505112E-2</v>
      </c>
      <c r="D45" s="5">
        <v>3.0689114238760806E-2</v>
      </c>
      <c r="E45" s="5">
        <v>4.779307672636289E-2</v>
      </c>
      <c r="F45" s="5">
        <v>4.6845246517182117E-2</v>
      </c>
      <c r="G45" s="5">
        <v>-9.478302091807736E-4</v>
      </c>
      <c r="H45" s="5">
        <v>3.2311934602217084E-6</v>
      </c>
      <c r="I45" s="5">
        <v>2.2776131176788914E-4</v>
      </c>
      <c r="J45" s="5">
        <v>2.2453011830766742E-4</v>
      </c>
      <c r="K45" s="5"/>
      <c r="L45" s="5"/>
      <c r="M45" s="5"/>
    </row>
    <row r="46" spans="1:13">
      <c r="A46">
        <v>9</v>
      </c>
      <c r="B46" s="5">
        <v>8.1081444507199855E-4</v>
      </c>
      <c r="C46" s="5">
        <v>1.7446810799634383E-2</v>
      </c>
      <c r="D46" s="5">
        <v>1.6635996354562383E-2</v>
      </c>
      <c r="E46" s="5">
        <v>2.1802204663242095E-2</v>
      </c>
      <c r="F46" s="5">
        <v>2.6189458244701792E-2</v>
      </c>
      <c r="G46" s="5">
        <v>4.387253581459697E-3</v>
      </c>
      <c r="H46" s="5">
        <v>2.8881158350838846E-7</v>
      </c>
      <c r="I46" s="5">
        <v>5.2034945687014419E-5</v>
      </c>
      <c r="J46" s="5">
        <v>5.1746134103506032E-5</v>
      </c>
      <c r="K46" s="5"/>
      <c r="L46" s="5"/>
      <c r="M46" s="5"/>
    </row>
    <row r="47" spans="1:13">
      <c r="A47">
        <v>10</v>
      </c>
      <c r="B47" s="5">
        <v>6.2247980125139377E-5</v>
      </c>
      <c r="C47" s="5">
        <v>9.2174593914219824E-3</v>
      </c>
      <c r="D47" s="5">
        <v>9.1552114112968437E-3</v>
      </c>
      <c r="E47" s="5">
        <v>7.9590460404274626E-3</v>
      </c>
      <c r="F47" s="5">
        <v>1.455638971393609E-2</v>
      </c>
      <c r="G47" s="5">
        <v>6.5973436735086276E-3</v>
      </c>
      <c r="H47" s="5">
        <v>2.2904382342737735E-8</v>
      </c>
      <c r="I47" s="5">
        <v>1.1408925311984295E-5</v>
      </c>
      <c r="J47" s="5">
        <v>1.1386020929641557E-5</v>
      </c>
      <c r="K47" s="5"/>
      <c r="L47" s="5"/>
      <c r="M47" s="5"/>
    </row>
    <row r="48" spans="1:13">
      <c r="A48">
        <v>11</v>
      </c>
      <c r="B48" s="5">
        <v>3.2594352334716939E-6</v>
      </c>
      <c r="C48" s="5">
        <v>3.6215551133152906E-3</v>
      </c>
      <c r="D48" s="5">
        <v>3.6182956780818187E-3</v>
      </c>
      <c r="E48" s="5">
        <v>2.316921760770886E-3</v>
      </c>
      <c r="F48" s="5">
        <v>8.4600657974670517E-3</v>
      </c>
      <c r="G48" s="5">
        <v>6.1431440366961658E-3</v>
      </c>
      <c r="H48" s="5">
        <v>1.563257003920362E-9</v>
      </c>
      <c r="I48" s="5">
        <v>2.3872395356667485E-6</v>
      </c>
      <c r="J48" s="5">
        <v>2.3856762786628283E-6</v>
      </c>
      <c r="K48" s="5"/>
      <c r="L48" s="5"/>
      <c r="M48" s="5"/>
    </row>
    <row r="49" spans="1:13">
      <c r="A49">
        <v>12</v>
      </c>
      <c r="B49" s="5">
        <v>1.0906078151942859E-7</v>
      </c>
      <c r="C49" s="5">
        <v>5.5958127575501352E-4</v>
      </c>
      <c r="D49" s="5">
        <v>5.5947221497349407E-4</v>
      </c>
      <c r="E49" s="5">
        <v>5.3097750836146552E-4</v>
      </c>
      <c r="F49" s="5">
        <v>5.2135711729394641E-3</v>
      </c>
      <c r="G49" s="5">
        <v>4.6825936645779991E-3</v>
      </c>
      <c r="H49" s="5">
        <v>8.7727175522594585E-11</v>
      </c>
      <c r="I49" s="5">
        <v>4.7033748680659342E-7</v>
      </c>
      <c r="J49" s="5">
        <v>4.7024975963107082E-7</v>
      </c>
      <c r="K49" s="5"/>
      <c r="L49" s="5"/>
      <c r="M49" s="5"/>
    </row>
    <row r="50" spans="1:13">
      <c r="A50">
        <v>13</v>
      </c>
      <c r="B50" s="5">
        <v>2.0876124134162722E-9</v>
      </c>
      <c r="C50" s="5">
        <v>4.7123978761451372E-5</v>
      </c>
      <c r="D50" s="5">
        <v>4.7121891149037957E-5</v>
      </c>
      <c r="E50" s="5">
        <v>9.0902893346152686E-5</v>
      </c>
      <c r="F50" s="5">
        <v>3.2746648796330045E-3</v>
      </c>
      <c r="G50" s="5">
        <v>3.1837619862868519E-3</v>
      </c>
      <c r="H50" s="5">
        <v>3.7533238448342815E-12</v>
      </c>
      <c r="I50" s="5">
        <v>8.5044238681842868E-8</v>
      </c>
      <c r="J50" s="5">
        <v>8.5040485357998037E-8</v>
      </c>
      <c r="K50" s="5"/>
      <c r="L50" s="5"/>
      <c r="M50" s="5"/>
    </row>
    <row r="51" spans="1:13">
      <c r="A51">
        <v>14</v>
      </c>
      <c r="B51" s="5">
        <v>1.8579507898955095E-11</v>
      </c>
      <c r="C51" s="5">
        <v>2.9343638774371346E-6</v>
      </c>
      <c r="D51" s="5">
        <v>2.9343452979292357E-6</v>
      </c>
      <c r="E51" s="5">
        <v>1.0149682169828809E-5</v>
      </c>
      <c r="F51" s="5">
        <v>2.3442094070610748E-3</v>
      </c>
      <c r="G51" s="5">
        <v>2.3340597248912459E-3</v>
      </c>
      <c r="H51" s="5">
        <v>1.056296455912322E-13</v>
      </c>
      <c r="I51" s="5">
        <v>1.6685641135262704E-8</v>
      </c>
      <c r="J51" s="5">
        <v>1.6685535505617113E-8</v>
      </c>
      <c r="K51" s="5"/>
      <c r="L51" s="5"/>
      <c r="M51" s="5"/>
    </row>
    <row r="52" spans="1:13">
      <c r="A52">
        <v>15</v>
      </c>
      <c r="B52" s="5">
        <v>4.5987335012482867E-14</v>
      </c>
      <c r="C52" s="5">
        <v>6.7133181695625336E-8</v>
      </c>
      <c r="D52" s="5">
        <v>6.7133135708290323E-8</v>
      </c>
      <c r="E52" s="5">
        <v>4.9770433204449703E-7</v>
      </c>
      <c r="F52" s="5">
        <v>1.1066576356008797E-3</v>
      </c>
      <c r="G52" s="5">
        <v>1.1061599312688353E-3</v>
      </c>
      <c r="H52" s="5">
        <v>1.3105106667328375E-15</v>
      </c>
      <c r="I52" s="5">
        <v>1.9131082651332098E-9</v>
      </c>
      <c r="J52" s="5">
        <v>1.913106954622543E-9</v>
      </c>
      <c r="K52" s="5"/>
      <c r="L52" s="5"/>
      <c r="M52" s="5"/>
    </row>
  </sheetData>
  <mergeCells count="2">
    <mergeCell ref="A1:M1"/>
    <mergeCell ref="A2:M2"/>
  </mergeCells>
  <conditionalFormatting sqref="D1">
    <cfRule type="colorScale" priority="1">
      <colorScale>
        <cfvo type="min"/>
        <cfvo type="percentile" val="50"/>
        <cfvo type="max"/>
        <color rgb="FFFCE4D6"/>
        <color rgb="FFFFFFFF"/>
        <color rgb="FFD9EAD3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FCE4D6"/>
        <color rgb="FFFFFFFF"/>
        <color rgb="FFD9EAD3"/>
      </colorScale>
    </cfRule>
  </conditionalFormatting>
  <conditionalFormatting sqref="J1">
    <cfRule type="colorScale" priority="3">
      <colorScale>
        <cfvo type="min"/>
        <cfvo type="percentile" val="50"/>
        <cfvo type="max"/>
        <color rgb="FFFCE4D6"/>
        <color rgb="FFFFFFFF"/>
        <color rgb="FFD9EAD3"/>
      </colorScale>
    </cfRule>
  </conditionalFormatting>
  <conditionalFormatting sqref="M1">
    <cfRule type="colorScale" priority="4">
      <colorScale>
        <cfvo type="min"/>
        <cfvo type="percentile" val="50"/>
        <cfvo type="max"/>
        <color rgb="FFFCE4D6"/>
        <color rgb="FFFFFFFF"/>
        <color rgb="FFD9EAD3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61"/>
  <sheetViews>
    <sheetView workbookViewId="0"/>
  </sheetViews>
  <sheetFormatPr defaultRowHeight="14.15"/>
  <cols>
    <col min="1" max="18" width="13" customWidth="1"/>
  </cols>
  <sheetData>
    <row r="1" spans="1:18">
      <c r="A1" s="38" t="s">
        <v>172</v>
      </c>
      <c r="B1" s="38" t="s">
        <v>28</v>
      </c>
      <c r="C1" s="38" t="s">
        <v>173</v>
      </c>
      <c r="D1" s="38" t="s">
        <v>200</v>
      </c>
      <c r="E1" s="38" t="s">
        <v>242</v>
      </c>
      <c r="F1" s="38" t="s">
        <v>243</v>
      </c>
      <c r="G1" s="38" t="s">
        <v>91</v>
      </c>
      <c r="H1" s="38" t="s">
        <v>244</v>
      </c>
      <c r="I1" s="39" t="s">
        <v>245</v>
      </c>
      <c r="J1" s="39" t="s">
        <v>193</v>
      </c>
      <c r="K1" s="39" t="s">
        <v>246</v>
      </c>
      <c r="L1" s="39" t="s">
        <v>185</v>
      </c>
      <c r="M1" s="39" t="s">
        <v>186</v>
      </c>
      <c r="N1" s="39" t="s">
        <v>187</v>
      </c>
      <c r="O1" s="39" t="s">
        <v>247</v>
      </c>
      <c r="P1" s="39" t="s">
        <v>248</v>
      </c>
      <c r="Q1" s="39" t="s">
        <v>249</v>
      </c>
      <c r="R1" s="39" t="s">
        <v>250</v>
      </c>
    </row>
    <row r="2" spans="1:18">
      <c r="A2" t="s">
        <v>196</v>
      </c>
      <c r="B2">
        <v>1</v>
      </c>
      <c r="C2">
        <v>2</v>
      </c>
      <c r="D2">
        <v>4</v>
      </c>
      <c r="E2">
        <v>60</v>
      </c>
      <c r="F2">
        <v>30</v>
      </c>
      <c r="G2">
        <v>3</v>
      </c>
      <c r="H2" t="s">
        <v>197</v>
      </c>
      <c r="I2">
        <v>0.99999999996907007</v>
      </c>
      <c r="J2">
        <v>3.0929925288115491E-11</v>
      </c>
      <c r="K2">
        <v>1</v>
      </c>
      <c r="L2">
        <v>0</v>
      </c>
      <c r="M2">
        <v>5.3185271770894216E-2</v>
      </c>
      <c r="N2">
        <v>2.9339737673753432</v>
      </c>
      <c r="O2">
        <v>0.58679475349981247</v>
      </c>
      <c r="P2">
        <v>0.55610689083839826</v>
      </c>
      <c r="Q2">
        <v>0.58679475347506849</v>
      </c>
      <c r="R2">
        <v>0.55610689085215859</v>
      </c>
    </row>
    <row r="3" spans="1:18">
      <c r="A3" t="s">
        <v>196</v>
      </c>
      <c r="B3">
        <v>1</v>
      </c>
      <c r="C3">
        <v>2</v>
      </c>
      <c r="D3">
        <v>4</v>
      </c>
      <c r="E3">
        <v>60</v>
      </c>
      <c r="F3">
        <v>30</v>
      </c>
      <c r="G3">
        <v>3</v>
      </c>
      <c r="H3" t="s">
        <v>198</v>
      </c>
      <c r="I3">
        <v>0.99998431077721828</v>
      </c>
      <c r="J3">
        <v>1.5689345858865983E-5</v>
      </c>
      <c r="K3">
        <v>1</v>
      </c>
      <c r="L3">
        <v>0</v>
      </c>
      <c r="M3">
        <v>2.4313267095265927E-2</v>
      </c>
      <c r="N3">
        <v>3.716733106624976</v>
      </c>
      <c r="O3">
        <v>0.74335917280168218</v>
      </c>
      <c r="P3">
        <v>0.4755138963077804</v>
      </c>
      <c r="Q3">
        <v>0.74334662132499507</v>
      </c>
      <c r="R3">
        <v>0.47551986474682062</v>
      </c>
    </row>
    <row r="4" spans="1:18">
      <c r="A4" t="s">
        <v>196</v>
      </c>
      <c r="B4">
        <v>1</v>
      </c>
      <c r="C4">
        <v>2</v>
      </c>
      <c r="D4">
        <v>4</v>
      </c>
      <c r="E4">
        <v>60</v>
      </c>
      <c r="F4">
        <v>30</v>
      </c>
      <c r="G4">
        <v>3</v>
      </c>
      <c r="H4" t="s">
        <v>199</v>
      </c>
      <c r="I4">
        <v>0.49912992006885448</v>
      </c>
      <c r="J4">
        <v>0.69488885625919716</v>
      </c>
      <c r="K4">
        <v>0.99790770038875909</v>
      </c>
      <c r="L4">
        <v>2.0944915280373018E-3</v>
      </c>
      <c r="M4">
        <v>1.5195791934541204E-3</v>
      </c>
      <c r="N4">
        <v>6.4893218288647567</v>
      </c>
      <c r="O4">
        <v>1.8537754507803088</v>
      </c>
      <c r="P4">
        <v>0.15664464435394138</v>
      </c>
      <c r="Q4">
        <v>1.2995399589953811</v>
      </c>
      <c r="R4">
        <v>0.2726571976772979</v>
      </c>
    </row>
    <row r="5" spans="1:18">
      <c r="A5" t="s">
        <v>196</v>
      </c>
      <c r="B5">
        <v>1</v>
      </c>
      <c r="C5">
        <v>2</v>
      </c>
      <c r="D5">
        <v>4</v>
      </c>
      <c r="E5">
        <v>60</v>
      </c>
      <c r="F5">
        <v>30</v>
      </c>
      <c r="G5">
        <v>3</v>
      </c>
      <c r="H5" t="s">
        <v>200</v>
      </c>
      <c r="I5">
        <v>0.54967200167703711</v>
      </c>
      <c r="J5">
        <v>0.59843353923653009</v>
      </c>
      <c r="K5">
        <v>0.99919013587217698</v>
      </c>
      <c r="L5">
        <v>8.1019224494127424E-4</v>
      </c>
      <c r="M5">
        <v>1.7533606078316774E-3</v>
      </c>
      <c r="N5">
        <v>6.3462209852240834</v>
      </c>
      <c r="O5">
        <v>1.7479910284340405</v>
      </c>
      <c r="P5">
        <v>0.1741234012696195</v>
      </c>
      <c r="Q5">
        <v>1.2698923508407696</v>
      </c>
      <c r="R5">
        <v>0.28086185469359426</v>
      </c>
    </row>
    <row r="6" spans="1:18">
      <c r="A6" t="s">
        <v>196</v>
      </c>
      <c r="B6">
        <v>1</v>
      </c>
      <c r="C6">
        <v>2</v>
      </c>
      <c r="D6">
        <v>4</v>
      </c>
      <c r="E6">
        <v>60</v>
      </c>
      <c r="F6">
        <v>30</v>
      </c>
      <c r="G6">
        <v>4</v>
      </c>
      <c r="H6" t="s">
        <v>197</v>
      </c>
      <c r="I6">
        <v>0.99999976967340842</v>
      </c>
      <c r="J6">
        <v>2.3032661810224149E-7</v>
      </c>
      <c r="K6">
        <v>1</v>
      </c>
      <c r="L6">
        <v>0</v>
      </c>
      <c r="M6">
        <v>1.1196899320188256E-2</v>
      </c>
      <c r="N6">
        <v>4.4921183854218931</v>
      </c>
      <c r="O6">
        <v>0.89842386134567287</v>
      </c>
      <c r="P6">
        <v>0.4072109751652444</v>
      </c>
      <c r="Q6">
        <v>0.89842367708437842</v>
      </c>
      <c r="R6">
        <v>0.40721105019847276</v>
      </c>
    </row>
    <row r="7" spans="1:18">
      <c r="A7" t="s">
        <v>196</v>
      </c>
      <c r="B7">
        <v>1</v>
      </c>
      <c r="C7">
        <v>2</v>
      </c>
      <c r="D7">
        <v>4</v>
      </c>
      <c r="E7">
        <v>60</v>
      </c>
      <c r="F7">
        <v>30</v>
      </c>
      <c r="G7">
        <v>4</v>
      </c>
      <c r="H7" t="s">
        <v>198</v>
      </c>
      <c r="I7">
        <v>0.99981575030419834</v>
      </c>
      <c r="J7">
        <v>1.8426667186211991E-4</v>
      </c>
      <c r="K7">
        <v>1</v>
      </c>
      <c r="L7">
        <v>0</v>
      </c>
      <c r="M7">
        <v>3.1498969516133993E-3</v>
      </c>
      <c r="N7">
        <v>5.7603855404532265</v>
      </c>
      <c r="O7">
        <v>1.1522245214281348</v>
      </c>
      <c r="P7">
        <v>0.31593318695785988</v>
      </c>
      <c r="Q7">
        <v>1.1520771080906451</v>
      </c>
      <c r="R7">
        <v>0.31597976315626514</v>
      </c>
    </row>
    <row r="8" spans="1:18">
      <c r="A8" t="s">
        <v>196</v>
      </c>
      <c r="B8">
        <v>1</v>
      </c>
      <c r="C8">
        <v>2</v>
      </c>
      <c r="D8">
        <v>4</v>
      </c>
      <c r="E8">
        <v>60</v>
      </c>
      <c r="F8">
        <v>30</v>
      </c>
      <c r="G8">
        <v>4</v>
      </c>
      <c r="H8" t="s">
        <v>199</v>
      </c>
      <c r="I8">
        <v>0.12572717198852157</v>
      </c>
      <c r="J8">
        <v>2.073641021364272</v>
      </c>
      <c r="K8">
        <v>0.93263242340407149</v>
      </c>
      <c r="L8">
        <v>6.9744128534082642E-2</v>
      </c>
      <c r="M8">
        <v>4.9217139868959364E-5</v>
      </c>
      <c r="N8">
        <v>9.9192686238128989</v>
      </c>
      <c r="O8">
        <v>3.6427665418539972</v>
      </c>
      <c r="P8">
        <v>2.6179816129248083E-2</v>
      </c>
      <c r="Q8">
        <v>2.0396490275898453</v>
      </c>
      <c r="R8">
        <v>0.13007435537798367</v>
      </c>
    </row>
    <row r="9" spans="1:18">
      <c r="A9" t="s">
        <v>196</v>
      </c>
      <c r="B9">
        <v>1</v>
      </c>
      <c r="C9">
        <v>2</v>
      </c>
      <c r="D9">
        <v>4</v>
      </c>
      <c r="E9">
        <v>60</v>
      </c>
      <c r="F9">
        <v>30</v>
      </c>
      <c r="G9">
        <v>4</v>
      </c>
      <c r="H9" t="s">
        <v>200</v>
      </c>
      <c r="I9">
        <v>4.1119070057055507E-2</v>
      </c>
      <c r="J9">
        <v>3.191283273434939</v>
      </c>
      <c r="K9">
        <v>0.56958151550844249</v>
      </c>
      <c r="L9">
        <v>0.56285337111662281</v>
      </c>
      <c r="M9">
        <v>3.0760712418099601E-5</v>
      </c>
      <c r="N9">
        <v>10.389272253058634</v>
      </c>
      <c r="O9">
        <v>4.6308810693596776</v>
      </c>
      <c r="P9">
        <v>9.7461682681029473E-3</v>
      </c>
      <c r="Q9">
        <v>2.5281371475050247</v>
      </c>
      <c r="R9">
        <v>7.9807551593590445E-2</v>
      </c>
    </row>
    <row r="10" spans="1:18">
      <c r="A10" t="s">
        <v>196</v>
      </c>
      <c r="B10">
        <v>1</v>
      </c>
      <c r="C10">
        <v>2</v>
      </c>
      <c r="D10">
        <v>4</v>
      </c>
      <c r="E10">
        <v>60</v>
      </c>
      <c r="F10">
        <v>30</v>
      </c>
      <c r="G10">
        <v>5</v>
      </c>
      <c r="H10" t="s">
        <v>197</v>
      </c>
      <c r="I10">
        <v>0.99864610680202093</v>
      </c>
      <c r="J10">
        <v>1.354810539456582E-3</v>
      </c>
      <c r="K10">
        <v>1</v>
      </c>
      <c r="L10">
        <v>0</v>
      </c>
      <c r="M10">
        <v>2.1993909378941216E-3</v>
      </c>
      <c r="N10">
        <v>6.1195748033586721</v>
      </c>
      <c r="O10">
        <v>1.2249988091032993</v>
      </c>
      <c r="P10">
        <v>0.29375805015881723</v>
      </c>
      <c r="Q10">
        <v>1.2239149606717341</v>
      </c>
      <c r="R10">
        <v>0.29407661196591373</v>
      </c>
    </row>
    <row r="11" spans="1:18">
      <c r="A11" t="s">
        <v>196</v>
      </c>
      <c r="B11">
        <v>1</v>
      </c>
      <c r="C11">
        <v>2</v>
      </c>
      <c r="D11">
        <v>4</v>
      </c>
      <c r="E11">
        <v>60</v>
      </c>
      <c r="F11">
        <v>30</v>
      </c>
      <c r="G11">
        <v>5</v>
      </c>
      <c r="H11" t="s">
        <v>198</v>
      </c>
      <c r="I11">
        <v>0.99795730421674655</v>
      </c>
      <c r="J11">
        <v>2.0447849317662948E-3</v>
      </c>
      <c r="K11">
        <v>1</v>
      </c>
      <c r="L11">
        <v>0</v>
      </c>
      <c r="M11">
        <v>4.1248650556842138E-4</v>
      </c>
      <c r="N11">
        <v>7.7933070664981692</v>
      </c>
      <c r="O11">
        <v>1.5602972412450464</v>
      </c>
      <c r="P11">
        <v>0.21007361937542082</v>
      </c>
      <c r="Q11">
        <v>1.5586614132996335</v>
      </c>
      <c r="R11">
        <v>0.21041754489738571</v>
      </c>
    </row>
    <row r="12" spans="1:18">
      <c r="A12" t="s">
        <v>196</v>
      </c>
      <c r="B12">
        <v>1</v>
      </c>
      <c r="C12">
        <v>2</v>
      </c>
      <c r="D12">
        <v>4</v>
      </c>
      <c r="E12">
        <v>60</v>
      </c>
      <c r="F12">
        <v>30</v>
      </c>
      <c r="G12">
        <v>5</v>
      </c>
      <c r="H12" t="s">
        <v>199</v>
      </c>
      <c r="I12">
        <v>2.3902988340820053E-2</v>
      </c>
      <c r="J12">
        <v>3.7337517926801636</v>
      </c>
      <c r="K12">
        <v>0.68275536058921871</v>
      </c>
      <c r="L12">
        <v>0.38161866719196297</v>
      </c>
      <c r="M12">
        <v>1.611275412376646E-6</v>
      </c>
      <c r="N12">
        <v>13.338484510977732</v>
      </c>
      <c r="O12">
        <v>5.6546983363396768</v>
      </c>
      <c r="P12">
        <v>3.5010290607660425E-3</v>
      </c>
      <c r="Q12">
        <v>2.9729918359491161</v>
      </c>
      <c r="R12">
        <v>5.1150048625023078E-2</v>
      </c>
    </row>
    <row r="13" spans="1:18">
      <c r="A13" t="s">
        <v>196</v>
      </c>
      <c r="B13">
        <v>1</v>
      </c>
      <c r="C13">
        <v>2</v>
      </c>
      <c r="D13">
        <v>4</v>
      </c>
      <c r="E13">
        <v>60</v>
      </c>
      <c r="F13">
        <v>30</v>
      </c>
      <c r="G13">
        <v>5</v>
      </c>
      <c r="H13" t="s">
        <v>200</v>
      </c>
    </row>
    <row r="14" spans="1:18">
      <c r="A14" t="s">
        <v>196</v>
      </c>
      <c r="B14">
        <v>1</v>
      </c>
      <c r="C14">
        <v>2</v>
      </c>
      <c r="D14">
        <v>4</v>
      </c>
      <c r="E14">
        <v>60</v>
      </c>
      <c r="F14">
        <v>30</v>
      </c>
      <c r="G14">
        <v>6</v>
      </c>
      <c r="H14" t="s">
        <v>197</v>
      </c>
      <c r="I14">
        <v>0.86486023684960822</v>
      </c>
      <c r="J14">
        <v>0.14518736100145579</v>
      </c>
      <c r="K14">
        <v>1</v>
      </c>
      <c r="L14">
        <v>0</v>
      </c>
      <c r="M14">
        <v>3.9988926143529486E-4</v>
      </c>
      <c r="N14">
        <v>7.8243228955970974</v>
      </c>
      <c r="O14">
        <v>1.6810144679205838</v>
      </c>
      <c r="P14">
        <v>0.18618500149000228</v>
      </c>
      <c r="Q14">
        <v>1.5648645791194191</v>
      </c>
      <c r="R14">
        <v>0.20911632997344551</v>
      </c>
    </row>
    <row r="15" spans="1:18">
      <c r="A15" t="s">
        <v>196</v>
      </c>
      <c r="B15">
        <v>1</v>
      </c>
      <c r="C15">
        <v>2</v>
      </c>
      <c r="D15">
        <v>4</v>
      </c>
      <c r="E15">
        <v>60</v>
      </c>
      <c r="F15">
        <v>30</v>
      </c>
      <c r="G15">
        <v>6</v>
      </c>
      <c r="H15" t="s">
        <v>198</v>
      </c>
      <c r="I15">
        <v>0.98334202231551548</v>
      </c>
      <c r="J15">
        <v>1.6798282102354095E-2</v>
      </c>
      <c r="K15">
        <v>1</v>
      </c>
      <c r="L15">
        <v>0</v>
      </c>
      <c r="M15">
        <v>5.454367015780779E-5</v>
      </c>
      <c r="N15">
        <v>9.8165088898551289</v>
      </c>
      <c r="O15">
        <v>1.9767404036529086</v>
      </c>
      <c r="P15">
        <v>0.13852002158072607</v>
      </c>
      <c r="Q15">
        <v>1.9633017779710253</v>
      </c>
      <c r="R15">
        <v>0.14039410464625943</v>
      </c>
    </row>
    <row r="16" spans="1:18">
      <c r="A16" t="s">
        <v>196</v>
      </c>
      <c r="B16">
        <v>1</v>
      </c>
      <c r="C16">
        <v>2</v>
      </c>
      <c r="D16">
        <v>4</v>
      </c>
      <c r="E16">
        <v>60</v>
      </c>
      <c r="F16">
        <v>30</v>
      </c>
      <c r="G16">
        <v>6</v>
      </c>
      <c r="H16" t="s">
        <v>199</v>
      </c>
      <c r="I16">
        <v>3.9909076904460772E-3</v>
      </c>
      <c r="J16">
        <v>5.5237365826127274</v>
      </c>
      <c r="K16">
        <v>0.37775046084110986</v>
      </c>
      <c r="L16">
        <v>0.973521457866803</v>
      </c>
      <c r="M16">
        <v>5.326530288848417E-8</v>
      </c>
      <c r="N16">
        <v>16.747980695454583</v>
      </c>
      <c r="O16">
        <v>7.7685854051810974</v>
      </c>
      <c r="P16">
        <v>4.2281095014898057E-4</v>
      </c>
      <c r="Q16">
        <v>4.1284133053843579</v>
      </c>
      <c r="R16">
        <v>1.6108417695658395E-2</v>
      </c>
    </row>
    <row r="17" spans="1:18">
      <c r="A17" t="s">
        <v>196</v>
      </c>
      <c r="B17">
        <v>1</v>
      </c>
      <c r="C17">
        <v>2</v>
      </c>
      <c r="D17">
        <v>4</v>
      </c>
      <c r="E17">
        <v>60</v>
      </c>
      <c r="F17">
        <v>30</v>
      </c>
      <c r="G17">
        <v>6</v>
      </c>
      <c r="H17" t="s">
        <v>200</v>
      </c>
    </row>
    <row r="18" spans="1:18">
      <c r="A18" t="s">
        <v>196</v>
      </c>
      <c r="B18">
        <v>1</v>
      </c>
      <c r="C18">
        <v>2</v>
      </c>
      <c r="D18">
        <v>4</v>
      </c>
      <c r="E18">
        <v>60</v>
      </c>
      <c r="F18">
        <v>30</v>
      </c>
      <c r="G18">
        <v>7</v>
      </c>
      <c r="H18" t="s">
        <v>197</v>
      </c>
      <c r="I18">
        <v>0.34876272984291878</v>
      </c>
      <c r="J18">
        <v>1.0533634451710168</v>
      </c>
      <c r="K18">
        <v>1</v>
      </c>
      <c r="L18">
        <v>0</v>
      </c>
      <c r="M18">
        <v>6.664821023921581E-5</v>
      </c>
      <c r="N18">
        <v>9.6160823648251519</v>
      </c>
      <c r="O18">
        <v>2.7659072291018432</v>
      </c>
      <c r="P18">
        <v>6.2918991506830682E-2</v>
      </c>
      <c r="Q18">
        <v>1.9232164729650298</v>
      </c>
      <c r="R18">
        <v>0.1461361623634298</v>
      </c>
    </row>
    <row r="19" spans="1:18">
      <c r="A19" t="s">
        <v>196</v>
      </c>
      <c r="B19">
        <v>1</v>
      </c>
      <c r="C19">
        <v>2</v>
      </c>
      <c r="D19">
        <v>4</v>
      </c>
      <c r="E19">
        <v>60</v>
      </c>
      <c r="F19">
        <v>30</v>
      </c>
      <c r="G19">
        <v>7</v>
      </c>
      <c r="H19" t="s">
        <v>198</v>
      </c>
      <c r="I19">
        <v>0.91430147136038931</v>
      </c>
      <c r="J19">
        <v>8.9594924537770182E-2</v>
      </c>
      <c r="K19">
        <v>1</v>
      </c>
      <c r="L19">
        <v>0</v>
      </c>
      <c r="M19">
        <v>7.272489354374372E-6</v>
      </c>
      <c r="N19">
        <v>11.831411910397394</v>
      </c>
      <c r="O19">
        <v>2.4379583217096945</v>
      </c>
      <c r="P19">
        <v>8.7338987666707391E-2</v>
      </c>
      <c r="Q19">
        <v>2.3662823820794783</v>
      </c>
      <c r="R19">
        <v>9.3828898686287021E-2</v>
      </c>
    </row>
    <row r="20" spans="1:18">
      <c r="A20" t="s">
        <v>196</v>
      </c>
      <c r="B20">
        <v>1</v>
      </c>
      <c r="C20">
        <v>2</v>
      </c>
      <c r="D20">
        <v>4</v>
      </c>
      <c r="E20">
        <v>60</v>
      </c>
      <c r="F20">
        <v>30</v>
      </c>
      <c r="G20">
        <v>7</v>
      </c>
      <c r="H20" t="s">
        <v>199</v>
      </c>
      <c r="I20">
        <v>5.9965402776851473E-4</v>
      </c>
      <c r="J20">
        <v>7.4191576894434057</v>
      </c>
      <c r="K20">
        <v>0.17284703003529256</v>
      </c>
      <c r="L20">
        <v>1.7553482950861448</v>
      </c>
      <c r="M20">
        <v>1.7755100962828057E-9</v>
      </c>
      <c r="N20">
        <v>20.149178077116737</v>
      </c>
      <c r="O20">
        <v>9.9651617669780705</v>
      </c>
      <c r="P20">
        <v>4.7009456847255043E-5</v>
      </c>
      <c r="Q20">
        <v>5.4341142514922627</v>
      </c>
      <c r="R20">
        <v>4.3650996898739825E-3</v>
      </c>
    </row>
    <row r="21" spans="1:18">
      <c r="A21" t="s">
        <v>196</v>
      </c>
      <c r="B21">
        <v>1</v>
      </c>
      <c r="C21">
        <v>2</v>
      </c>
      <c r="D21">
        <v>4</v>
      </c>
      <c r="E21">
        <v>60</v>
      </c>
      <c r="F21">
        <v>30</v>
      </c>
      <c r="G21">
        <v>7</v>
      </c>
      <c r="H21" t="s">
        <v>200</v>
      </c>
    </row>
    <row r="22" spans="1:18">
      <c r="A22" t="s">
        <v>196</v>
      </c>
      <c r="B22">
        <v>1</v>
      </c>
      <c r="C22">
        <v>2</v>
      </c>
      <c r="D22">
        <v>4</v>
      </c>
      <c r="E22">
        <v>60</v>
      </c>
      <c r="F22">
        <v>30</v>
      </c>
      <c r="G22">
        <v>8</v>
      </c>
      <c r="H22" t="s">
        <v>197</v>
      </c>
      <c r="I22">
        <v>6.2685858511162929E-2</v>
      </c>
      <c r="J22">
        <v>2.7696193988684192</v>
      </c>
      <c r="K22">
        <v>1</v>
      </c>
      <c r="L22">
        <v>0</v>
      </c>
      <c r="M22">
        <v>1.0060107205919367E-5</v>
      </c>
      <c r="N22">
        <v>11.506932736697438</v>
      </c>
      <c r="O22">
        <v>4.5170820664342219</v>
      </c>
      <c r="P22">
        <v>1.0920843517741401E-2</v>
      </c>
      <c r="Q22">
        <v>2.301386547339487</v>
      </c>
      <c r="R22">
        <v>0.10011992641974418</v>
      </c>
    </row>
    <row r="23" spans="1:18">
      <c r="A23" t="s">
        <v>196</v>
      </c>
      <c r="B23">
        <v>1</v>
      </c>
      <c r="C23">
        <v>2</v>
      </c>
      <c r="D23">
        <v>4</v>
      </c>
      <c r="E23">
        <v>60</v>
      </c>
      <c r="F23">
        <v>30</v>
      </c>
      <c r="G23">
        <v>8</v>
      </c>
      <c r="H23" t="s">
        <v>198</v>
      </c>
      <c r="I23">
        <v>0.73249001110889389</v>
      </c>
      <c r="J23">
        <v>0.31130557489530314</v>
      </c>
      <c r="K23">
        <v>1</v>
      </c>
      <c r="L23">
        <v>0</v>
      </c>
      <c r="M23">
        <v>9.7576377081752562E-7</v>
      </c>
      <c r="N23">
        <v>13.840045317926064</v>
      </c>
      <c r="O23">
        <v>3.0170535235014548</v>
      </c>
      <c r="P23">
        <v>4.8945222052578639E-2</v>
      </c>
      <c r="Q23">
        <v>2.7680090635852124</v>
      </c>
      <c r="R23">
        <v>6.2786885082375982E-2</v>
      </c>
    </row>
    <row r="24" spans="1:18">
      <c r="A24" t="s">
        <v>196</v>
      </c>
      <c r="B24">
        <v>1</v>
      </c>
      <c r="C24">
        <v>2</v>
      </c>
      <c r="D24">
        <v>4</v>
      </c>
      <c r="E24">
        <v>60</v>
      </c>
      <c r="F24">
        <v>30</v>
      </c>
      <c r="G24">
        <v>8</v>
      </c>
      <c r="H24" t="s">
        <v>199</v>
      </c>
      <c r="I24">
        <v>8.0477619149976753E-5</v>
      </c>
      <c r="J24">
        <v>9.4275314351769666</v>
      </c>
      <c r="K24">
        <v>7.0585999338420358E-2</v>
      </c>
      <c r="L24">
        <v>2.6509234638030028</v>
      </c>
      <c r="M24">
        <v>5.9555894214936866E-11</v>
      </c>
      <c r="N24">
        <v>23.544105845765298</v>
      </c>
      <c r="O24">
        <v>12.250846317294631</v>
      </c>
      <c r="P24">
        <v>4.781069377717132E-6</v>
      </c>
      <c r="Q24">
        <v>6.8295599401954608</v>
      </c>
      <c r="R24">
        <v>1.0813338644861483E-3</v>
      </c>
    </row>
    <row r="25" spans="1:18">
      <c r="A25" t="s">
        <v>196</v>
      </c>
      <c r="B25">
        <v>1</v>
      </c>
      <c r="C25">
        <v>2</v>
      </c>
      <c r="D25">
        <v>4</v>
      </c>
      <c r="E25">
        <v>60</v>
      </c>
      <c r="F25">
        <v>30</v>
      </c>
      <c r="G25">
        <v>8</v>
      </c>
      <c r="H25" t="s">
        <v>200</v>
      </c>
    </row>
    <row r="26" spans="1:18">
      <c r="A26" t="s">
        <v>196</v>
      </c>
      <c r="B26">
        <v>1</v>
      </c>
      <c r="C26">
        <v>2</v>
      </c>
      <c r="D26">
        <v>4</v>
      </c>
      <c r="E26">
        <v>60</v>
      </c>
      <c r="F26">
        <v>30</v>
      </c>
      <c r="G26">
        <v>9</v>
      </c>
      <c r="H26" t="s">
        <v>197</v>
      </c>
      <c r="I26">
        <v>6.7550784172143441E-3</v>
      </c>
      <c r="J26">
        <v>4.9974606988713539</v>
      </c>
      <c r="K26">
        <v>0.99999999615075663</v>
      </c>
      <c r="L26">
        <v>3.849243375900576E-9</v>
      </c>
      <c r="M26">
        <v>1.3542452007968379E-6</v>
      </c>
      <c r="N26">
        <v>13.512266306223552</v>
      </c>
      <c r="O26">
        <v>6.7004218203417931</v>
      </c>
      <c r="P26">
        <v>1.2303927884881371E-3</v>
      </c>
      <c r="Q26">
        <v>2.7024532643241042</v>
      </c>
      <c r="R26">
        <v>6.7040841926067768E-2</v>
      </c>
    </row>
    <row r="27" spans="1:18">
      <c r="A27" t="s">
        <v>196</v>
      </c>
      <c r="B27">
        <v>1</v>
      </c>
      <c r="C27">
        <v>2</v>
      </c>
      <c r="D27">
        <v>4</v>
      </c>
      <c r="E27">
        <v>60</v>
      </c>
      <c r="F27">
        <v>30</v>
      </c>
      <c r="G27">
        <v>9</v>
      </c>
      <c r="H27" t="s">
        <v>198</v>
      </c>
      <c r="I27">
        <v>0.46273439314242748</v>
      </c>
      <c r="J27">
        <v>0.7706020544237423</v>
      </c>
      <c r="K27">
        <v>1</v>
      </c>
      <c r="L27">
        <v>0</v>
      </c>
      <c r="M27">
        <v>1.313528153023592E-7</v>
      </c>
      <c r="N27">
        <v>15.845378887452178</v>
      </c>
      <c r="O27">
        <v>3.7855574210294289</v>
      </c>
      <c r="P27">
        <v>2.2696207906438257E-2</v>
      </c>
      <c r="Q27">
        <v>3.169075777490435</v>
      </c>
      <c r="R27">
        <v>4.2042436519107426E-2</v>
      </c>
    </row>
    <row r="28" spans="1:18">
      <c r="A28" t="s">
        <v>196</v>
      </c>
      <c r="B28">
        <v>1</v>
      </c>
      <c r="C28">
        <v>2</v>
      </c>
      <c r="D28">
        <v>4</v>
      </c>
      <c r="E28">
        <v>60</v>
      </c>
      <c r="F28">
        <v>30</v>
      </c>
      <c r="G28">
        <v>9</v>
      </c>
      <c r="H28" t="s">
        <v>199</v>
      </c>
      <c r="I28">
        <v>9.4796714732447995E-6</v>
      </c>
      <c r="J28">
        <v>11.566360897018845</v>
      </c>
      <c r="K28">
        <v>2.6734577735314402E-2</v>
      </c>
      <c r="L28">
        <v>3.6217975051586015</v>
      </c>
      <c r="M28">
        <v>2.0042849014642212E-12</v>
      </c>
      <c r="N28">
        <v>26.935733776411304</v>
      </c>
      <c r="O28">
        <v>14.640235472897336</v>
      </c>
      <c r="P28">
        <v>4.3835556094972061E-7</v>
      </c>
      <c r="Q28">
        <v>8.2845847594091406</v>
      </c>
      <c r="R28">
        <v>2.5237745358202478E-4</v>
      </c>
    </row>
    <row r="29" spans="1:18">
      <c r="A29" t="s">
        <v>196</v>
      </c>
      <c r="B29">
        <v>1</v>
      </c>
      <c r="C29">
        <v>2</v>
      </c>
      <c r="D29">
        <v>4</v>
      </c>
      <c r="E29">
        <v>60</v>
      </c>
      <c r="F29">
        <v>30</v>
      </c>
      <c r="G29">
        <v>9</v>
      </c>
      <c r="H29" t="s">
        <v>200</v>
      </c>
    </row>
    <row r="30" spans="1:18">
      <c r="A30" t="s">
        <v>196</v>
      </c>
      <c r="B30">
        <v>1</v>
      </c>
      <c r="C30">
        <v>2</v>
      </c>
      <c r="D30">
        <v>4</v>
      </c>
      <c r="E30">
        <v>60</v>
      </c>
      <c r="F30">
        <v>30</v>
      </c>
      <c r="G30">
        <v>10</v>
      </c>
      <c r="H30" t="s">
        <v>197</v>
      </c>
      <c r="I30">
        <v>4.7833242584427449E-4</v>
      </c>
      <c r="J30">
        <v>7.6452046156301323</v>
      </c>
      <c r="K30">
        <v>0.99166140771186184</v>
      </c>
      <c r="L30">
        <v>8.3735528322806899E-3</v>
      </c>
      <c r="M30">
        <v>1.5932296479962799E-7</v>
      </c>
      <c r="N30">
        <v>15.652332469719823</v>
      </c>
      <c r="O30">
        <v>9.2466301864480691</v>
      </c>
      <c r="P30">
        <v>9.6436076727323384E-5</v>
      </c>
      <c r="Q30">
        <v>3.1371653362097889</v>
      </c>
      <c r="R30">
        <v>4.3405664141885861E-2</v>
      </c>
    </row>
    <row r="31" spans="1:18">
      <c r="A31" t="s">
        <v>196</v>
      </c>
      <c r="B31">
        <v>1</v>
      </c>
      <c r="C31">
        <v>2</v>
      </c>
      <c r="D31">
        <v>4</v>
      </c>
      <c r="E31">
        <v>60</v>
      </c>
      <c r="F31">
        <v>30</v>
      </c>
      <c r="G31">
        <v>10</v>
      </c>
      <c r="H31" t="s">
        <v>198</v>
      </c>
      <c r="I31">
        <v>0.22166118574806526</v>
      </c>
      <c r="J31">
        <v>1.5066052532486618</v>
      </c>
      <c r="K31">
        <v>1</v>
      </c>
      <c r="L31">
        <v>0</v>
      </c>
      <c r="M31">
        <v>1.7660882729728966E-8</v>
      </c>
      <c r="N31">
        <v>17.851913658323927</v>
      </c>
      <c r="O31">
        <v>4.7756669342637146</v>
      </c>
      <c r="P31">
        <v>8.4324583162718163E-3</v>
      </c>
      <c r="Q31">
        <v>3.5703827316647847</v>
      </c>
      <c r="R31">
        <v>2.8145079605468925E-2</v>
      </c>
    </row>
    <row r="32" spans="1:18">
      <c r="A32" t="s">
        <v>196</v>
      </c>
      <c r="B32">
        <v>1</v>
      </c>
      <c r="C32">
        <v>2</v>
      </c>
      <c r="D32">
        <v>4</v>
      </c>
      <c r="E32">
        <v>60</v>
      </c>
      <c r="F32">
        <v>30</v>
      </c>
      <c r="G32">
        <v>10</v>
      </c>
      <c r="H32" t="s">
        <v>199</v>
      </c>
      <c r="I32">
        <v>9.5593733184795582E-7</v>
      </c>
      <c r="J32">
        <v>13.860573478503964</v>
      </c>
      <c r="K32">
        <v>9.5185664844106288E-3</v>
      </c>
      <c r="L32">
        <v>4.6545110208857059</v>
      </c>
      <c r="M32">
        <v>6.7370921057620874E-14</v>
      </c>
      <c r="N32">
        <v>30.32856290840294</v>
      </c>
      <c r="O32">
        <v>17.154171364483759</v>
      </c>
      <c r="P32">
        <v>3.5484446455552813E-8</v>
      </c>
      <c r="Q32">
        <v>9.7893213983891521</v>
      </c>
      <c r="R32">
        <v>5.6046917898435298E-5</v>
      </c>
    </row>
    <row r="33" spans="1:18">
      <c r="A33" t="s">
        <v>196</v>
      </c>
      <c r="B33">
        <v>1</v>
      </c>
      <c r="C33">
        <v>2</v>
      </c>
      <c r="D33">
        <v>4</v>
      </c>
      <c r="E33">
        <v>60</v>
      </c>
      <c r="F33">
        <v>30</v>
      </c>
      <c r="G33">
        <v>10</v>
      </c>
      <c r="H33" t="s">
        <v>200</v>
      </c>
    </row>
    <row r="34" spans="1:18">
      <c r="A34" t="s">
        <v>196</v>
      </c>
      <c r="B34">
        <v>1</v>
      </c>
      <c r="C34">
        <v>2</v>
      </c>
      <c r="D34">
        <v>4</v>
      </c>
      <c r="E34">
        <v>60</v>
      </c>
      <c r="F34">
        <v>30</v>
      </c>
      <c r="G34">
        <v>11</v>
      </c>
      <c r="H34" t="s">
        <v>197</v>
      </c>
      <c r="I34">
        <v>2.1747348218137397E-5</v>
      </c>
      <c r="J34">
        <v>10.736018728867728</v>
      </c>
      <c r="K34">
        <v>0.58119017463325851</v>
      </c>
      <c r="L34">
        <v>0.54267725273988543</v>
      </c>
      <c r="M34">
        <v>1.5932296479962801E-8</v>
      </c>
      <c r="N34">
        <v>17.95491756271387</v>
      </c>
      <c r="O34">
        <v>12.179798495636955</v>
      </c>
      <c r="P34">
        <v>5.1331117915367361E-6</v>
      </c>
      <c r="Q34">
        <v>4.0251253147346819</v>
      </c>
      <c r="R34">
        <v>1.7861185743311567E-2</v>
      </c>
    </row>
    <row r="35" spans="1:18">
      <c r="A35" t="s">
        <v>196</v>
      </c>
      <c r="B35">
        <v>1</v>
      </c>
      <c r="C35">
        <v>2</v>
      </c>
      <c r="D35">
        <v>4</v>
      </c>
      <c r="E35">
        <v>60</v>
      </c>
      <c r="F35">
        <v>30</v>
      </c>
      <c r="G35">
        <v>11</v>
      </c>
      <c r="H35" t="s">
        <v>198</v>
      </c>
      <c r="I35">
        <v>8.0137538577503942E-2</v>
      </c>
      <c r="J35">
        <v>2.5240108882774694</v>
      </c>
      <c r="K35">
        <v>1</v>
      </c>
      <c r="L35">
        <v>0</v>
      </c>
      <c r="M35">
        <v>2.3547843639638623E-9</v>
      </c>
      <c r="N35">
        <v>19.86681667886619</v>
      </c>
      <c r="O35">
        <v>5.992572046395213</v>
      </c>
      <c r="P35">
        <v>2.4972327844094144E-3</v>
      </c>
      <c r="Q35">
        <v>3.9733633357732372</v>
      </c>
      <c r="R35">
        <v>1.8810062071145439E-2</v>
      </c>
    </row>
    <row r="36" spans="1:18">
      <c r="A36" t="s">
        <v>196</v>
      </c>
      <c r="B36">
        <v>1</v>
      </c>
      <c r="C36">
        <v>2</v>
      </c>
      <c r="D36">
        <v>4</v>
      </c>
      <c r="E36">
        <v>60</v>
      </c>
      <c r="F36">
        <v>30</v>
      </c>
      <c r="G36">
        <v>11</v>
      </c>
      <c r="H36" t="s">
        <v>199</v>
      </c>
      <c r="I36">
        <v>7.9661479190917817E-8</v>
      </c>
      <c r="J36">
        <v>16.345479690561422</v>
      </c>
      <c r="K36">
        <v>3.1829760822763564E-3</v>
      </c>
      <c r="L36">
        <v>5.7499386449182808</v>
      </c>
      <c r="M36">
        <v>2.2456973685873626E-15</v>
      </c>
      <c r="N36">
        <v>33.729760290065094</v>
      </c>
      <c r="O36">
        <v>19.822335810462157</v>
      </c>
      <c r="P36">
        <v>2.4618916712368652E-9</v>
      </c>
      <c r="Q36">
        <v>11.345902973947641</v>
      </c>
      <c r="R36">
        <v>1.18178084446913E-5</v>
      </c>
    </row>
    <row r="37" spans="1:18">
      <c r="A37" t="s">
        <v>196</v>
      </c>
      <c r="B37">
        <v>1</v>
      </c>
      <c r="C37">
        <v>2</v>
      </c>
      <c r="D37">
        <v>4</v>
      </c>
      <c r="E37">
        <v>60</v>
      </c>
      <c r="F37">
        <v>30</v>
      </c>
      <c r="G37">
        <v>11</v>
      </c>
      <c r="H37" t="s">
        <v>200</v>
      </c>
    </row>
    <row r="38" spans="1:18">
      <c r="A38" t="s">
        <v>196</v>
      </c>
      <c r="B38">
        <v>1</v>
      </c>
      <c r="C38">
        <v>2</v>
      </c>
      <c r="D38">
        <v>4</v>
      </c>
      <c r="E38">
        <v>60</v>
      </c>
      <c r="F38">
        <v>30</v>
      </c>
      <c r="G38">
        <v>12</v>
      </c>
      <c r="H38" t="s">
        <v>197</v>
      </c>
      <c r="I38">
        <v>5.9177083699957223E-7</v>
      </c>
      <c r="J38">
        <v>14.340146376667706</v>
      </c>
      <c r="K38">
        <v>0.10639613903241885</v>
      </c>
      <c r="L38">
        <v>2.2405859900222893</v>
      </c>
      <c r="M38">
        <v>1.3005956310173714E-9</v>
      </c>
      <c r="N38">
        <v>20.460443499704606</v>
      </c>
      <c r="O38">
        <v>15.564205801275087</v>
      </c>
      <c r="P38">
        <v>1.740008241454342E-7</v>
      </c>
      <c r="Q38">
        <v>5.884557491958752</v>
      </c>
      <c r="R38">
        <v>2.7820770444453875E-3</v>
      </c>
    </row>
    <row r="39" spans="1:18">
      <c r="A39" t="s">
        <v>196</v>
      </c>
      <c r="B39">
        <v>1</v>
      </c>
      <c r="C39">
        <v>2</v>
      </c>
      <c r="D39">
        <v>4</v>
      </c>
      <c r="E39">
        <v>60</v>
      </c>
      <c r="F39">
        <v>30</v>
      </c>
      <c r="G39">
        <v>12</v>
      </c>
      <c r="H39" t="s">
        <v>198</v>
      </c>
      <c r="I39">
        <v>2.1584031619577559E-2</v>
      </c>
      <c r="J39">
        <v>3.8358015145633271</v>
      </c>
      <c r="K39">
        <v>1</v>
      </c>
      <c r="L39">
        <v>0</v>
      </c>
      <c r="M39">
        <v>3.0756367202793308E-10</v>
      </c>
      <c r="N39">
        <v>21.902338986611191</v>
      </c>
      <c r="O39">
        <v>7.4491090089728988</v>
      </c>
      <c r="P39">
        <v>5.819599023146394E-4</v>
      </c>
      <c r="Q39">
        <v>4.380467797322237</v>
      </c>
      <c r="R39">
        <v>1.2519500662126969E-2</v>
      </c>
    </row>
    <row r="40" spans="1:18">
      <c r="A40" t="s">
        <v>196</v>
      </c>
      <c r="B40">
        <v>1</v>
      </c>
      <c r="C40">
        <v>2</v>
      </c>
      <c r="D40">
        <v>4</v>
      </c>
      <c r="E40">
        <v>60</v>
      </c>
      <c r="F40">
        <v>30</v>
      </c>
      <c r="G40">
        <v>12</v>
      </c>
      <c r="H40" t="s">
        <v>199</v>
      </c>
      <c r="I40">
        <v>5.2023825247715649E-9</v>
      </c>
      <c r="J40">
        <v>19.074149138449762</v>
      </c>
      <c r="K40">
        <v>9.8845805908276407E-4</v>
      </c>
      <c r="L40">
        <v>6.9193643451027311</v>
      </c>
      <c r="M40">
        <v>7.332889366815879E-17</v>
      </c>
      <c r="N40">
        <v>37.151576958929986</v>
      </c>
      <c r="O40">
        <v>22.689634702545806</v>
      </c>
      <c r="P40">
        <v>1.3996416329574047E-10</v>
      </c>
      <c r="Q40">
        <v>12.965806867868181</v>
      </c>
      <c r="R40">
        <v>2.3389536940919568E-6</v>
      </c>
    </row>
    <row r="41" spans="1:18">
      <c r="A41" t="s">
        <v>196</v>
      </c>
      <c r="B41">
        <v>1</v>
      </c>
      <c r="C41">
        <v>2</v>
      </c>
      <c r="D41">
        <v>4</v>
      </c>
      <c r="E41">
        <v>60</v>
      </c>
      <c r="F41">
        <v>30</v>
      </c>
      <c r="G41">
        <v>12</v>
      </c>
      <c r="H41" t="s">
        <v>200</v>
      </c>
    </row>
    <row r="42" spans="1:18">
      <c r="A42" t="s">
        <v>196</v>
      </c>
      <c r="B42">
        <v>1</v>
      </c>
      <c r="C42">
        <v>2</v>
      </c>
      <c r="D42">
        <v>4</v>
      </c>
      <c r="E42">
        <v>60</v>
      </c>
      <c r="F42">
        <v>30</v>
      </c>
      <c r="G42">
        <v>13</v>
      </c>
      <c r="H42" t="s">
        <v>197</v>
      </c>
      <c r="I42">
        <v>8.5351588019477731E-9</v>
      </c>
      <c r="J42">
        <v>18.579071874903821</v>
      </c>
      <c r="K42">
        <v>9.6877149058937073E-3</v>
      </c>
      <c r="L42">
        <v>4.6368967007145399</v>
      </c>
      <c r="M42">
        <v>8.128722693858571E-11</v>
      </c>
      <c r="N42">
        <v>23.233032221944384</v>
      </c>
      <c r="O42">
        <v>19.509863944311935</v>
      </c>
      <c r="P42">
        <v>3.3649122740381813E-9</v>
      </c>
      <c r="Q42">
        <v>8.3561238049605073</v>
      </c>
      <c r="R42">
        <v>2.3495329577365425E-4</v>
      </c>
    </row>
    <row r="43" spans="1:18">
      <c r="A43" t="s">
        <v>196</v>
      </c>
      <c r="B43">
        <v>1</v>
      </c>
      <c r="C43">
        <v>2</v>
      </c>
      <c r="D43">
        <v>4</v>
      </c>
      <c r="E43">
        <v>60</v>
      </c>
      <c r="F43">
        <v>30</v>
      </c>
      <c r="G43">
        <v>13</v>
      </c>
      <c r="H43" t="s">
        <v>198</v>
      </c>
      <c r="I43">
        <v>4.0829620454846394E-3</v>
      </c>
      <c r="J43">
        <v>5.5009325624300933</v>
      </c>
      <c r="K43">
        <v>1</v>
      </c>
      <c r="L43">
        <v>0</v>
      </c>
      <c r="M43">
        <v>3.8445459003491635E-11</v>
      </c>
      <c r="N43">
        <v>23.981780528291026</v>
      </c>
      <c r="O43">
        <v>9.1971021556022787</v>
      </c>
      <c r="P43">
        <v>1.0133262295104354E-4</v>
      </c>
      <c r="Q43">
        <v>4.7963561056582042</v>
      </c>
      <c r="R43">
        <v>8.2597900813015102E-3</v>
      </c>
    </row>
    <row r="44" spans="1:18">
      <c r="A44" t="s">
        <v>196</v>
      </c>
      <c r="B44">
        <v>1</v>
      </c>
      <c r="C44">
        <v>2</v>
      </c>
      <c r="D44">
        <v>4</v>
      </c>
      <c r="E44">
        <v>60</v>
      </c>
      <c r="F44">
        <v>30</v>
      </c>
      <c r="G44">
        <v>13</v>
      </c>
      <c r="H44" t="s">
        <v>199</v>
      </c>
      <c r="I44">
        <v>2.4386170860424272E-10</v>
      </c>
      <c r="J44">
        <v>22.134419819324449</v>
      </c>
      <c r="K44">
        <v>2.7810263957783743E-4</v>
      </c>
      <c r="L44">
        <v>8.1875203052992891</v>
      </c>
      <c r="M44">
        <v>2.2915279271299622E-18</v>
      </c>
      <c r="N44">
        <v>40.617312861729715</v>
      </c>
      <c r="O44">
        <v>25.830998427805504</v>
      </c>
      <c r="P44">
        <v>6.0497847211160352E-12</v>
      </c>
      <c r="Q44">
        <v>14.673478816585373</v>
      </c>
      <c r="R44">
        <v>4.2402271222301626E-7</v>
      </c>
    </row>
    <row r="45" spans="1:18">
      <c r="A45" t="s">
        <v>196</v>
      </c>
      <c r="B45">
        <v>1</v>
      </c>
      <c r="C45">
        <v>2</v>
      </c>
      <c r="D45">
        <v>4</v>
      </c>
      <c r="E45">
        <v>60</v>
      </c>
      <c r="F45">
        <v>30</v>
      </c>
      <c r="G45">
        <v>13</v>
      </c>
      <c r="H45" t="s">
        <v>200</v>
      </c>
    </row>
    <row r="46" spans="1:18">
      <c r="A46" t="s">
        <v>196</v>
      </c>
      <c r="B46">
        <v>1</v>
      </c>
      <c r="C46">
        <v>2</v>
      </c>
      <c r="D46">
        <v>4</v>
      </c>
      <c r="E46">
        <v>60</v>
      </c>
      <c r="F46">
        <v>30</v>
      </c>
      <c r="G46">
        <v>14</v>
      </c>
      <c r="H46" t="s">
        <v>197</v>
      </c>
      <c r="I46">
        <v>5.1885495899739453E-11</v>
      </c>
      <c r="J46">
        <v>23.681981827246375</v>
      </c>
      <c r="K46">
        <v>5.0289503714573414E-4</v>
      </c>
      <c r="L46">
        <v>7.5951290833064462</v>
      </c>
      <c r="M46">
        <v>3.4590309335568387E-12</v>
      </c>
      <c r="N46">
        <v>26.3900326430945</v>
      </c>
      <c r="O46">
        <v>24.223591990416001</v>
      </c>
      <c r="P46">
        <v>3.0187536046907907E-11</v>
      </c>
      <c r="Q46">
        <v>11.354109795264055</v>
      </c>
      <c r="R46">
        <v>1.172121869197967E-5</v>
      </c>
    </row>
    <row r="47" spans="1:18">
      <c r="A47" t="s">
        <v>196</v>
      </c>
      <c r="B47">
        <v>1</v>
      </c>
      <c r="C47">
        <v>2</v>
      </c>
      <c r="D47">
        <v>4</v>
      </c>
      <c r="E47">
        <v>60</v>
      </c>
      <c r="F47">
        <v>30</v>
      </c>
      <c r="G47">
        <v>14</v>
      </c>
      <c r="H47" t="s">
        <v>198</v>
      </c>
      <c r="I47">
        <v>4.6415551946632494E-4</v>
      </c>
      <c r="J47">
        <v>7.6752908906317279</v>
      </c>
      <c r="K47">
        <v>1</v>
      </c>
      <c r="L47">
        <v>0</v>
      </c>
      <c r="M47">
        <v>4.3626052769919582E-12</v>
      </c>
      <c r="N47">
        <v>26.157951696429414</v>
      </c>
      <c r="O47">
        <v>11.371823051791264</v>
      </c>
      <c r="P47">
        <v>1.1515425750818239E-5</v>
      </c>
      <c r="Q47">
        <v>5.2315903392858818</v>
      </c>
      <c r="R47">
        <v>5.3450181474776811E-3</v>
      </c>
    </row>
    <row r="48" spans="1:18">
      <c r="A48" t="s">
        <v>196</v>
      </c>
      <c r="B48">
        <v>1</v>
      </c>
      <c r="C48">
        <v>2</v>
      </c>
      <c r="D48">
        <v>4</v>
      </c>
      <c r="E48">
        <v>60</v>
      </c>
      <c r="F48">
        <v>30</v>
      </c>
      <c r="G48">
        <v>14</v>
      </c>
      <c r="H48" t="s">
        <v>199</v>
      </c>
      <c r="I48">
        <v>6.9180217110442754E-12</v>
      </c>
      <c r="J48">
        <v>25.696891267077316</v>
      </c>
      <c r="K48">
        <v>6.7067288390898483E-5</v>
      </c>
      <c r="L48">
        <v>9.6098141382077422</v>
      </c>
      <c r="M48">
        <v>6.5007884457587573E-20</v>
      </c>
      <c r="N48">
        <v>44.179778390987991</v>
      </c>
      <c r="O48">
        <v>29.39346869185945</v>
      </c>
      <c r="P48">
        <v>1.7162428586352782E-13</v>
      </c>
      <c r="Q48">
        <v>16.523806988763791</v>
      </c>
      <c r="R48">
        <v>6.6650253374315793E-8</v>
      </c>
    </row>
    <row r="49" spans="1:18">
      <c r="A49" t="s">
        <v>196</v>
      </c>
      <c r="B49">
        <v>1</v>
      </c>
      <c r="C49">
        <v>2</v>
      </c>
      <c r="D49">
        <v>4</v>
      </c>
      <c r="E49">
        <v>60</v>
      </c>
      <c r="F49">
        <v>30</v>
      </c>
      <c r="G49">
        <v>14</v>
      </c>
      <c r="H49" t="s">
        <v>200</v>
      </c>
    </row>
    <row r="50" spans="1:18">
      <c r="A50" t="s">
        <v>196</v>
      </c>
      <c r="B50">
        <v>1</v>
      </c>
      <c r="C50">
        <v>2</v>
      </c>
      <c r="D50">
        <v>4</v>
      </c>
      <c r="E50">
        <v>60</v>
      </c>
      <c r="F50">
        <v>30</v>
      </c>
      <c r="G50">
        <v>15</v>
      </c>
      <c r="H50" t="s">
        <v>197</v>
      </c>
      <c r="I50">
        <v>7.5162098767123098E-14</v>
      </c>
      <c r="J50">
        <v>30.219129296764827</v>
      </c>
      <c r="K50">
        <v>1.1664199364380679E-5</v>
      </c>
      <c r="L50">
        <v>11.358986290561749</v>
      </c>
      <c r="M50">
        <v>7.5196324642539971E-14</v>
      </c>
      <c r="N50">
        <v>30.218674039583593</v>
      </c>
      <c r="O50">
        <v>30.21903824532858</v>
      </c>
      <c r="P50">
        <v>7.5168942695737173E-14</v>
      </c>
      <c r="Q50">
        <v>15.130923840366117</v>
      </c>
      <c r="R50">
        <v>2.6836339045095861E-7</v>
      </c>
    </row>
    <row r="51" spans="1:18">
      <c r="A51" t="s">
        <v>196</v>
      </c>
      <c r="B51">
        <v>1</v>
      </c>
      <c r="C51">
        <v>2</v>
      </c>
      <c r="D51">
        <v>4</v>
      </c>
      <c r="E51">
        <v>60</v>
      </c>
      <c r="F51">
        <v>30</v>
      </c>
      <c r="G51">
        <v>15</v>
      </c>
      <c r="H51" t="s">
        <v>198</v>
      </c>
      <c r="I51">
        <v>2.0185155971907953E-5</v>
      </c>
      <c r="J51">
        <v>10.810563076569682</v>
      </c>
      <c r="K51">
        <v>1</v>
      </c>
      <c r="L51">
        <v>0</v>
      </c>
      <c r="M51">
        <v>3.7935698060799635E-13</v>
      </c>
      <c r="N51">
        <v>28.600298731798617</v>
      </c>
      <c r="O51">
        <v>14.368510207615468</v>
      </c>
      <c r="P51">
        <v>5.7522175615738375E-7</v>
      </c>
      <c r="Q51">
        <v>5.7200597463597225</v>
      </c>
      <c r="R51">
        <v>3.2795149574097716E-3</v>
      </c>
    </row>
    <row r="52" spans="1:18">
      <c r="A52" t="s">
        <v>196</v>
      </c>
      <c r="B52">
        <v>1</v>
      </c>
      <c r="C52">
        <v>2</v>
      </c>
      <c r="D52">
        <v>4</v>
      </c>
      <c r="E52">
        <v>60</v>
      </c>
      <c r="F52">
        <v>30</v>
      </c>
      <c r="G52">
        <v>15</v>
      </c>
      <c r="H52" t="s">
        <v>199</v>
      </c>
      <c r="I52">
        <v>7.5162098767123098E-14</v>
      </c>
      <c r="J52">
        <v>30.219129296764827</v>
      </c>
      <c r="K52">
        <v>1.1664199364380679E-5</v>
      </c>
      <c r="L52">
        <v>11.358986290561749</v>
      </c>
      <c r="M52">
        <v>1.4132148795127733E-21</v>
      </c>
      <c r="N52">
        <v>48.008419787477088</v>
      </c>
      <c r="O52">
        <v>33.77698739490728</v>
      </c>
      <c r="P52">
        <v>2.1421050205030007E-15</v>
      </c>
      <c r="Q52">
        <v>18.688872989944816</v>
      </c>
      <c r="R52">
        <v>7.6476074478137747E-9</v>
      </c>
    </row>
    <row r="53" spans="1:18">
      <c r="A53" t="s">
        <v>196</v>
      </c>
      <c r="B53">
        <v>1</v>
      </c>
      <c r="C53">
        <v>2</v>
      </c>
      <c r="D53">
        <v>4</v>
      </c>
      <c r="E53">
        <v>60</v>
      </c>
      <c r="F53">
        <v>30</v>
      </c>
      <c r="G53">
        <v>15</v>
      </c>
      <c r="H53" t="s">
        <v>200</v>
      </c>
    </row>
    <row r="54" spans="1:18">
      <c r="A54" t="s">
        <v>201</v>
      </c>
      <c r="B54">
        <v>1</v>
      </c>
      <c r="C54">
        <v>3</v>
      </c>
      <c r="D54">
        <v>4</v>
      </c>
      <c r="E54">
        <v>60</v>
      </c>
      <c r="F54">
        <v>20</v>
      </c>
      <c r="G54">
        <v>3</v>
      </c>
      <c r="H54" t="s">
        <v>197</v>
      </c>
      <c r="I54">
        <v>0.99999999996907007</v>
      </c>
      <c r="J54">
        <v>3.0929925288115491E-11</v>
      </c>
      <c r="K54">
        <v>1</v>
      </c>
      <c r="L54">
        <v>0</v>
      </c>
      <c r="M54">
        <v>5.3185271770894216E-2</v>
      </c>
      <c r="N54">
        <v>2.9339737673753432</v>
      </c>
      <c r="O54">
        <v>0.58679475349981247</v>
      </c>
      <c r="P54">
        <v>0.55610689083839826</v>
      </c>
      <c r="Q54">
        <v>0.58679475347506849</v>
      </c>
      <c r="R54">
        <v>0.55610689085215859</v>
      </c>
    </row>
    <row r="55" spans="1:18">
      <c r="A55" t="s">
        <v>201</v>
      </c>
      <c r="B55">
        <v>1</v>
      </c>
      <c r="C55">
        <v>3</v>
      </c>
      <c r="D55">
        <v>4</v>
      </c>
      <c r="E55">
        <v>60</v>
      </c>
      <c r="F55">
        <v>20</v>
      </c>
      <c r="G55">
        <v>3</v>
      </c>
      <c r="H55" t="s">
        <v>198</v>
      </c>
      <c r="I55">
        <v>0.99998431077721828</v>
      </c>
      <c r="J55">
        <v>1.5689345858865983E-5</v>
      </c>
      <c r="K55">
        <v>0.99999999999908251</v>
      </c>
      <c r="L55">
        <v>9.1748830755065023E-13</v>
      </c>
      <c r="M55">
        <v>2.4313267095265927E-2</v>
      </c>
      <c r="N55">
        <v>3.716733106624976</v>
      </c>
      <c r="O55">
        <v>0.74335917280168218</v>
      </c>
      <c r="P55">
        <v>0.4755138963077804</v>
      </c>
      <c r="Q55">
        <v>0.74334662132572904</v>
      </c>
      <c r="R55">
        <v>0.47551986474647157</v>
      </c>
    </row>
    <row r="56" spans="1:18">
      <c r="A56" t="s">
        <v>201</v>
      </c>
      <c r="B56">
        <v>1</v>
      </c>
      <c r="C56">
        <v>3</v>
      </c>
      <c r="D56">
        <v>4</v>
      </c>
      <c r="E56">
        <v>60</v>
      </c>
      <c r="F56">
        <v>20</v>
      </c>
      <c r="G56">
        <v>3</v>
      </c>
      <c r="H56" t="s">
        <v>199</v>
      </c>
      <c r="I56">
        <v>0.49912992006885448</v>
      </c>
      <c r="J56">
        <v>0.69488885625919716</v>
      </c>
      <c r="K56">
        <v>0.82312646274189949</v>
      </c>
      <c r="L56">
        <v>0.19464542942691526</v>
      </c>
      <c r="M56">
        <v>1.5195791934541204E-3</v>
      </c>
      <c r="N56">
        <v>6.4893218288647567</v>
      </c>
      <c r="O56">
        <v>1.8537754507803088</v>
      </c>
      <c r="P56">
        <v>0.15664464435394138</v>
      </c>
      <c r="Q56">
        <v>1.4535807093144835</v>
      </c>
      <c r="R56">
        <v>0.23373186205410568</v>
      </c>
    </row>
    <row r="57" spans="1:18">
      <c r="A57" t="s">
        <v>201</v>
      </c>
      <c r="B57">
        <v>1</v>
      </c>
      <c r="C57">
        <v>3</v>
      </c>
      <c r="D57">
        <v>4</v>
      </c>
      <c r="E57">
        <v>60</v>
      </c>
      <c r="F57">
        <v>20</v>
      </c>
      <c r="G57">
        <v>3</v>
      </c>
      <c r="H57" t="s">
        <v>200</v>
      </c>
      <c r="I57">
        <v>0.54967200167703711</v>
      </c>
      <c r="J57">
        <v>0.59843353923653009</v>
      </c>
      <c r="K57">
        <v>0.86450642990044213</v>
      </c>
      <c r="L57">
        <v>0.14559653617628129</v>
      </c>
      <c r="M57">
        <v>1.7533606078316774E-3</v>
      </c>
      <c r="N57">
        <v>6.3462209852240834</v>
      </c>
      <c r="O57">
        <v>1.7479910284340405</v>
      </c>
      <c r="P57">
        <v>0.1741234012696195</v>
      </c>
      <c r="Q57">
        <v>1.3857214259858415</v>
      </c>
      <c r="R57">
        <v>0.2501432748231831</v>
      </c>
    </row>
    <row r="58" spans="1:18">
      <c r="A58" t="s">
        <v>201</v>
      </c>
      <c r="B58">
        <v>1</v>
      </c>
      <c r="C58">
        <v>3</v>
      </c>
      <c r="D58">
        <v>4</v>
      </c>
      <c r="E58">
        <v>60</v>
      </c>
      <c r="F58">
        <v>20</v>
      </c>
      <c r="G58">
        <v>4</v>
      </c>
      <c r="H58" t="s">
        <v>197</v>
      </c>
      <c r="I58">
        <v>0.99999976967340842</v>
      </c>
      <c r="J58">
        <v>2.3032661810224149E-7</v>
      </c>
      <c r="K58">
        <v>1</v>
      </c>
      <c r="L58">
        <v>0</v>
      </c>
      <c r="M58">
        <v>1.1196899320188256E-2</v>
      </c>
      <c r="N58">
        <v>4.4921183854218931</v>
      </c>
      <c r="O58">
        <v>0.89842386134567287</v>
      </c>
      <c r="P58">
        <v>0.4072109751652444</v>
      </c>
      <c r="Q58">
        <v>0.89842367708437842</v>
      </c>
      <c r="R58">
        <v>0.40721105019847276</v>
      </c>
    </row>
    <row r="59" spans="1:18">
      <c r="A59" t="s">
        <v>201</v>
      </c>
      <c r="B59">
        <v>1</v>
      </c>
      <c r="C59">
        <v>3</v>
      </c>
      <c r="D59">
        <v>4</v>
      </c>
      <c r="E59">
        <v>60</v>
      </c>
      <c r="F59">
        <v>20</v>
      </c>
      <c r="G59">
        <v>4</v>
      </c>
      <c r="H59" t="s">
        <v>198</v>
      </c>
      <c r="I59">
        <v>0.99981575030419834</v>
      </c>
      <c r="J59">
        <v>1.8426667186211991E-4</v>
      </c>
      <c r="K59">
        <v>0.99999999999994449</v>
      </c>
      <c r="L59">
        <v>5.5511151231259367E-14</v>
      </c>
      <c r="M59">
        <v>3.1498969516133993E-3</v>
      </c>
      <c r="N59">
        <v>5.7603855404532265</v>
      </c>
      <c r="O59">
        <v>1.1522245214281348</v>
      </c>
      <c r="P59">
        <v>0.31593318695785988</v>
      </c>
      <c r="Q59">
        <v>1.1520771080906895</v>
      </c>
      <c r="R59">
        <v>0.31597976315625109</v>
      </c>
    </row>
    <row r="60" spans="1:18">
      <c r="A60" t="s">
        <v>201</v>
      </c>
      <c r="B60">
        <v>1</v>
      </c>
      <c r="C60">
        <v>3</v>
      </c>
      <c r="D60">
        <v>4</v>
      </c>
      <c r="E60">
        <v>60</v>
      </c>
      <c r="F60">
        <v>20</v>
      </c>
      <c r="G60">
        <v>4</v>
      </c>
      <c r="H60" t="s">
        <v>199</v>
      </c>
      <c r="I60">
        <v>0.12572717198852157</v>
      </c>
      <c r="J60">
        <v>2.073641021364272</v>
      </c>
      <c r="K60">
        <v>0.37930414611795527</v>
      </c>
      <c r="L60">
        <v>0.96941689937429965</v>
      </c>
      <c r="M60">
        <v>4.9217139868959364E-5</v>
      </c>
      <c r="N60">
        <v>9.9192686238128989</v>
      </c>
      <c r="O60">
        <v>3.6427665418539972</v>
      </c>
      <c r="P60">
        <v>2.6179816129248083E-2</v>
      </c>
      <c r="Q60">
        <v>2.7593872442620189</v>
      </c>
      <c r="R60">
        <v>6.3330562638364674E-2</v>
      </c>
    </row>
    <row r="61" spans="1:18">
      <c r="A61" t="s">
        <v>201</v>
      </c>
      <c r="B61">
        <v>1</v>
      </c>
      <c r="C61">
        <v>3</v>
      </c>
      <c r="D61">
        <v>4</v>
      </c>
      <c r="E61">
        <v>60</v>
      </c>
      <c r="F61">
        <v>20</v>
      </c>
      <c r="G61">
        <v>4</v>
      </c>
      <c r="H61" t="s">
        <v>200</v>
      </c>
      <c r="I61">
        <v>4.1119070057055507E-2</v>
      </c>
      <c r="J61">
        <v>3.191283273434939</v>
      </c>
      <c r="K61">
        <v>0.13846160092755866</v>
      </c>
      <c r="L61">
        <v>1.9771622414160404</v>
      </c>
      <c r="M61">
        <v>3.0760712418099601E-5</v>
      </c>
      <c r="N61">
        <v>10.389272253058634</v>
      </c>
      <c r="O61">
        <v>4.6308810693596776</v>
      </c>
      <c r="P61">
        <v>9.7461682681029473E-3</v>
      </c>
      <c r="Q61">
        <v>3.6595842437445589</v>
      </c>
      <c r="R61">
        <v>2.5743213403776794E-2</v>
      </c>
    </row>
    <row r="62" spans="1:18">
      <c r="A62" t="s">
        <v>201</v>
      </c>
      <c r="B62">
        <v>1</v>
      </c>
      <c r="C62">
        <v>3</v>
      </c>
      <c r="D62">
        <v>4</v>
      </c>
      <c r="E62">
        <v>60</v>
      </c>
      <c r="F62">
        <v>20</v>
      </c>
      <c r="G62">
        <v>5</v>
      </c>
      <c r="H62" t="s">
        <v>197</v>
      </c>
      <c r="I62">
        <v>0.99864610680202093</v>
      </c>
      <c r="J62">
        <v>1.354810539456582E-3</v>
      </c>
      <c r="K62">
        <v>0.99999999999999845</v>
      </c>
      <c r="L62">
        <v>1.5543122344752203E-15</v>
      </c>
      <c r="M62">
        <v>2.1993909378941216E-3</v>
      </c>
      <c r="N62">
        <v>6.1195748033586721</v>
      </c>
      <c r="O62">
        <v>1.2249988091032993</v>
      </c>
      <c r="P62">
        <v>0.29375805015881723</v>
      </c>
      <c r="Q62">
        <v>1.2239149606717354</v>
      </c>
      <c r="R62">
        <v>0.29407661196591334</v>
      </c>
    </row>
    <row r="63" spans="1:18">
      <c r="A63" t="s">
        <v>201</v>
      </c>
      <c r="B63">
        <v>1</v>
      </c>
      <c r="C63">
        <v>3</v>
      </c>
      <c r="D63">
        <v>4</v>
      </c>
      <c r="E63">
        <v>60</v>
      </c>
      <c r="F63">
        <v>20</v>
      </c>
      <c r="G63">
        <v>5</v>
      </c>
      <c r="H63" t="s">
        <v>198</v>
      </c>
      <c r="I63">
        <v>0.99795730421674655</v>
      </c>
      <c r="J63">
        <v>2.0447849317662948E-3</v>
      </c>
      <c r="K63">
        <v>0.99999999999998701</v>
      </c>
      <c r="L63">
        <v>1.2989609388114415E-14</v>
      </c>
      <c r="M63">
        <v>4.1248650556842138E-4</v>
      </c>
      <c r="N63">
        <v>7.7933070664981692</v>
      </c>
      <c r="O63">
        <v>1.5602972412450464</v>
      </c>
      <c r="P63">
        <v>0.21007361937542082</v>
      </c>
      <c r="Q63">
        <v>1.5586614132996439</v>
      </c>
      <c r="R63">
        <v>0.21041754489738351</v>
      </c>
    </row>
    <row r="64" spans="1:18">
      <c r="A64" t="s">
        <v>201</v>
      </c>
      <c r="B64">
        <v>1</v>
      </c>
      <c r="C64">
        <v>3</v>
      </c>
      <c r="D64">
        <v>4</v>
      </c>
      <c r="E64">
        <v>60</v>
      </c>
      <c r="F64">
        <v>20</v>
      </c>
      <c r="G64">
        <v>5</v>
      </c>
      <c r="H64" t="s">
        <v>199</v>
      </c>
      <c r="I64">
        <v>2.3902988340820053E-2</v>
      </c>
      <c r="J64">
        <v>3.7337517926801636</v>
      </c>
      <c r="K64">
        <v>0.11742020055941738</v>
      </c>
      <c r="L64">
        <v>2.1419963202959686</v>
      </c>
      <c r="M64">
        <v>1.611275412376646E-6</v>
      </c>
      <c r="N64">
        <v>13.338484510977732</v>
      </c>
      <c r="O64">
        <v>5.6546983363396768</v>
      </c>
      <c r="P64">
        <v>3.5010290607660425E-3</v>
      </c>
      <c r="Q64">
        <v>4.3812939584323205</v>
      </c>
      <c r="R64">
        <v>1.2509161808929531E-2</v>
      </c>
    </row>
    <row r="65" spans="1:18">
      <c r="A65" t="s">
        <v>201</v>
      </c>
      <c r="B65">
        <v>1</v>
      </c>
      <c r="C65">
        <v>3</v>
      </c>
      <c r="D65">
        <v>4</v>
      </c>
      <c r="E65">
        <v>60</v>
      </c>
      <c r="F65">
        <v>20</v>
      </c>
      <c r="G65">
        <v>5</v>
      </c>
      <c r="H65" t="s">
        <v>200</v>
      </c>
    </row>
    <row r="66" spans="1:18">
      <c r="A66" t="s">
        <v>201</v>
      </c>
      <c r="B66">
        <v>1</v>
      </c>
      <c r="C66">
        <v>3</v>
      </c>
      <c r="D66">
        <v>4</v>
      </c>
      <c r="E66">
        <v>60</v>
      </c>
      <c r="F66">
        <v>20</v>
      </c>
      <c r="G66">
        <v>6</v>
      </c>
      <c r="H66" t="s">
        <v>197</v>
      </c>
      <c r="I66">
        <v>0.86486023684960822</v>
      </c>
      <c r="J66">
        <v>0.14518736100145579</v>
      </c>
      <c r="K66">
        <v>0.99999981440663632</v>
      </c>
      <c r="L66">
        <v>1.8559338089985587E-7</v>
      </c>
      <c r="M66">
        <v>3.9988926143529486E-4</v>
      </c>
      <c r="N66">
        <v>7.8243228955970974</v>
      </c>
      <c r="O66">
        <v>1.6810144679205838</v>
      </c>
      <c r="P66">
        <v>0.18618500149000228</v>
      </c>
      <c r="Q66">
        <v>1.5648647275941239</v>
      </c>
      <c r="R66">
        <v>0.20911629892496245</v>
      </c>
    </row>
    <row r="67" spans="1:18">
      <c r="A67" t="s">
        <v>201</v>
      </c>
      <c r="B67">
        <v>1</v>
      </c>
      <c r="C67">
        <v>3</v>
      </c>
      <c r="D67">
        <v>4</v>
      </c>
      <c r="E67">
        <v>60</v>
      </c>
      <c r="F67">
        <v>20</v>
      </c>
      <c r="G67">
        <v>6</v>
      </c>
      <c r="H67" t="s">
        <v>198</v>
      </c>
      <c r="I67">
        <v>0.98334202231551548</v>
      </c>
      <c r="J67">
        <v>1.6798282102354095E-2</v>
      </c>
      <c r="K67">
        <v>0.99999999999998312</v>
      </c>
      <c r="L67">
        <v>1.6875389974302521E-14</v>
      </c>
      <c r="M67">
        <v>5.454367015780779E-5</v>
      </c>
      <c r="N67">
        <v>9.8165088898551289</v>
      </c>
      <c r="O67">
        <v>1.9767404036529086</v>
      </c>
      <c r="P67">
        <v>0.13852002158072607</v>
      </c>
      <c r="Q67">
        <v>1.9633017779710389</v>
      </c>
      <c r="R67">
        <v>0.14039410464625751</v>
      </c>
    </row>
    <row r="68" spans="1:18">
      <c r="A68" t="s">
        <v>201</v>
      </c>
      <c r="B68">
        <v>1</v>
      </c>
      <c r="C68">
        <v>3</v>
      </c>
      <c r="D68">
        <v>4</v>
      </c>
      <c r="E68">
        <v>60</v>
      </c>
      <c r="F68">
        <v>20</v>
      </c>
      <c r="G68">
        <v>6</v>
      </c>
      <c r="H68" t="s">
        <v>199</v>
      </c>
      <c r="I68">
        <v>3.9909076904460772E-3</v>
      </c>
      <c r="J68">
        <v>5.5237365826127274</v>
      </c>
      <c r="K68">
        <v>3.0493836674945429E-2</v>
      </c>
      <c r="L68">
        <v>3.4902306920202211</v>
      </c>
      <c r="M68">
        <v>5.326530288848417E-8</v>
      </c>
      <c r="N68">
        <v>16.747980695454583</v>
      </c>
      <c r="O68">
        <v>7.7685854051810974</v>
      </c>
      <c r="P68">
        <v>4.2281095014898057E-4</v>
      </c>
      <c r="Q68">
        <v>6.1417806927070924</v>
      </c>
      <c r="R68">
        <v>2.1510897759867424E-3</v>
      </c>
    </row>
    <row r="69" spans="1:18">
      <c r="A69" t="s">
        <v>201</v>
      </c>
      <c r="B69">
        <v>1</v>
      </c>
      <c r="C69">
        <v>3</v>
      </c>
      <c r="D69">
        <v>4</v>
      </c>
      <c r="E69">
        <v>60</v>
      </c>
      <c r="F69">
        <v>20</v>
      </c>
      <c r="G69">
        <v>6</v>
      </c>
      <c r="H69" t="s">
        <v>200</v>
      </c>
    </row>
    <row r="70" spans="1:18">
      <c r="A70" t="s">
        <v>201</v>
      </c>
      <c r="B70">
        <v>1</v>
      </c>
      <c r="C70">
        <v>3</v>
      </c>
      <c r="D70">
        <v>4</v>
      </c>
      <c r="E70">
        <v>60</v>
      </c>
      <c r="F70">
        <v>20</v>
      </c>
      <c r="G70">
        <v>7</v>
      </c>
      <c r="H70" t="s">
        <v>197</v>
      </c>
      <c r="I70">
        <v>0.34876272984291878</v>
      </c>
      <c r="J70">
        <v>1.0533634451710168</v>
      </c>
      <c r="K70">
        <v>0.99429589539836949</v>
      </c>
      <c r="L70">
        <v>5.7204351366127266E-3</v>
      </c>
      <c r="M70">
        <v>6.664821023921581E-5</v>
      </c>
      <c r="N70">
        <v>9.6160823648251519</v>
      </c>
      <c r="O70">
        <v>2.7659072291018432</v>
      </c>
      <c r="P70">
        <v>6.2918991506830682E-2</v>
      </c>
      <c r="Q70">
        <v>1.92779282107432</v>
      </c>
      <c r="R70">
        <v>0.14546892034347883</v>
      </c>
    </row>
    <row r="71" spans="1:18">
      <c r="A71" t="s">
        <v>201</v>
      </c>
      <c r="B71">
        <v>1</v>
      </c>
      <c r="C71">
        <v>3</v>
      </c>
      <c r="D71">
        <v>4</v>
      </c>
      <c r="E71">
        <v>60</v>
      </c>
      <c r="F71">
        <v>20</v>
      </c>
      <c r="G71">
        <v>7</v>
      </c>
      <c r="H71" t="s">
        <v>198</v>
      </c>
      <c r="I71">
        <v>0.91430147136038931</v>
      </c>
      <c r="J71">
        <v>8.9594924537770182E-2</v>
      </c>
      <c r="K71">
        <v>0.99999999999986011</v>
      </c>
      <c r="L71">
        <v>1.3988810110277952E-13</v>
      </c>
      <c r="M71">
        <v>7.272489354374372E-6</v>
      </c>
      <c r="N71">
        <v>11.831411910397394</v>
      </c>
      <c r="O71">
        <v>2.4379583217096945</v>
      </c>
      <c r="P71">
        <v>8.7338987666707391E-2</v>
      </c>
      <c r="Q71">
        <v>2.3662823820795902</v>
      </c>
      <c r="R71">
        <v>9.3828898686276516E-2</v>
      </c>
    </row>
    <row r="72" spans="1:18">
      <c r="A72" t="s">
        <v>201</v>
      </c>
      <c r="B72">
        <v>1</v>
      </c>
      <c r="C72">
        <v>3</v>
      </c>
      <c r="D72">
        <v>4</v>
      </c>
      <c r="E72">
        <v>60</v>
      </c>
      <c r="F72">
        <v>20</v>
      </c>
      <c r="G72">
        <v>7</v>
      </c>
      <c r="H72" t="s">
        <v>199</v>
      </c>
      <c r="I72">
        <v>5.9965402776851473E-4</v>
      </c>
      <c r="J72">
        <v>7.4191576894434057</v>
      </c>
      <c r="K72">
        <v>7.1999264316430223E-3</v>
      </c>
      <c r="L72">
        <v>4.9336844708396876</v>
      </c>
      <c r="M72">
        <v>1.7755100962828057E-9</v>
      </c>
      <c r="N72">
        <v>20.149178077116737</v>
      </c>
      <c r="O72">
        <v>9.9651617669780705</v>
      </c>
      <c r="P72">
        <v>4.7009456847255043E-5</v>
      </c>
      <c r="Q72">
        <v>7.9767831920950965</v>
      </c>
      <c r="R72">
        <v>3.4334211361660799E-4</v>
      </c>
    </row>
    <row r="73" spans="1:18">
      <c r="A73" t="s">
        <v>201</v>
      </c>
      <c r="B73">
        <v>1</v>
      </c>
      <c r="C73">
        <v>3</v>
      </c>
      <c r="D73">
        <v>4</v>
      </c>
      <c r="E73">
        <v>60</v>
      </c>
      <c r="F73">
        <v>20</v>
      </c>
      <c r="G73">
        <v>7</v>
      </c>
      <c r="H73" t="s">
        <v>200</v>
      </c>
    </row>
    <row r="74" spans="1:18">
      <c r="A74" t="s">
        <v>201</v>
      </c>
      <c r="B74">
        <v>1</v>
      </c>
      <c r="C74">
        <v>3</v>
      </c>
      <c r="D74">
        <v>4</v>
      </c>
      <c r="E74">
        <v>60</v>
      </c>
      <c r="F74">
        <v>20</v>
      </c>
      <c r="G74">
        <v>8</v>
      </c>
      <c r="H74" t="s">
        <v>197</v>
      </c>
      <c r="I74">
        <v>6.2685858511162929E-2</v>
      </c>
      <c r="J74">
        <v>2.7696193988684192</v>
      </c>
      <c r="K74">
        <v>0.71840114048653636</v>
      </c>
      <c r="L74">
        <v>0.33072717445846922</v>
      </c>
      <c r="M74">
        <v>1.0060107205919367E-5</v>
      </c>
      <c r="N74">
        <v>11.506932736697438</v>
      </c>
      <c r="O74">
        <v>4.5170820664342219</v>
      </c>
      <c r="P74">
        <v>1.0920843517741401E-2</v>
      </c>
      <c r="Q74">
        <v>2.5659682869062626</v>
      </c>
      <c r="R74">
        <v>7.6844737652893388E-2</v>
      </c>
    </row>
    <row r="75" spans="1:18">
      <c r="A75" t="s">
        <v>201</v>
      </c>
      <c r="B75">
        <v>1</v>
      </c>
      <c r="C75">
        <v>3</v>
      </c>
      <c r="D75">
        <v>4</v>
      </c>
      <c r="E75">
        <v>60</v>
      </c>
      <c r="F75">
        <v>20</v>
      </c>
      <c r="G75">
        <v>8</v>
      </c>
      <c r="H75" t="s">
        <v>198</v>
      </c>
      <c r="I75">
        <v>0.73249001110889389</v>
      </c>
      <c r="J75">
        <v>0.31130557489530314</v>
      </c>
      <c r="K75">
        <v>0.9999999999938376</v>
      </c>
      <c r="L75">
        <v>6.1624039205033819E-12</v>
      </c>
      <c r="M75">
        <v>9.7576377081752562E-7</v>
      </c>
      <c r="N75">
        <v>13.840045317926064</v>
      </c>
      <c r="O75">
        <v>3.0170535235014548</v>
      </c>
      <c r="P75">
        <v>4.8945222052578639E-2</v>
      </c>
      <c r="Q75">
        <v>2.7680090635901422</v>
      </c>
      <c r="R75">
        <v>6.2786885082066451E-2</v>
      </c>
    </row>
    <row r="76" spans="1:18">
      <c r="A76" t="s">
        <v>201</v>
      </c>
      <c r="B76">
        <v>1</v>
      </c>
      <c r="C76">
        <v>3</v>
      </c>
      <c r="D76">
        <v>4</v>
      </c>
      <c r="E76">
        <v>60</v>
      </c>
      <c r="F76">
        <v>20</v>
      </c>
      <c r="G76">
        <v>8</v>
      </c>
      <c r="H76" t="s">
        <v>199</v>
      </c>
      <c r="I76">
        <v>8.0477619149976753E-5</v>
      </c>
      <c r="J76">
        <v>9.4275314351769666</v>
      </c>
      <c r="K76">
        <v>1.5742333515065265E-3</v>
      </c>
      <c r="L76">
        <v>6.4539868861593463</v>
      </c>
      <c r="M76">
        <v>5.9555894214936866E-11</v>
      </c>
      <c r="N76">
        <v>23.544105845765298</v>
      </c>
      <c r="O76">
        <v>12.250846317294631</v>
      </c>
      <c r="P76">
        <v>4.781069377717132E-6</v>
      </c>
      <c r="Q76">
        <v>9.8720106780805352</v>
      </c>
      <c r="R76">
        <v>5.1598875513897833E-5</v>
      </c>
    </row>
    <row r="77" spans="1:18">
      <c r="A77" t="s">
        <v>201</v>
      </c>
      <c r="B77">
        <v>1</v>
      </c>
      <c r="C77">
        <v>3</v>
      </c>
      <c r="D77">
        <v>4</v>
      </c>
      <c r="E77">
        <v>60</v>
      </c>
      <c r="F77">
        <v>20</v>
      </c>
      <c r="G77">
        <v>8</v>
      </c>
      <c r="H77" t="s">
        <v>200</v>
      </c>
    </row>
    <row r="78" spans="1:18">
      <c r="A78" t="s">
        <v>201</v>
      </c>
      <c r="B78">
        <v>1</v>
      </c>
      <c r="C78">
        <v>3</v>
      </c>
      <c r="D78">
        <v>4</v>
      </c>
      <c r="E78">
        <v>60</v>
      </c>
      <c r="F78">
        <v>20</v>
      </c>
      <c r="G78">
        <v>9</v>
      </c>
      <c r="H78" t="s">
        <v>197</v>
      </c>
      <c r="I78">
        <v>6.7550784172143441E-3</v>
      </c>
      <c r="J78">
        <v>4.9974606988713539</v>
      </c>
      <c r="K78">
        <v>0.20344493947198716</v>
      </c>
      <c r="L78">
        <v>1.5923598784147555</v>
      </c>
      <c r="M78">
        <v>1.3542452007968379E-6</v>
      </c>
      <c r="N78">
        <v>13.512266306223552</v>
      </c>
      <c r="O78">
        <v>6.7004218203417931</v>
      </c>
      <c r="P78">
        <v>1.2303927884881371E-3</v>
      </c>
      <c r="Q78">
        <v>3.9763411639765138</v>
      </c>
      <c r="R78">
        <v>1.8754132253827917E-2</v>
      </c>
    </row>
    <row r="79" spans="1:18">
      <c r="A79" t="s">
        <v>201</v>
      </c>
      <c r="B79">
        <v>1</v>
      </c>
      <c r="C79">
        <v>3</v>
      </c>
      <c r="D79">
        <v>4</v>
      </c>
      <c r="E79">
        <v>60</v>
      </c>
      <c r="F79">
        <v>20</v>
      </c>
      <c r="G79">
        <v>9</v>
      </c>
      <c r="H79" t="s">
        <v>198</v>
      </c>
      <c r="I79">
        <v>0.46273439314242748</v>
      </c>
      <c r="J79">
        <v>0.7706020544237423</v>
      </c>
      <c r="K79">
        <v>0.99999999911780479</v>
      </c>
      <c r="L79">
        <v>8.8219520616494953E-10</v>
      </c>
      <c r="M79">
        <v>1.313528153023592E-7</v>
      </c>
      <c r="N79">
        <v>15.845378887452178</v>
      </c>
      <c r="O79">
        <v>3.7855574210294289</v>
      </c>
      <c r="P79">
        <v>2.2696207906438257E-2</v>
      </c>
      <c r="Q79">
        <v>3.1690757781961914</v>
      </c>
      <c r="R79">
        <v>4.204243648943571E-2</v>
      </c>
    </row>
    <row r="80" spans="1:18">
      <c r="A80" t="s">
        <v>201</v>
      </c>
      <c r="B80">
        <v>1</v>
      </c>
      <c r="C80">
        <v>3</v>
      </c>
      <c r="D80">
        <v>4</v>
      </c>
      <c r="E80">
        <v>60</v>
      </c>
      <c r="F80">
        <v>20</v>
      </c>
      <c r="G80">
        <v>9</v>
      </c>
      <c r="H80" t="s">
        <v>199</v>
      </c>
      <c r="I80">
        <v>9.4796714732447995E-6</v>
      </c>
      <c r="J80">
        <v>11.566360897018845</v>
      </c>
      <c r="K80">
        <v>3.1807391275107122E-4</v>
      </c>
      <c r="L80">
        <v>8.0532267721569575</v>
      </c>
      <c r="M80">
        <v>2.0042849014642212E-12</v>
      </c>
      <c r="N80">
        <v>26.935733776411304</v>
      </c>
      <c r="O80">
        <v>14.640235472897336</v>
      </c>
      <c r="P80">
        <v>4.3835556094972061E-7</v>
      </c>
      <c r="Q80">
        <v>11.829728173007826</v>
      </c>
      <c r="R80">
        <v>7.28474463105407E-6</v>
      </c>
    </row>
    <row r="81" spans="1:18">
      <c r="A81" t="s">
        <v>201</v>
      </c>
      <c r="B81">
        <v>1</v>
      </c>
      <c r="C81">
        <v>3</v>
      </c>
      <c r="D81">
        <v>4</v>
      </c>
      <c r="E81">
        <v>60</v>
      </c>
      <c r="F81">
        <v>20</v>
      </c>
      <c r="G81">
        <v>9</v>
      </c>
      <c r="H81" t="s">
        <v>200</v>
      </c>
    </row>
    <row r="82" spans="1:18">
      <c r="A82" t="s">
        <v>201</v>
      </c>
      <c r="B82">
        <v>1</v>
      </c>
      <c r="C82">
        <v>3</v>
      </c>
      <c r="D82">
        <v>4</v>
      </c>
      <c r="E82">
        <v>60</v>
      </c>
      <c r="F82">
        <v>20</v>
      </c>
      <c r="G82">
        <v>10</v>
      </c>
      <c r="H82" t="s">
        <v>197</v>
      </c>
      <c r="I82">
        <v>4.7833242584427449E-4</v>
      </c>
      <c r="J82">
        <v>7.6452046156301323</v>
      </c>
      <c r="K82">
        <v>2.9006858142670899E-2</v>
      </c>
      <c r="L82">
        <v>3.5402229892761592</v>
      </c>
      <c r="M82">
        <v>1.5932296479962799E-7</v>
      </c>
      <c r="N82">
        <v>15.652332469719823</v>
      </c>
      <c r="O82">
        <v>9.2466301864480691</v>
      </c>
      <c r="P82">
        <v>9.6436076727323384E-5</v>
      </c>
      <c r="Q82">
        <v>5.9626448853648917</v>
      </c>
      <c r="R82">
        <v>2.5730974164413804E-3</v>
      </c>
    </row>
    <row r="83" spans="1:18">
      <c r="A83" t="s">
        <v>201</v>
      </c>
      <c r="B83">
        <v>1</v>
      </c>
      <c r="C83">
        <v>3</v>
      </c>
      <c r="D83">
        <v>4</v>
      </c>
      <c r="E83">
        <v>60</v>
      </c>
      <c r="F83">
        <v>20</v>
      </c>
      <c r="G83">
        <v>10</v>
      </c>
      <c r="H83" t="s">
        <v>198</v>
      </c>
      <c r="I83">
        <v>0.22166118574806526</v>
      </c>
      <c r="J83">
        <v>1.5066052532486618</v>
      </c>
      <c r="K83">
        <v>0.99999979849625786</v>
      </c>
      <c r="L83">
        <v>2.0150376243844796E-7</v>
      </c>
      <c r="M83">
        <v>1.7660882729728966E-8</v>
      </c>
      <c r="N83">
        <v>17.851913658323927</v>
      </c>
      <c r="O83">
        <v>4.7756669342637146</v>
      </c>
      <c r="P83">
        <v>8.4324583162718163E-3</v>
      </c>
      <c r="Q83">
        <v>3.5703828928677948</v>
      </c>
      <c r="R83">
        <v>2.8145075068397741E-2</v>
      </c>
    </row>
    <row r="84" spans="1:18">
      <c r="A84" t="s">
        <v>201</v>
      </c>
      <c r="B84">
        <v>1</v>
      </c>
      <c r="C84">
        <v>3</v>
      </c>
      <c r="D84">
        <v>4</v>
      </c>
      <c r="E84">
        <v>60</v>
      </c>
      <c r="F84">
        <v>20</v>
      </c>
      <c r="G84">
        <v>10</v>
      </c>
      <c r="H84" t="s">
        <v>199</v>
      </c>
      <c r="I84">
        <v>9.5593733184795582E-7</v>
      </c>
      <c r="J84">
        <v>13.860573478503964</v>
      </c>
      <c r="K84">
        <v>5.8811204987851973E-5</v>
      </c>
      <c r="L84">
        <v>9.741178160196247</v>
      </c>
      <c r="M84">
        <v>6.7370921057620874E-14</v>
      </c>
      <c r="N84">
        <v>30.32856290840294</v>
      </c>
      <c r="O84">
        <v>17.154171364483759</v>
      </c>
      <c r="P84">
        <v>3.5484446455552813E-8</v>
      </c>
      <c r="Q84">
        <v>13.858655109837585</v>
      </c>
      <c r="R84">
        <v>9.5777293218854469E-7</v>
      </c>
    </row>
    <row r="85" spans="1:18">
      <c r="A85" t="s">
        <v>201</v>
      </c>
      <c r="B85">
        <v>1</v>
      </c>
      <c r="C85">
        <v>3</v>
      </c>
      <c r="D85">
        <v>4</v>
      </c>
      <c r="E85">
        <v>60</v>
      </c>
      <c r="F85">
        <v>20</v>
      </c>
      <c r="G85">
        <v>10</v>
      </c>
      <c r="H85" t="s">
        <v>200</v>
      </c>
    </row>
    <row r="86" spans="1:18">
      <c r="A86" t="s">
        <v>201</v>
      </c>
      <c r="B86">
        <v>1</v>
      </c>
      <c r="C86">
        <v>3</v>
      </c>
      <c r="D86">
        <v>4</v>
      </c>
      <c r="E86">
        <v>60</v>
      </c>
      <c r="F86">
        <v>20</v>
      </c>
      <c r="G86">
        <v>11</v>
      </c>
      <c r="H86" t="s">
        <v>197</v>
      </c>
      <c r="I86">
        <v>2.1747348218137397E-5</v>
      </c>
      <c r="J86">
        <v>10.736018728867728</v>
      </c>
      <c r="K86">
        <v>2.6724112511222753E-3</v>
      </c>
      <c r="L86">
        <v>5.9247741238027176</v>
      </c>
      <c r="M86">
        <v>1.5932296479962801E-8</v>
      </c>
      <c r="N86">
        <v>17.95491756271387</v>
      </c>
      <c r="O86">
        <v>12.179798495636955</v>
      </c>
      <c r="P86">
        <v>5.1331117915367361E-6</v>
      </c>
      <c r="Q86">
        <v>8.3308028115849471</v>
      </c>
      <c r="R86">
        <v>2.4097850686463954E-4</v>
      </c>
    </row>
    <row r="87" spans="1:18">
      <c r="A87" t="s">
        <v>201</v>
      </c>
      <c r="B87">
        <v>1</v>
      </c>
      <c r="C87">
        <v>3</v>
      </c>
      <c r="D87">
        <v>4</v>
      </c>
      <c r="E87">
        <v>60</v>
      </c>
      <c r="F87">
        <v>20</v>
      </c>
      <c r="G87">
        <v>11</v>
      </c>
      <c r="H87" t="s">
        <v>198</v>
      </c>
      <c r="I87">
        <v>8.0137538577503942E-2</v>
      </c>
      <c r="J87">
        <v>2.5240108882774694</v>
      </c>
      <c r="K87">
        <v>0.99996562927097643</v>
      </c>
      <c r="L87">
        <v>3.4371319710611263E-5</v>
      </c>
      <c r="M87">
        <v>2.3547843639638623E-9</v>
      </c>
      <c r="N87">
        <v>19.86681667886619</v>
      </c>
      <c r="O87">
        <v>5.992572046395213</v>
      </c>
      <c r="P87">
        <v>2.4972327844094144E-3</v>
      </c>
      <c r="Q87">
        <v>3.9733908328290055</v>
      </c>
      <c r="R87">
        <v>1.8809544856930628E-2</v>
      </c>
    </row>
    <row r="88" spans="1:18">
      <c r="A88" t="s">
        <v>201</v>
      </c>
      <c r="B88">
        <v>1</v>
      </c>
      <c r="C88">
        <v>3</v>
      </c>
      <c r="D88">
        <v>4</v>
      </c>
      <c r="E88">
        <v>60</v>
      </c>
      <c r="F88">
        <v>20</v>
      </c>
      <c r="G88">
        <v>11</v>
      </c>
      <c r="H88" t="s">
        <v>199</v>
      </c>
      <c r="I88">
        <v>7.9661479190917817E-8</v>
      </c>
      <c r="J88">
        <v>16.345479690561422</v>
      </c>
      <c r="K88">
        <v>9.8021076980758792E-6</v>
      </c>
      <c r="L88">
        <v>11.532913124180018</v>
      </c>
      <c r="M88">
        <v>2.2456973685873626E-15</v>
      </c>
      <c r="N88">
        <v>33.729760290065094</v>
      </c>
      <c r="O88">
        <v>19.822335810462157</v>
      </c>
      <c r="P88">
        <v>2.4618916712368652E-9</v>
      </c>
      <c r="Q88">
        <v>15.972282557357032</v>
      </c>
      <c r="R88">
        <v>1.1569799208901724E-7</v>
      </c>
    </row>
    <row r="89" spans="1:18">
      <c r="A89" t="s">
        <v>201</v>
      </c>
      <c r="B89">
        <v>1</v>
      </c>
      <c r="C89">
        <v>3</v>
      </c>
      <c r="D89">
        <v>4</v>
      </c>
      <c r="E89">
        <v>60</v>
      </c>
      <c r="F89">
        <v>20</v>
      </c>
      <c r="G89">
        <v>11</v>
      </c>
      <c r="H89" t="s">
        <v>200</v>
      </c>
    </row>
    <row r="90" spans="1:18">
      <c r="A90" t="s">
        <v>201</v>
      </c>
      <c r="B90">
        <v>1</v>
      </c>
      <c r="C90">
        <v>3</v>
      </c>
      <c r="D90">
        <v>4</v>
      </c>
      <c r="E90">
        <v>60</v>
      </c>
      <c r="F90">
        <v>20</v>
      </c>
      <c r="G90">
        <v>12</v>
      </c>
      <c r="H90" t="s">
        <v>197</v>
      </c>
      <c r="I90">
        <v>5.9177083699957223E-7</v>
      </c>
      <c r="J90">
        <v>14.340146376667706</v>
      </c>
      <c r="K90">
        <v>1.6382261124958664E-4</v>
      </c>
      <c r="L90">
        <v>8.7167263542554316</v>
      </c>
      <c r="M90">
        <v>1.3005956310173714E-9</v>
      </c>
      <c r="N90">
        <v>20.460443499704606</v>
      </c>
      <c r="O90">
        <v>15.564205801275087</v>
      </c>
      <c r="P90">
        <v>1.740008241454342E-7</v>
      </c>
      <c r="Q90">
        <v>11.065469783345266</v>
      </c>
      <c r="R90">
        <v>1.5643269719547189E-5</v>
      </c>
    </row>
    <row r="91" spans="1:18">
      <c r="A91" t="s">
        <v>201</v>
      </c>
      <c r="B91">
        <v>1</v>
      </c>
      <c r="C91">
        <v>3</v>
      </c>
      <c r="D91">
        <v>4</v>
      </c>
      <c r="E91">
        <v>60</v>
      </c>
      <c r="F91">
        <v>20</v>
      </c>
      <c r="G91">
        <v>12</v>
      </c>
      <c r="H91" t="s">
        <v>198</v>
      </c>
      <c r="I91">
        <v>2.1584031619577559E-2</v>
      </c>
      <c r="J91">
        <v>3.8358015145633271</v>
      </c>
      <c r="K91">
        <v>0.99762112205634612</v>
      </c>
      <c r="L91">
        <v>2.3817119692153411E-3</v>
      </c>
      <c r="M91">
        <v>3.0756367202793308E-10</v>
      </c>
      <c r="N91">
        <v>21.902338986611191</v>
      </c>
      <c r="O91">
        <v>7.4491090089728988</v>
      </c>
      <c r="P91">
        <v>5.819599023146394E-4</v>
      </c>
      <c r="Q91">
        <v>4.3823731668976089</v>
      </c>
      <c r="R91">
        <v>1.249566909764536E-2</v>
      </c>
    </row>
    <row r="92" spans="1:18">
      <c r="A92" t="s">
        <v>201</v>
      </c>
      <c r="B92">
        <v>1</v>
      </c>
      <c r="C92">
        <v>3</v>
      </c>
      <c r="D92">
        <v>4</v>
      </c>
      <c r="E92">
        <v>60</v>
      </c>
      <c r="F92">
        <v>20</v>
      </c>
      <c r="G92">
        <v>12</v>
      </c>
      <c r="H92" t="s">
        <v>199</v>
      </c>
      <c r="I92">
        <v>5.2023825247715649E-9</v>
      </c>
      <c r="J92">
        <v>19.074149138449762</v>
      </c>
      <c r="K92">
        <v>1.4403157243547682E-6</v>
      </c>
      <c r="L92">
        <v>13.450648215384652</v>
      </c>
      <c r="M92">
        <v>7.332889366815879E-17</v>
      </c>
      <c r="N92">
        <v>37.151576958929986</v>
      </c>
      <c r="O92">
        <v>22.689634702545806</v>
      </c>
      <c r="P92">
        <v>1.3996416329574047E-10</v>
      </c>
      <c r="Q92">
        <v>18.19083396409372</v>
      </c>
      <c r="R92">
        <v>1.2584071818309992E-8</v>
      </c>
    </row>
    <row r="93" spans="1:18">
      <c r="A93" t="s">
        <v>201</v>
      </c>
      <c r="B93">
        <v>1</v>
      </c>
      <c r="C93">
        <v>3</v>
      </c>
      <c r="D93">
        <v>4</v>
      </c>
      <c r="E93">
        <v>60</v>
      </c>
      <c r="F93">
        <v>20</v>
      </c>
      <c r="G93">
        <v>12</v>
      </c>
      <c r="H93" t="s">
        <v>200</v>
      </c>
    </row>
    <row r="94" spans="1:18">
      <c r="A94" t="s">
        <v>201</v>
      </c>
      <c r="B94">
        <v>1</v>
      </c>
      <c r="C94">
        <v>3</v>
      </c>
      <c r="D94">
        <v>4</v>
      </c>
      <c r="E94">
        <v>60</v>
      </c>
      <c r="F94">
        <v>20</v>
      </c>
      <c r="G94">
        <v>13</v>
      </c>
      <c r="H94" t="s">
        <v>197</v>
      </c>
      <c r="I94">
        <v>8.5351588019477731E-9</v>
      </c>
      <c r="J94">
        <v>18.579071874903821</v>
      </c>
      <c r="K94">
        <v>6.3013659785671194E-6</v>
      </c>
      <c r="L94">
        <v>11.974744126074498</v>
      </c>
      <c r="M94">
        <v>8.128722693858571E-11</v>
      </c>
      <c r="N94">
        <v>23.233032221944384</v>
      </c>
      <c r="O94">
        <v>19.509863944311935</v>
      </c>
      <c r="P94">
        <v>3.3649122740381813E-9</v>
      </c>
      <c r="Q94">
        <v>14.226401745248475</v>
      </c>
      <c r="R94">
        <v>6.630590769343875E-7</v>
      </c>
    </row>
    <row r="95" spans="1:18">
      <c r="A95" t="s">
        <v>201</v>
      </c>
      <c r="B95">
        <v>1</v>
      </c>
      <c r="C95">
        <v>3</v>
      </c>
      <c r="D95">
        <v>4</v>
      </c>
      <c r="E95">
        <v>60</v>
      </c>
      <c r="F95">
        <v>20</v>
      </c>
      <c r="G95">
        <v>13</v>
      </c>
      <c r="H95" t="s">
        <v>198</v>
      </c>
      <c r="I95">
        <v>4.0829620454846394E-3</v>
      </c>
      <c r="J95">
        <v>5.5009325624300933</v>
      </c>
      <c r="K95">
        <v>0.95122625764149404</v>
      </c>
      <c r="L95">
        <v>5.0003329233106131E-2</v>
      </c>
      <c r="M95">
        <v>3.8445459003491635E-11</v>
      </c>
      <c r="N95">
        <v>23.981780528291026</v>
      </c>
      <c r="O95">
        <v>9.1971021556022787</v>
      </c>
      <c r="P95">
        <v>1.0133262295104354E-4</v>
      </c>
      <c r="Q95">
        <v>4.836358769044689</v>
      </c>
      <c r="R95">
        <v>7.9358979433381271E-3</v>
      </c>
    </row>
    <row r="96" spans="1:18">
      <c r="A96" t="s">
        <v>201</v>
      </c>
      <c r="B96">
        <v>1</v>
      </c>
      <c r="C96">
        <v>3</v>
      </c>
      <c r="D96">
        <v>4</v>
      </c>
      <c r="E96">
        <v>60</v>
      </c>
      <c r="F96">
        <v>20</v>
      </c>
      <c r="G96">
        <v>13</v>
      </c>
      <c r="H96" t="s">
        <v>199</v>
      </c>
      <c r="I96">
        <v>2.4386170860424272E-10</v>
      </c>
      <c r="J96">
        <v>22.134419819324449</v>
      </c>
      <c r="K96">
        <v>1.8003957902301693E-7</v>
      </c>
      <c r="L96">
        <v>15.530089126765821</v>
      </c>
      <c r="M96">
        <v>2.2915279271299622E-18</v>
      </c>
      <c r="N96">
        <v>40.617312861729715</v>
      </c>
      <c r="O96">
        <v>25.830998427805504</v>
      </c>
      <c r="P96">
        <v>6.0497847211160352E-12</v>
      </c>
      <c r="Q96">
        <v>20.547533873758599</v>
      </c>
      <c r="R96">
        <v>1.1921184841854707E-9</v>
      </c>
    </row>
    <row r="97" spans="1:18">
      <c r="A97" t="s">
        <v>201</v>
      </c>
      <c r="B97">
        <v>1</v>
      </c>
      <c r="C97">
        <v>3</v>
      </c>
      <c r="D97">
        <v>4</v>
      </c>
      <c r="E97">
        <v>60</v>
      </c>
      <c r="F97">
        <v>20</v>
      </c>
      <c r="G97">
        <v>13</v>
      </c>
      <c r="H97" t="s">
        <v>200</v>
      </c>
    </row>
    <row r="98" spans="1:18">
      <c r="A98" t="s">
        <v>201</v>
      </c>
      <c r="B98">
        <v>1</v>
      </c>
      <c r="C98">
        <v>3</v>
      </c>
      <c r="D98">
        <v>4</v>
      </c>
      <c r="E98">
        <v>60</v>
      </c>
      <c r="F98">
        <v>20</v>
      </c>
      <c r="G98">
        <v>14</v>
      </c>
      <c r="H98" t="s">
        <v>197</v>
      </c>
      <c r="I98">
        <v>5.1885495899739453E-11</v>
      </c>
      <c r="J98">
        <v>23.681981827246375</v>
      </c>
      <c r="K98">
        <v>1.3407203003357182E-7</v>
      </c>
      <c r="L98">
        <v>15.824888643853095</v>
      </c>
      <c r="M98">
        <v>3.4590309335568387E-12</v>
      </c>
      <c r="N98">
        <v>26.3900326430945</v>
      </c>
      <c r="O98">
        <v>24.223591990416001</v>
      </c>
      <c r="P98">
        <v>3.0187536046907907E-11</v>
      </c>
      <c r="Q98">
        <v>17.937917443701377</v>
      </c>
      <c r="R98">
        <v>1.6205462767145452E-8</v>
      </c>
    </row>
    <row r="99" spans="1:18">
      <c r="A99" t="s">
        <v>201</v>
      </c>
      <c r="B99">
        <v>1</v>
      </c>
      <c r="C99">
        <v>3</v>
      </c>
      <c r="D99">
        <v>4</v>
      </c>
      <c r="E99">
        <v>60</v>
      </c>
      <c r="F99">
        <v>20</v>
      </c>
      <c r="G99">
        <v>14</v>
      </c>
      <c r="H99" t="s">
        <v>198</v>
      </c>
      <c r="I99">
        <v>4.6415551946632494E-4</v>
      </c>
      <c r="J99">
        <v>7.6752908906317279</v>
      </c>
      <c r="K99">
        <v>0.6987022490587268</v>
      </c>
      <c r="L99">
        <v>0.35853059450988201</v>
      </c>
      <c r="M99">
        <v>4.3626052769919582E-12</v>
      </c>
      <c r="N99">
        <v>26.157951696429414</v>
      </c>
      <c r="O99">
        <v>11.371823051791264</v>
      </c>
      <c r="P99">
        <v>1.1515425750818239E-5</v>
      </c>
      <c r="Q99">
        <v>5.518414814893787</v>
      </c>
      <c r="R99">
        <v>4.0122029882174561E-3</v>
      </c>
    </row>
    <row r="100" spans="1:18">
      <c r="A100" t="s">
        <v>201</v>
      </c>
      <c r="B100">
        <v>1</v>
      </c>
      <c r="C100">
        <v>3</v>
      </c>
      <c r="D100">
        <v>4</v>
      </c>
      <c r="E100">
        <v>60</v>
      </c>
      <c r="F100">
        <v>20</v>
      </c>
      <c r="G100">
        <v>14</v>
      </c>
      <c r="H100" t="s">
        <v>199</v>
      </c>
      <c r="I100">
        <v>6.9180217110442754E-12</v>
      </c>
      <c r="J100">
        <v>25.696891267077316</v>
      </c>
      <c r="K100">
        <v>1.7876271685146605E-8</v>
      </c>
      <c r="L100">
        <v>17.839791607671913</v>
      </c>
      <c r="M100">
        <v>6.5007884457587573E-20</v>
      </c>
      <c r="N100">
        <v>44.179778390987991</v>
      </c>
      <c r="O100">
        <v>29.39346869185945</v>
      </c>
      <c r="P100">
        <v>1.7162428586352782E-13</v>
      </c>
      <c r="Q100">
        <v>23.107788964335128</v>
      </c>
      <c r="R100">
        <v>9.2132904763969854E-11</v>
      </c>
    </row>
    <row r="101" spans="1:18">
      <c r="A101" t="s">
        <v>201</v>
      </c>
      <c r="B101">
        <v>1</v>
      </c>
      <c r="C101">
        <v>3</v>
      </c>
      <c r="D101">
        <v>4</v>
      </c>
      <c r="E101">
        <v>60</v>
      </c>
      <c r="F101">
        <v>20</v>
      </c>
      <c r="G101">
        <v>14</v>
      </c>
      <c r="H101" t="s">
        <v>200</v>
      </c>
    </row>
    <row r="102" spans="1:18">
      <c r="A102" t="s">
        <v>201</v>
      </c>
      <c r="B102">
        <v>1</v>
      </c>
      <c r="C102">
        <v>3</v>
      </c>
      <c r="D102">
        <v>4</v>
      </c>
      <c r="E102">
        <v>60</v>
      </c>
      <c r="F102">
        <v>20</v>
      </c>
      <c r="G102">
        <v>15</v>
      </c>
      <c r="H102" t="s">
        <v>197</v>
      </c>
      <c r="I102">
        <v>7.5162098767123098E-14</v>
      </c>
      <c r="J102">
        <v>30.219129296764827</v>
      </c>
      <c r="K102">
        <v>1.1658438658912473E-9</v>
      </c>
      <c r="L102">
        <v>20.569820663737932</v>
      </c>
      <c r="M102">
        <v>7.5196324642539971E-14</v>
      </c>
      <c r="N102">
        <v>30.218674039583593</v>
      </c>
      <c r="O102">
        <v>30.21903824532858</v>
      </c>
      <c r="P102">
        <v>7.5168942695737173E-14</v>
      </c>
      <c r="Q102">
        <v>22.499591338907063</v>
      </c>
      <c r="R102">
        <v>1.6925894767653372E-10</v>
      </c>
    </row>
    <row r="103" spans="1:18">
      <c r="A103" t="s">
        <v>201</v>
      </c>
      <c r="B103">
        <v>1</v>
      </c>
      <c r="C103">
        <v>3</v>
      </c>
      <c r="D103">
        <v>4</v>
      </c>
      <c r="E103">
        <v>60</v>
      </c>
      <c r="F103">
        <v>20</v>
      </c>
      <c r="G103">
        <v>15</v>
      </c>
      <c r="H103" t="s">
        <v>198</v>
      </c>
      <c r="I103">
        <v>2.0185155971907953E-5</v>
      </c>
      <c r="J103">
        <v>10.810563076569682</v>
      </c>
      <c r="K103">
        <v>0.26871631512479521</v>
      </c>
      <c r="L103">
        <v>1.3140990464663918</v>
      </c>
      <c r="M103">
        <v>3.7935698060799635E-13</v>
      </c>
      <c r="N103">
        <v>28.600298731798617</v>
      </c>
      <c r="O103">
        <v>14.368510207615468</v>
      </c>
      <c r="P103">
        <v>5.7522175615738375E-7</v>
      </c>
      <c r="Q103">
        <v>6.7713389835328357</v>
      </c>
      <c r="R103">
        <v>1.1461589350417146E-3</v>
      </c>
    </row>
    <row r="104" spans="1:18">
      <c r="A104" t="s">
        <v>201</v>
      </c>
      <c r="B104">
        <v>1</v>
      </c>
      <c r="C104">
        <v>3</v>
      </c>
      <c r="D104">
        <v>4</v>
      </c>
      <c r="E104">
        <v>60</v>
      </c>
      <c r="F104">
        <v>20</v>
      </c>
      <c r="G104">
        <v>15</v>
      </c>
      <c r="H104" t="s">
        <v>199</v>
      </c>
      <c r="I104">
        <v>7.5162098767123098E-14</v>
      </c>
      <c r="J104">
        <v>30.219129296764827</v>
      </c>
      <c r="K104">
        <v>1.1658438658912473E-9</v>
      </c>
      <c r="L104">
        <v>20.569820663737932</v>
      </c>
      <c r="M104">
        <v>1.4132148795127733E-21</v>
      </c>
      <c r="N104">
        <v>48.008419787477088</v>
      </c>
      <c r="O104">
        <v>33.77698739490728</v>
      </c>
      <c r="P104">
        <v>2.1421050205030007E-15</v>
      </c>
      <c r="Q104">
        <v>26.057540488485763</v>
      </c>
      <c r="R104">
        <v>4.8234074949083844E-12</v>
      </c>
    </row>
    <row r="105" spans="1:18">
      <c r="A105" t="s">
        <v>201</v>
      </c>
      <c r="B105">
        <v>1</v>
      </c>
      <c r="C105">
        <v>3</v>
      </c>
      <c r="D105">
        <v>4</v>
      </c>
      <c r="E105">
        <v>60</v>
      </c>
      <c r="F105">
        <v>20</v>
      </c>
      <c r="G105">
        <v>15</v>
      </c>
      <c r="H105" t="s">
        <v>200</v>
      </c>
    </row>
    <row r="106" spans="1:18">
      <c r="A106" t="s">
        <v>202</v>
      </c>
      <c r="B106">
        <v>1</v>
      </c>
      <c r="C106">
        <v>4</v>
      </c>
      <c r="D106">
        <v>4</v>
      </c>
      <c r="E106">
        <v>60</v>
      </c>
      <c r="F106">
        <v>15</v>
      </c>
      <c r="G106">
        <v>3</v>
      </c>
      <c r="H106" t="s">
        <v>197</v>
      </c>
      <c r="I106">
        <v>0.99999999996907007</v>
      </c>
      <c r="J106">
        <v>3.0929925288115491E-11</v>
      </c>
      <c r="K106">
        <v>0.99999999996907007</v>
      </c>
      <c r="L106">
        <v>3.0929925288115491E-11</v>
      </c>
      <c r="M106">
        <v>5.3185271770894216E-2</v>
      </c>
      <c r="N106">
        <v>2.9339737673753432</v>
      </c>
      <c r="O106">
        <v>0.58679475349981247</v>
      </c>
      <c r="P106">
        <v>0.55610689083839826</v>
      </c>
      <c r="Q106">
        <v>0.58679475349981247</v>
      </c>
      <c r="R106">
        <v>0.55610689083839826</v>
      </c>
    </row>
    <row r="107" spans="1:18">
      <c r="A107" t="s">
        <v>202</v>
      </c>
      <c r="B107">
        <v>1</v>
      </c>
      <c r="C107">
        <v>4</v>
      </c>
      <c r="D107">
        <v>4</v>
      </c>
      <c r="E107">
        <v>60</v>
      </c>
      <c r="F107">
        <v>15</v>
      </c>
      <c r="G107">
        <v>3</v>
      </c>
      <c r="H107" t="s">
        <v>198</v>
      </c>
      <c r="I107">
        <v>0.99998431077721828</v>
      </c>
      <c r="J107">
        <v>1.5689345858865983E-5</v>
      </c>
      <c r="K107">
        <v>0.99998431077721828</v>
      </c>
      <c r="L107">
        <v>1.5689345858865983E-5</v>
      </c>
      <c r="M107">
        <v>2.4313267095265927E-2</v>
      </c>
      <c r="N107">
        <v>3.716733106624976</v>
      </c>
      <c r="O107">
        <v>0.74335917280168218</v>
      </c>
      <c r="P107">
        <v>0.4755138963077804</v>
      </c>
      <c r="Q107">
        <v>0.74335917280168218</v>
      </c>
      <c r="R107">
        <v>0.4755138963077804</v>
      </c>
    </row>
    <row r="108" spans="1:18">
      <c r="A108" t="s">
        <v>202</v>
      </c>
      <c r="B108">
        <v>1</v>
      </c>
      <c r="C108">
        <v>4</v>
      </c>
      <c r="D108">
        <v>4</v>
      </c>
      <c r="E108">
        <v>60</v>
      </c>
      <c r="F108">
        <v>15</v>
      </c>
      <c r="G108">
        <v>3</v>
      </c>
      <c r="H108" t="s">
        <v>199</v>
      </c>
      <c r="I108">
        <v>0.49912992006885448</v>
      </c>
      <c r="J108">
        <v>0.69488885625919716</v>
      </c>
      <c r="K108">
        <v>0.49912992006885448</v>
      </c>
      <c r="L108">
        <v>0.69488885625919716</v>
      </c>
      <c r="M108">
        <v>1.5195791934541204E-3</v>
      </c>
      <c r="N108">
        <v>6.4893218288647567</v>
      </c>
      <c r="O108">
        <v>1.8537754507803088</v>
      </c>
      <c r="P108">
        <v>0.15664464435394138</v>
      </c>
      <c r="Q108">
        <v>1.8537754507803088</v>
      </c>
      <c r="R108">
        <v>0.15664464435394138</v>
      </c>
    </row>
    <row r="109" spans="1:18">
      <c r="A109" t="s">
        <v>202</v>
      </c>
      <c r="B109">
        <v>1</v>
      </c>
      <c r="C109">
        <v>4</v>
      </c>
      <c r="D109">
        <v>4</v>
      </c>
      <c r="E109">
        <v>60</v>
      </c>
      <c r="F109">
        <v>15</v>
      </c>
      <c r="G109">
        <v>3</v>
      </c>
      <c r="H109" t="s">
        <v>200</v>
      </c>
      <c r="I109">
        <v>0.54967200167703711</v>
      </c>
      <c r="J109">
        <v>0.59843353923653009</v>
      </c>
      <c r="K109">
        <v>0.54967200167703711</v>
      </c>
      <c r="L109">
        <v>0.59843353923653009</v>
      </c>
      <c r="M109">
        <v>1.7533606078316774E-3</v>
      </c>
      <c r="N109">
        <v>6.3462209852240834</v>
      </c>
      <c r="O109">
        <v>1.7479910284340405</v>
      </c>
      <c r="P109">
        <v>0.1741234012696195</v>
      </c>
      <c r="Q109">
        <v>1.7479910284340405</v>
      </c>
      <c r="R109">
        <v>0.1741234012696195</v>
      </c>
    </row>
    <row r="110" spans="1:18">
      <c r="A110" t="s">
        <v>202</v>
      </c>
      <c r="B110">
        <v>1</v>
      </c>
      <c r="C110">
        <v>4</v>
      </c>
      <c r="D110">
        <v>4</v>
      </c>
      <c r="E110">
        <v>60</v>
      </c>
      <c r="F110">
        <v>15</v>
      </c>
      <c r="G110">
        <v>4</v>
      </c>
      <c r="H110" t="s">
        <v>197</v>
      </c>
      <c r="I110">
        <v>0.99999976967340842</v>
      </c>
      <c r="J110">
        <v>2.3032661810224149E-7</v>
      </c>
      <c r="K110">
        <v>0.99999976967340842</v>
      </c>
      <c r="L110">
        <v>2.3032661810224149E-7</v>
      </c>
      <c r="M110">
        <v>1.1196899320188256E-2</v>
      </c>
      <c r="N110">
        <v>4.4921183854218931</v>
      </c>
      <c r="O110">
        <v>0.89842386134567287</v>
      </c>
      <c r="P110">
        <v>0.4072109751652444</v>
      </c>
      <c r="Q110">
        <v>0.89842386134567287</v>
      </c>
      <c r="R110">
        <v>0.4072109751652444</v>
      </c>
    </row>
    <row r="111" spans="1:18">
      <c r="A111" t="s">
        <v>202</v>
      </c>
      <c r="B111">
        <v>1</v>
      </c>
      <c r="C111">
        <v>4</v>
      </c>
      <c r="D111">
        <v>4</v>
      </c>
      <c r="E111">
        <v>60</v>
      </c>
      <c r="F111">
        <v>15</v>
      </c>
      <c r="G111">
        <v>4</v>
      </c>
      <c r="H111" t="s">
        <v>198</v>
      </c>
      <c r="I111">
        <v>0.99981575030419834</v>
      </c>
      <c r="J111">
        <v>1.8426667186211991E-4</v>
      </c>
      <c r="K111">
        <v>0.99981575030419834</v>
      </c>
      <c r="L111">
        <v>1.8426667186211991E-4</v>
      </c>
      <c r="M111">
        <v>3.1498969516133993E-3</v>
      </c>
      <c r="N111">
        <v>5.7603855404532265</v>
      </c>
      <c r="O111">
        <v>1.1522245214281348</v>
      </c>
      <c r="P111">
        <v>0.31593318695785988</v>
      </c>
      <c r="Q111">
        <v>1.1522245214281348</v>
      </c>
      <c r="R111">
        <v>0.31593318695785988</v>
      </c>
    </row>
    <row r="112" spans="1:18">
      <c r="A112" t="s">
        <v>202</v>
      </c>
      <c r="B112">
        <v>1</v>
      </c>
      <c r="C112">
        <v>4</v>
      </c>
      <c r="D112">
        <v>4</v>
      </c>
      <c r="E112">
        <v>60</v>
      </c>
      <c r="F112">
        <v>15</v>
      </c>
      <c r="G112">
        <v>4</v>
      </c>
      <c r="H112" t="s">
        <v>199</v>
      </c>
      <c r="I112">
        <v>0.12572717198852157</v>
      </c>
      <c r="J112">
        <v>2.073641021364272</v>
      </c>
      <c r="K112">
        <v>0.12572717198852157</v>
      </c>
      <c r="L112">
        <v>2.073641021364272</v>
      </c>
      <c r="M112">
        <v>4.9217139868959364E-5</v>
      </c>
      <c r="N112">
        <v>9.9192686238128989</v>
      </c>
      <c r="O112">
        <v>3.6427665418539972</v>
      </c>
      <c r="P112">
        <v>2.6179816129248083E-2</v>
      </c>
      <c r="Q112">
        <v>3.6427665418539972</v>
      </c>
      <c r="R112">
        <v>2.6179816129248083E-2</v>
      </c>
    </row>
    <row r="113" spans="1:18">
      <c r="A113" t="s">
        <v>202</v>
      </c>
      <c r="B113">
        <v>1</v>
      </c>
      <c r="C113">
        <v>4</v>
      </c>
      <c r="D113">
        <v>4</v>
      </c>
      <c r="E113">
        <v>60</v>
      </c>
      <c r="F113">
        <v>15</v>
      </c>
      <c r="G113">
        <v>4</v>
      </c>
      <c r="H113" t="s">
        <v>200</v>
      </c>
      <c r="I113">
        <v>4.1119070057055507E-2</v>
      </c>
      <c r="J113">
        <v>3.191283273434939</v>
      </c>
      <c r="K113">
        <v>4.1119070057055507E-2</v>
      </c>
      <c r="L113">
        <v>3.191283273434939</v>
      </c>
      <c r="M113">
        <v>3.0760712418099601E-5</v>
      </c>
      <c r="N113">
        <v>10.389272253058634</v>
      </c>
      <c r="O113">
        <v>4.6308810693596776</v>
      </c>
      <c r="P113">
        <v>9.7461682681029473E-3</v>
      </c>
      <c r="Q113">
        <v>4.6308810693596776</v>
      </c>
      <c r="R113">
        <v>9.7461682681029473E-3</v>
      </c>
    </row>
    <row r="114" spans="1:18">
      <c r="A114" t="s">
        <v>202</v>
      </c>
      <c r="B114">
        <v>1</v>
      </c>
      <c r="C114">
        <v>4</v>
      </c>
      <c r="D114">
        <v>4</v>
      </c>
      <c r="E114">
        <v>60</v>
      </c>
      <c r="F114">
        <v>15</v>
      </c>
      <c r="G114">
        <v>5</v>
      </c>
      <c r="H114" t="s">
        <v>197</v>
      </c>
      <c r="I114">
        <v>0.99864610680202093</v>
      </c>
      <c r="J114">
        <v>1.354810539456582E-3</v>
      </c>
      <c r="K114">
        <v>0.99864610680202093</v>
      </c>
      <c r="L114">
        <v>1.354810539456582E-3</v>
      </c>
      <c r="M114">
        <v>2.1993909378941216E-3</v>
      </c>
      <c r="N114">
        <v>6.1195748033586721</v>
      </c>
      <c r="O114">
        <v>1.2249988091032993</v>
      </c>
      <c r="P114">
        <v>0.29375805015881723</v>
      </c>
      <c r="Q114">
        <v>1.2249988091032993</v>
      </c>
      <c r="R114">
        <v>0.29375805015881723</v>
      </c>
    </row>
    <row r="115" spans="1:18">
      <c r="A115" t="s">
        <v>202</v>
      </c>
      <c r="B115">
        <v>1</v>
      </c>
      <c r="C115">
        <v>4</v>
      </c>
      <c r="D115">
        <v>4</v>
      </c>
      <c r="E115">
        <v>60</v>
      </c>
      <c r="F115">
        <v>15</v>
      </c>
      <c r="G115">
        <v>5</v>
      </c>
      <c r="H115" t="s">
        <v>198</v>
      </c>
      <c r="I115">
        <v>0.99795730421674655</v>
      </c>
      <c r="J115">
        <v>2.0447849317662948E-3</v>
      </c>
      <c r="K115">
        <v>0.99795730421674655</v>
      </c>
      <c r="L115">
        <v>2.0447849317662948E-3</v>
      </c>
      <c r="M115">
        <v>4.1248650556842138E-4</v>
      </c>
      <c r="N115">
        <v>7.7933070664981692</v>
      </c>
      <c r="O115">
        <v>1.5602972412450464</v>
      </c>
      <c r="P115">
        <v>0.21007361937542082</v>
      </c>
      <c r="Q115">
        <v>1.5602972412450464</v>
      </c>
      <c r="R115">
        <v>0.21007361937542082</v>
      </c>
    </row>
    <row r="116" spans="1:18">
      <c r="A116" t="s">
        <v>202</v>
      </c>
      <c r="B116">
        <v>1</v>
      </c>
      <c r="C116">
        <v>4</v>
      </c>
      <c r="D116">
        <v>4</v>
      </c>
      <c r="E116">
        <v>60</v>
      </c>
      <c r="F116">
        <v>15</v>
      </c>
      <c r="G116">
        <v>5</v>
      </c>
      <c r="H116" t="s">
        <v>199</v>
      </c>
      <c r="I116">
        <v>2.3902988340820053E-2</v>
      </c>
      <c r="J116">
        <v>3.7337517926801636</v>
      </c>
      <c r="K116">
        <v>2.3902988340820053E-2</v>
      </c>
      <c r="L116">
        <v>3.7337517926801636</v>
      </c>
      <c r="M116">
        <v>1.611275412376646E-6</v>
      </c>
      <c r="N116">
        <v>13.338484510977732</v>
      </c>
      <c r="O116">
        <v>5.6546983363396768</v>
      </c>
      <c r="P116">
        <v>3.5010290607660425E-3</v>
      </c>
      <c r="Q116">
        <v>5.6546983363396768</v>
      </c>
      <c r="R116">
        <v>3.5010290607660425E-3</v>
      </c>
    </row>
    <row r="117" spans="1:18">
      <c r="A117" t="s">
        <v>202</v>
      </c>
      <c r="B117">
        <v>1</v>
      </c>
      <c r="C117">
        <v>4</v>
      </c>
      <c r="D117">
        <v>4</v>
      </c>
      <c r="E117">
        <v>60</v>
      </c>
      <c r="F117">
        <v>15</v>
      </c>
      <c r="G117">
        <v>5</v>
      </c>
      <c r="H117" t="s">
        <v>200</v>
      </c>
    </row>
    <row r="118" spans="1:18">
      <c r="A118" t="s">
        <v>202</v>
      </c>
      <c r="B118">
        <v>1</v>
      </c>
      <c r="C118">
        <v>4</v>
      </c>
      <c r="D118">
        <v>4</v>
      </c>
      <c r="E118">
        <v>60</v>
      </c>
      <c r="F118">
        <v>15</v>
      </c>
      <c r="G118">
        <v>6</v>
      </c>
      <c r="H118" t="s">
        <v>197</v>
      </c>
      <c r="I118">
        <v>0.86486023684960822</v>
      </c>
      <c r="J118">
        <v>0.14518736100145579</v>
      </c>
      <c r="K118">
        <v>0.86486023684960822</v>
      </c>
      <c r="L118">
        <v>0.14518736100145579</v>
      </c>
      <c r="M118">
        <v>3.9988926143529486E-4</v>
      </c>
      <c r="N118">
        <v>7.8243228955970974</v>
      </c>
      <c r="O118">
        <v>1.6810144679205838</v>
      </c>
      <c r="P118">
        <v>0.18618500149000228</v>
      </c>
      <c r="Q118">
        <v>1.6810144679205838</v>
      </c>
      <c r="R118">
        <v>0.18618500149000228</v>
      </c>
    </row>
    <row r="119" spans="1:18">
      <c r="A119" t="s">
        <v>202</v>
      </c>
      <c r="B119">
        <v>1</v>
      </c>
      <c r="C119">
        <v>4</v>
      </c>
      <c r="D119">
        <v>4</v>
      </c>
      <c r="E119">
        <v>60</v>
      </c>
      <c r="F119">
        <v>15</v>
      </c>
      <c r="G119">
        <v>6</v>
      </c>
      <c r="H119" t="s">
        <v>198</v>
      </c>
      <c r="I119">
        <v>0.98334202231551548</v>
      </c>
      <c r="J119">
        <v>1.6798282102354095E-2</v>
      </c>
      <c r="K119">
        <v>0.98334202231551548</v>
      </c>
      <c r="L119">
        <v>1.6798282102354095E-2</v>
      </c>
      <c r="M119">
        <v>5.454367015780779E-5</v>
      </c>
      <c r="N119">
        <v>9.8165088898551289</v>
      </c>
      <c r="O119">
        <v>1.9767404036529086</v>
      </c>
      <c r="P119">
        <v>0.13852002158072607</v>
      </c>
      <c r="Q119">
        <v>1.9767404036529086</v>
      </c>
      <c r="R119">
        <v>0.13852002158072607</v>
      </c>
    </row>
    <row r="120" spans="1:18">
      <c r="A120" t="s">
        <v>202</v>
      </c>
      <c r="B120">
        <v>1</v>
      </c>
      <c r="C120">
        <v>4</v>
      </c>
      <c r="D120">
        <v>4</v>
      </c>
      <c r="E120">
        <v>60</v>
      </c>
      <c r="F120">
        <v>15</v>
      </c>
      <c r="G120">
        <v>6</v>
      </c>
      <c r="H120" t="s">
        <v>199</v>
      </c>
      <c r="I120">
        <v>3.9909076904460772E-3</v>
      </c>
      <c r="J120">
        <v>5.5237365826127274</v>
      </c>
      <c r="K120">
        <v>3.9909076904460772E-3</v>
      </c>
      <c r="L120">
        <v>5.5237365826127274</v>
      </c>
      <c r="M120">
        <v>5.326530288848417E-8</v>
      </c>
      <c r="N120">
        <v>16.747980695454583</v>
      </c>
      <c r="O120">
        <v>7.7685854051810974</v>
      </c>
      <c r="P120">
        <v>4.2281095014898057E-4</v>
      </c>
      <c r="Q120">
        <v>7.7685854051810974</v>
      </c>
      <c r="R120">
        <v>4.2281095014898057E-4</v>
      </c>
    </row>
    <row r="121" spans="1:18">
      <c r="A121" t="s">
        <v>202</v>
      </c>
      <c r="B121">
        <v>1</v>
      </c>
      <c r="C121">
        <v>4</v>
      </c>
      <c r="D121">
        <v>4</v>
      </c>
      <c r="E121">
        <v>60</v>
      </c>
      <c r="F121">
        <v>15</v>
      </c>
      <c r="G121">
        <v>6</v>
      </c>
      <c r="H121" t="s">
        <v>200</v>
      </c>
    </row>
    <row r="122" spans="1:18">
      <c r="A122" t="s">
        <v>202</v>
      </c>
      <c r="B122">
        <v>1</v>
      </c>
      <c r="C122">
        <v>4</v>
      </c>
      <c r="D122">
        <v>4</v>
      </c>
      <c r="E122">
        <v>60</v>
      </c>
      <c r="F122">
        <v>15</v>
      </c>
      <c r="G122">
        <v>7</v>
      </c>
      <c r="H122" t="s">
        <v>197</v>
      </c>
      <c r="I122">
        <v>0.34876272984291878</v>
      </c>
      <c r="J122">
        <v>1.0533634451710168</v>
      </c>
      <c r="K122">
        <v>0.34876272984291878</v>
      </c>
      <c r="L122">
        <v>1.0533634451710168</v>
      </c>
      <c r="M122">
        <v>6.664821023921581E-5</v>
      </c>
      <c r="N122">
        <v>9.6160823648251519</v>
      </c>
      <c r="O122">
        <v>2.7659072291018432</v>
      </c>
      <c r="P122">
        <v>6.2918991506830682E-2</v>
      </c>
      <c r="Q122">
        <v>2.7659072291018432</v>
      </c>
      <c r="R122">
        <v>6.2918991506830682E-2</v>
      </c>
    </row>
    <row r="123" spans="1:18">
      <c r="A123" t="s">
        <v>202</v>
      </c>
      <c r="B123">
        <v>1</v>
      </c>
      <c r="C123">
        <v>4</v>
      </c>
      <c r="D123">
        <v>4</v>
      </c>
      <c r="E123">
        <v>60</v>
      </c>
      <c r="F123">
        <v>15</v>
      </c>
      <c r="G123">
        <v>7</v>
      </c>
      <c r="H123" t="s">
        <v>198</v>
      </c>
      <c r="I123">
        <v>0.91430147136038931</v>
      </c>
      <c r="J123">
        <v>8.9594924537770182E-2</v>
      </c>
      <c r="K123">
        <v>0.91430147136038931</v>
      </c>
      <c r="L123">
        <v>8.9594924537770182E-2</v>
      </c>
      <c r="M123">
        <v>7.272489354374372E-6</v>
      </c>
      <c r="N123">
        <v>11.831411910397394</v>
      </c>
      <c r="O123">
        <v>2.4379583217096945</v>
      </c>
      <c r="P123">
        <v>8.7338987666707391E-2</v>
      </c>
      <c r="Q123">
        <v>2.4379583217096945</v>
      </c>
      <c r="R123">
        <v>8.7338987666707391E-2</v>
      </c>
    </row>
    <row r="124" spans="1:18">
      <c r="A124" t="s">
        <v>202</v>
      </c>
      <c r="B124">
        <v>1</v>
      </c>
      <c r="C124">
        <v>4</v>
      </c>
      <c r="D124">
        <v>4</v>
      </c>
      <c r="E124">
        <v>60</v>
      </c>
      <c r="F124">
        <v>15</v>
      </c>
      <c r="G124">
        <v>7</v>
      </c>
      <c r="H124" t="s">
        <v>199</v>
      </c>
      <c r="I124">
        <v>5.9965402776851473E-4</v>
      </c>
      <c r="J124">
        <v>7.4191576894434057</v>
      </c>
      <c r="K124">
        <v>5.9965402776851473E-4</v>
      </c>
      <c r="L124">
        <v>7.4191576894434057</v>
      </c>
      <c r="M124">
        <v>1.7755100962828057E-9</v>
      </c>
      <c r="N124">
        <v>20.149178077116737</v>
      </c>
      <c r="O124">
        <v>9.9651617669780705</v>
      </c>
      <c r="P124">
        <v>4.7009456847255043E-5</v>
      </c>
      <c r="Q124">
        <v>9.9651617669780705</v>
      </c>
      <c r="R124">
        <v>4.7009456847255043E-5</v>
      </c>
    </row>
    <row r="125" spans="1:18">
      <c r="A125" t="s">
        <v>202</v>
      </c>
      <c r="B125">
        <v>1</v>
      </c>
      <c r="C125">
        <v>4</v>
      </c>
      <c r="D125">
        <v>4</v>
      </c>
      <c r="E125">
        <v>60</v>
      </c>
      <c r="F125">
        <v>15</v>
      </c>
      <c r="G125">
        <v>7</v>
      </c>
      <c r="H125" t="s">
        <v>200</v>
      </c>
    </row>
    <row r="126" spans="1:18">
      <c r="A126" t="s">
        <v>202</v>
      </c>
      <c r="B126">
        <v>1</v>
      </c>
      <c r="C126">
        <v>4</v>
      </c>
      <c r="D126">
        <v>4</v>
      </c>
      <c r="E126">
        <v>60</v>
      </c>
      <c r="F126">
        <v>15</v>
      </c>
      <c r="G126">
        <v>8</v>
      </c>
      <c r="H126" t="s">
        <v>197</v>
      </c>
      <c r="I126">
        <v>6.2685858511162929E-2</v>
      </c>
      <c r="J126">
        <v>2.7696193988684192</v>
      </c>
      <c r="K126">
        <v>6.2685858511162929E-2</v>
      </c>
      <c r="L126">
        <v>2.7696193988684192</v>
      </c>
      <c r="M126">
        <v>1.0060107205919367E-5</v>
      </c>
      <c r="N126">
        <v>11.506932736697438</v>
      </c>
      <c r="O126">
        <v>4.5170820664342219</v>
      </c>
      <c r="P126">
        <v>1.0920843517741401E-2</v>
      </c>
      <c r="Q126">
        <v>4.5170820664342219</v>
      </c>
      <c r="R126">
        <v>1.0920843517741401E-2</v>
      </c>
    </row>
    <row r="127" spans="1:18">
      <c r="A127" t="s">
        <v>202</v>
      </c>
      <c r="B127">
        <v>1</v>
      </c>
      <c r="C127">
        <v>4</v>
      </c>
      <c r="D127">
        <v>4</v>
      </c>
      <c r="E127">
        <v>60</v>
      </c>
      <c r="F127">
        <v>15</v>
      </c>
      <c r="G127">
        <v>8</v>
      </c>
      <c r="H127" t="s">
        <v>198</v>
      </c>
      <c r="I127">
        <v>0.73249001110889389</v>
      </c>
      <c r="J127">
        <v>0.31130557489530314</v>
      </c>
      <c r="K127">
        <v>0.73249001110889389</v>
      </c>
      <c r="L127">
        <v>0.31130557489530314</v>
      </c>
      <c r="M127">
        <v>9.7576377081752562E-7</v>
      </c>
      <c r="N127">
        <v>13.840045317926064</v>
      </c>
      <c r="O127">
        <v>3.0170535235014548</v>
      </c>
      <c r="P127">
        <v>4.8945222052578639E-2</v>
      </c>
      <c r="Q127">
        <v>3.0170535235014548</v>
      </c>
      <c r="R127">
        <v>4.8945222052578639E-2</v>
      </c>
    </row>
    <row r="128" spans="1:18">
      <c r="A128" t="s">
        <v>202</v>
      </c>
      <c r="B128">
        <v>1</v>
      </c>
      <c r="C128">
        <v>4</v>
      </c>
      <c r="D128">
        <v>4</v>
      </c>
      <c r="E128">
        <v>60</v>
      </c>
      <c r="F128">
        <v>15</v>
      </c>
      <c r="G128">
        <v>8</v>
      </c>
      <c r="H128" t="s">
        <v>199</v>
      </c>
      <c r="I128">
        <v>8.0477619149976753E-5</v>
      </c>
      <c r="J128">
        <v>9.4275314351769666</v>
      </c>
      <c r="K128">
        <v>8.0477619149976753E-5</v>
      </c>
      <c r="L128">
        <v>9.4275314351769666</v>
      </c>
      <c r="M128">
        <v>5.9555894214936866E-11</v>
      </c>
      <c r="N128">
        <v>23.544105845765298</v>
      </c>
      <c r="O128">
        <v>12.250846317294631</v>
      </c>
      <c r="P128">
        <v>4.781069377717132E-6</v>
      </c>
      <c r="Q128">
        <v>12.250846317294631</v>
      </c>
      <c r="R128">
        <v>4.781069377717132E-6</v>
      </c>
    </row>
    <row r="129" spans="1:18">
      <c r="A129" t="s">
        <v>202</v>
      </c>
      <c r="B129">
        <v>1</v>
      </c>
      <c r="C129">
        <v>4</v>
      </c>
      <c r="D129">
        <v>4</v>
      </c>
      <c r="E129">
        <v>60</v>
      </c>
      <c r="F129">
        <v>15</v>
      </c>
      <c r="G129">
        <v>8</v>
      </c>
      <c r="H129" t="s">
        <v>200</v>
      </c>
    </row>
    <row r="130" spans="1:18">
      <c r="A130" t="s">
        <v>202</v>
      </c>
      <c r="B130">
        <v>1</v>
      </c>
      <c r="C130">
        <v>4</v>
      </c>
      <c r="D130">
        <v>4</v>
      </c>
      <c r="E130">
        <v>60</v>
      </c>
      <c r="F130">
        <v>15</v>
      </c>
      <c r="G130">
        <v>9</v>
      </c>
      <c r="H130" t="s">
        <v>197</v>
      </c>
      <c r="I130">
        <v>6.7550784172143441E-3</v>
      </c>
      <c r="J130">
        <v>4.9974606988713539</v>
      </c>
      <c r="K130">
        <v>6.7550784172143441E-3</v>
      </c>
      <c r="L130">
        <v>4.9974606988713539</v>
      </c>
      <c r="M130">
        <v>1.3542452007968379E-6</v>
      </c>
      <c r="N130">
        <v>13.512266306223552</v>
      </c>
      <c r="O130">
        <v>6.7004218203417931</v>
      </c>
      <c r="P130">
        <v>1.2303927884881371E-3</v>
      </c>
      <c r="Q130">
        <v>6.7004218203417931</v>
      </c>
      <c r="R130">
        <v>1.2303927884881371E-3</v>
      </c>
    </row>
    <row r="131" spans="1:18">
      <c r="A131" t="s">
        <v>202</v>
      </c>
      <c r="B131">
        <v>1</v>
      </c>
      <c r="C131">
        <v>4</v>
      </c>
      <c r="D131">
        <v>4</v>
      </c>
      <c r="E131">
        <v>60</v>
      </c>
      <c r="F131">
        <v>15</v>
      </c>
      <c r="G131">
        <v>9</v>
      </c>
      <c r="H131" t="s">
        <v>198</v>
      </c>
      <c r="I131">
        <v>0.46273439314242748</v>
      </c>
      <c r="J131">
        <v>0.7706020544237423</v>
      </c>
      <c r="K131">
        <v>0.46273439314242748</v>
      </c>
      <c r="L131">
        <v>0.7706020544237423</v>
      </c>
      <c r="M131">
        <v>1.313528153023592E-7</v>
      </c>
      <c r="N131">
        <v>15.845378887452178</v>
      </c>
      <c r="O131">
        <v>3.7855574210294289</v>
      </c>
      <c r="P131">
        <v>2.2696207906438257E-2</v>
      </c>
      <c r="Q131">
        <v>3.7855574210294289</v>
      </c>
      <c r="R131">
        <v>2.2696207906438257E-2</v>
      </c>
    </row>
    <row r="132" spans="1:18">
      <c r="A132" t="s">
        <v>202</v>
      </c>
      <c r="B132">
        <v>1</v>
      </c>
      <c r="C132">
        <v>4</v>
      </c>
      <c r="D132">
        <v>4</v>
      </c>
      <c r="E132">
        <v>60</v>
      </c>
      <c r="F132">
        <v>15</v>
      </c>
      <c r="G132">
        <v>9</v>
      </c>
      <c r="H132" t="s">
        <v>199</v>
      </c>
      <c r="I132">
        <v>9.4796714732447995E-6</v>
      </c>
      <c r="J132">
        <v>11.566360897018845</v>
      </c>
      <c r="K132">
        <v>9.4796714732447995E-6</v>
      </c>
      <c r="L132">
        <v>11.566360897018845</v>
      </c>
      <c r="M132">
        <v>2.0042849014642212E-12</v>
      </c>
      <c r="N132">
        <v>26.935733776411304</v>
      </c>
      <c r="O132">
        <v>14.640235472897336</v>
      </c>
      <c r="P132">
        <v>4.3835556094972061E-7</v>
      </c>
      <c r="Q132">
        <v>14.640235472897336</v>
      </c>
      <c r="R132">
        <v>4.3835556094972061E-7</v>
      </c>
    </row>
    <row r="133" spans="1:18">
      <c r="A133" t="s">
        <v>202</v>
      </c>
      <c r="B133">
        <v>1</v>
      </c>
      <c r="C133">
        <v>4</v>
      </c>
      <c r="D133">
        <v>4</v>
      </c>
      <c r="E133">
        <v>60</v>
      </c>
      <c r="F133">
        <v>15</v>
      </c>
      <c r="G133">
        <v>9</v>
      </c>
      <c r="H133" t="s">
        <v>200</v>
      </c>
    </row>
    <row r="134" spans="1:18">
      <c r="A134" t="s">
        <v>202</v>
      </c>
      <c r="B134">
        <v>1</v>
      </c>
      <c r="C134">
        <v>4</v>
      </c>
      <c r="D134">
        <v>4</v>
      </c>
      <c r="E134">
        <v>60</v>
      </c>
      <c r="F134">
        <v>15</v>
      </c>
      <c r="G134">
        <v>10</v>
      </c>
      <c r="H134" t="s">
        <v>197</v>
      </c>
      <c r="I134">
        <v>4.7833242584427449E-4</v>
      </c>
      <c r="J134">
        <v>7.6452046156301323</v>
      </c>
      <c r="K134">
        <v>4.7833242584427449E-4</v>
      </c>
      <c r="L134">
        <v>7.6452046156301323</v>
      </c>
      <c r="M134">
        <v>1.5932296479962799E-7</v>
      </c>
      <c r="N134">
        <v>15.652332469719823</v>
      </c>
      <c r="O134">
        <v>9.2466301864480691</v>
      </c>
      <c r="P134">
        <v>9.6436076727323384E-5</v>
      </c>
      <c r="Q134">
        <v>9.2466301864480691</v>
      </c>
      <c r="R134">
        <v>9.6436076727323384E-5</v>
      </c>
    </row>
    <row r="135" spans="1:18">
      <c r="A135" t="s">
        <v>202</v>
      </c>
      <c r="B135">
        <v>1</v>
      </c>
      <c r="C135">
        <v>4</v>
      </c>
      <c r="D135">
        <v>4</v>
      </c>
      <c r="E135">
        <v>60</v>
      </c>
      <c r="F135">
        <v>15</v>
      </c>
      <c r="G135">
        <v>10</v>
      </c>
      <c r="H135" t="s">
        <v>198</v>
      </c>
      <c r="I135">
        <v>0.22166118574806526</v>
      </c>
      <c r="J135">
        <v>1.5066052532486618</v>
      </c>
      <c r="K135">
        <v>0.22166118574806526</v>
      </c>
      <c r="L135">
        <v>1.5066052532486618</v>
      </c>
      <c r="M135">
        <v>1.7660882729728966E-8</v>
      </c>
      <c r="N135">
        <v>17.851913658323927</v>
      </c>
      <c r="O135">
        <v>4.7756669342637146</v>
      </c>
      <c r="P135">
        <v>8.4324583162718163E-3</v>
      </c>
      <c r="Q135">
        <v>4.7756669342637146</v>
      </c>
      <c r="R135">
        <v>8.4324583162718163E-3</v>
      </c>
    </row>
    <row r="136" spans="1:18">
      <c r="A136" t="s">
        <v>202</v>
      </c>
      <c r="B136">
        <v>1</v>
      </c>
      <c r="C136">
        <v>4</v>
      </c>
      <c r="D136">
        <v>4</v>
      </c>
      <c r="E136">
        <v>60</v>
      </c>
      <c r="F136">
        <v>15</v>
      </c>
      <c r="G136">
        <v>10</v>
      </c>
      <c r="H136" t="s">
        <v>199</v>
      </c>
      <c r="I136">
        <v>9.5593733184795582E-7</v>
      </c>
      <c r="J136">
        <v>13.860573478503964</v>
      </c>
      <c r="K136">
        <v>9.5593733184795582E-7</v>
      </c>
      <c r="L136">
        <v>13.860573478503964</v>
      </c>
      <c r="M136">
        <v>6.7370921057620874E-14</v>
      </c>
      <c r="N136">
        <v>30.32856290840294</v>
      </c>
      <c r="O136">
        <v>17.154171364483759</v>
      </c>
      <c r="P136">
        <v>3.5484446455552813E-8</v>
      </c>
      <c r="Q136">
        <v>17.154171364483759</v>
      </c>
      <c r="R136">
        <v>3.5484446455552813E-8</v>
      </c>
    </row>
    <row r="137" spans="1:18">
      <c r="A137" t="s">
        <v>202</v>
      </c>
      <c r="B137">
        <v>1</v>
      </c>
      <c r="C137">
        <v>4</v>
      </c>
      <c r="D137">
        <v>4</v>
      </c>
      <c r="E137">
        <v>60</v>
      </c>
      <c r="F137">
        <v>15</v>
      </c>
      <c r="G137">
        <v>10</v>
      </c>
      <c r="H137" t="s">
        <v>200</v>
      </c>
    </row>
    <row r="138" spans="1:18">
      <c r="A138" t="s">
        <v>202</v>
      </c>
      <c r="B138">
        <v>1</v>
      </c>
      <c r="C138">
        <v>4</v>
      </c>
      <c r="D138">
        <v>4</v>
      </c>
      <c r="E138">
        <v>60</v>
      </c>
      <c r="F138">
        <v>15</v>
      </c>
      <c r="G138">
        <v>11</v>
      </c>
      <c r="H138" t="s">
        <v>197</v>
      </c>
      <c r="I138">
        <v>2.1747348218137397E-5</v>
      </c>
      <c r="J138">
        <v>10.736018728867728</v>
      </c>
      <c r="K138">
        <v>2.1747348218137397E-5</v>
      </c>
      <c r="L138">
        <v>10.736018728867728</v>
      </c>
      <c r="M138">
        <v>1.5932296479962801E-8</v>
      </c>
      <c r="N138">
        <v>17.95491756271387</v>
      </c>
      <c r="O138">
        <v>12.179798495636955</v>
      </c>
      <c r="P138">
        <v>5.1331117915367361E-6</v>
      </c>
      <c r="Q138">
        <v>12.179798495636955</v>
      </c>
      <c r="R138">
        <v>5.1331117915367361E-6</v>
      </c>
    </row>
    <row r="139" spans="1:18">
      <c r="A139" t="s">
        <v>202</v>
      </c>
      <c r="B139">
        <v>1</v>
      </c>
      <c r="C139">
        <v>4</v>
      </c>
      <c r="D139">
        <v>4</v>
      </c>
      <c r="E139">
        <v>60</v>
      </c>
      <c r="F139">
        <v>15</v>
      </c>
      <c r="G139">
        <v>11</v>
      </c>
      <c r="H139" t="s">
        <v>198</v>
      </c>
      <c r="I139">
        <v>8.0137538577503942E-2</v>
      </c>
      <c r="J139">
        <v>2.5240108882774694</v>
      </c>
      <c r="K139">
        <v>8.0137538577503942E-2</v>
      </c>
      <c r="L139">
        <v>2.5240108882774694</v>
      </c>
      <c r="M139">
        <v>2.3547843639638623E-9</v>
      </c>
      <c r="N139">
        <v>19.86681667886619</v>
      </c>
      <c r="O139">
        <v>5.992572046395213</v>
      </c>
      <c r="P139">
        <v>2.4972327844094144E-3</v>
      </c>
      <c r="Q139">
        <v>5.992572046395213</v>
      </c>
      <c r="R139">
        <v>2.4972327844094144E-3</v>
      </c>
    </row>
    <row r="140" spans="1:18">
      <c r="A140" t="s">
        <v>202</v>
      </c>
      <c r="B140">
        <v>1</v>
      </c>
      <c r="C140">
        <v>4</v>
      </c>
      <c r="D140">
        <v>4</v>
      </c>
      <c r="E140">
        <v>60</v>
      </c>
      <c r="F140">
        <v>15</v>
      </c>
      <c r="G140">
        <v>11</v>
      </c>
      <c r="H140" t="s">
        <v>199</v>
      </c>
      <c r="I140">
        <v>7.9661479190917817E-8</v>
      </c>
      <c r="J140">
        <v>16.345479690561422</v>
      </c>
      <c r="K140">
        <v>7.9661479190917817E-8</v>
      </c>
      <c r="L140">
        <v>16.345479690561422</v>
      </c>
      <c r="M140">
        <v>2.2456973685873626E-15</v>
      </c>
      <c r="N140">
        <v>33.729760290065094</v>
      </c>
      <c r="O140">
        <v>19.822335810462157</v>
      </c>
      <c r="P140">
        <v>2.4618916712368652E-9</v>
      </c>
      <c r="Q140">
        <v>19.822335810462157</v>
      </c>
      <c r="R140">
        <v>2.4618916712368652E-9</v>
      </c>
    </row>
    <row r="141" spans="1:18">
      <c r="A141" t="s">
        <v>202</v>
      </c>
      <c r="B141">
        <v>1</v>
      </c>
      <c r="C141">
        <v>4</v>
      </c>
      <c r="D141">
        <v>4</v>
      </c>
      <c r="E141">
        <v>60</v>
      </c>
      <c r="F141">
        <v>15</v>
      </c>
      <c r="G141">
        <v>11</v>
      </c>
      <c r="H141" t="s">
        <v>200</v>
      </c>
    </row>
    <row r="142" spans="1:18">
      <c r="A142" t="s">
        <v>202</v>
      </c>
      <c r="B142">
        <v>1</v>
      </c>
      <c r="C142">
        <v>4</v>
      </c>
      <c r="D142">
        <v>4</v>
      </c>
      <c r="E142">
        <v>60</v>
      </c>
      <c r="F142">
        <v>15</v>
      </c>
      <c r="G142">
        <v>12</v>
      </c>
      <c r="H142" t="s">
        <v>197</v>
      </c>
      <c r="I142">
        <v>5.9177083699957223E-7</v>
      </c>
      <c r="J142">
        <v>14.340146376667706</v>
      </c>
      <c r="K142">
        <v>5.9177083699957223E-7</v>
      </c>
      <c r="L142">
        <v>14.340146376667706</v>
      </c>
      <c r="M142">
        <v>1.3005956310173714E-9</v>
      </c>
      <c r="N142">
        <v>20.460443499704606</v>
      </c>
      <c r="O142">
        <v>15.564205801275087</v>
      </c>
      <c r="P142">
        <v>1.740008241454342E-7</v>
      </c>
      <c r="Q142">
        <v>15.564205801275087</v>
      </c>
      <c r="R142">
        <v>1.740008241454342E-7</v>
      </c>
    </row>
    <row r="143" spans="1:18">
      <c r="A143" t="s">
        <v>202</v>
      </c>
      <c r="B143">
        <v>1</v>
      </c>
      <c r="C143">
        <v>4</v>
      </c>
      <c r="D143">
        <v>4</v>
      </c>
      <c r="E143">
        <v>60</v>
      </c>
      <c r="F143">
        <v>15</v>
      </c>
      <c r="G143">
        <v>12</v>
      </c>
      <c r="H143" t="s">
        <v>198</v>
      </c>
      <c r="I143">
        <v>2.1584031619577559E-2</v>
      </c>
      <c r="J143">
        <v>3.8358015145633271</v>
      </c>
      <c r="K143">
        <v>2.1584031619577559E-2</v>
      </c>
      <c r="L143">
        <v>3.8358015145633271</v>
      </c>
      <c r="M143">
        <v>3.0756367202793308E-10</v>
      </c>
      <c r="N143">
        <v>21.902338986611191</v>
      </c>
      <c r="O143">
        <v>7.4491090089728988</v>
      </c>
      <c r="P143">
        <v>5.819599023146394E-4</v>
      </c>
      <c r="Q143">
        <v>7.4491090089728988</v>
      </c>
      <c r="R143">
        <v>5.819599023146394E-4</v>
      </c>
    </row>
    <row r="144" spans="1:18">
      <c r="A144" t="s">
        <v>202</v>
      </c>
      <c r="B144">
        <v>1</v>
      </c>
      <c r="C144">
        <v>4</v>
      </c>
      <c r="D144">
        <v>4</v>
      </c>
      <c r="E144">
        <v>60</v>
      </c>
      <c r="F144">
        <v>15</v>
      </c>
      <c r="G144">
        <v>12</v>
      </c>
      <c r="H144" t="s">
        <v>199</v>
      </c>
      <c r="I144">
        <v>5.2023825247715649E-9</v>
      </c>
      <c r="J144">
        <v>19.074149138449762</v>
      </c>
      <c r="K144">
        <v>5.2023825247715649E-9</v>
      </c>
      <c r="L144">
        <v>19.074149138449762</v>
      </c>
      <c r="M144">
        <v>7.332889366815879E-17</v>
      </c>
      <c r="N144">
        <v>37.151576958929986</v>
      </c>
      <c r="O144">
        <v>22.689634702545806</v>
      </c>
      <c r="P144">
        <v>1.3996416329574047E-10</v>
      </c>
      <c r="Q144">
        <v>22.689634702545806</v>
      </c>
      <c r="R144">
        <v>1.3996416329574047E-10</v>
      </c>
    </row>
    <row r="145" spans="1:18">
      <c r="A145" t="s">
        <v>202</v>
      </c>
      <c r="B145">
        <v>1</v>
      </c>
      <c r="C145">
        <v>4</v>
      </c>
      <c r="D145">
        <v>4</v>
      </c>
      <c r="E145">
        <v>60</v>
      </c>
      <c r="F145">
        <v>15</v>
      </c>
      <c r="G145">
        <v>12</v>
      </c>
      <c r="H145" t="s">
        <v>200</v>
      </c>
    </row>
    <row r="146" spans="1:18">
      <c r="A146" t="s">
        <v>202</v>
      </c>
      <c r="B146">
        <v>1</v>
      </c>
      <c r="C146">
        <v>4</v>
      </c>
      <c r="D146">
        <v>4</v>
      </c>
      <c r="E146">
        <v>60</v>
      </c>
      <c r="F146">
        <v>15</v>
      </c>
      <c r="G146">
        <v>13</v>
      </c>
      <c r="H146" t="s">
        <v>197</v>
      </c>
      <c r="I146">
        <v>8.5351588019477731E-9</v>
      </c>
      <c r="J146">
        <v>18.579071874903821</v>
      </c>
      <c r="K146">
        <v>8.5351588019477731E-9</v>
      </c>
      <c r="L146">
        <v>18.579071874903821</v>
      </c>
      <c r="M146">
        <v>8.128722693858571E-11</v>
      </c>
      <c r="N146">
        <v>23.233032221944384</v>
      </c>
      <c r="O146">
        <v>19.509863944311935</v>
      </c>
      <c r="P146">
        <v>3.3649122740381813E-9</v>
      </c>
      <c r="Q146">
        <v>19.509863944311935</v>
      </c>
      <c r="R146">
        <v>3.3649122740381813E-9</v>
      </c>
    </row>
    <row r="147" spans="1:18">
      <c r="A147" t="s">
        <v>202</v>
      </c>
      <c r="B147">
        <v>1</v>
      </c>
      <c r="C147">
        <v>4</v>
      </c>
      <c r="D147">
        <v>4</v>
      </c>
      <c r="E147">
        <v>60</v>
      </c>
      <c r="F147">
        <v>15</v>
      </c>
      <c r="G147">
        <v>13</v>
      </c>
      <c r="H147" t="s">
        <v>198</v>
      </c>
      <c r="I147">
        <v>4.0829620454846394E-3</v>
      </c>
      <c r="J147">
        <v>5.5009325624300933</v>
      </c>
      <c r="K147">
        <v>4.0829620454846394E-3</v>
      </c>
      <c r="L147">
        <v>5.5009325624300933</v>
      </c>
      <c r="M147">
        <v>3.8445459003491635E-11</v>
      </c>
      <c r="N147">
        <v>23.981780528291026</v>
      </c>
      <c r="O147">
        <v>9.1971021556022787</v>
      </c>
      <c r="P147">
        <v>1.0133262295104354E-4</v>
      </c>
      <c r="Q147">
        <v>9.1971021556022787</v>
      </c>
      <c r="R147">
        <v>1.0133262295104354E-4</v>
      </c>
    </row>
    <row r="148" spans="1:18">
      <c r="A148" t="s">
        <v>202</v>
      </c>
      <c r="B148">
        <v>1</v>
      </c>
      <c r="C148">
        <v>4</v>
      </c>
      <c r="D148">
        <v>4</v>
      </c>
      <c r="E148">
        <v>60</v>
      </c>
      <c r="F148">
        <v>15</v>
      </c>
      <c r="G148">
        <v>13</v>
      </c>
      <c r="H148" t="s">
        <v>199</v>
      </c>
      <c r="I148">
        <v>2.4386170860424272E-10</v>
      </c>
      <c r="J148">
        <v>22.134419819324449</v>
      </c>
      <c r="K148">
        <v>2.4386170860424272E-10</v>
      </c>
      <c r="L148">
        <v>22.134419819324449</v>
      </c>
      <c r="M148">
        <v>2.2915279271299622E-18</v>
      </c>
      <c r="N148">
        <v>40.617312861729715</v>
      </c>
      <c r="O148">
        <v>25.830998427805504</v>
      </c>
      <c r="P148">
        <v>6.0497847211160352E-12</v>
      </c>
      <c r="Q148">
        <v>25.830998427805504</v>
      </c>
      <c r="R148">
        <v>6.0497847211160352E-12</v>
      </c>
    </row>
    <row r="149" spans="1:18">
      <c r="A149" t="s">
        <v>202</v>
      </c>
      <c r="B149">
        <v>1</v>
      </c>
      <c r="C149">
        <v>4</v>
      </c>
      <c r="D149">
        <v>4</v>
      </c>
      <c r="E149">
        <v>60</v>
      </c>
      <c r="F149">
        <v>15</v>
      </c>
      <c r="G149">
        <v>13</v>
      </c>
      <c r="H149" t="s">
        <v>200</v>
      </c>
    </row>
    <row r="150" spans="1:18">
      <c r="A150" t="s">
        <v>202</v>
      </c>
      <c r="B150">
        <v>1</v>
      </c>
      <c r="C150">
        <v>4</v>
      </c>
      <c r="D150">
        <v>4</v>
      </c>
      <c r="E150">
        <v>60</v>
      </c>
      <c r="F150">
        <v>15</v>
      </c>
      <c r="G150">
        <v>14</v>
      </c>
      <c r="H150" t="s">
        <v>197</v>
      </c>
      <c r="I150">
        <v>5.1885495899739453E-11</v>
      </c>
      <c r="J150">
        <v>23.681981827246375</v>
      </c>
      <c r="K150">
        <v>5.1885495899739453E-11</v>
      </c>
      <c r="L150">
        <v>23.681981827246375</v>
      </c>
      <c r="M150">
        <v>3.4590309335568387E-12</v>
      </c>
      <c r="N150">
        <v>26.3900326430945</v>
      </c>
      <c r="O150">
        <v>24.223591990416001</v>
      </c>
      <c r="P150">
        <v>3.0187536046907907E-11</v>
      </c>
      <c r="Q150">
        <v>24.223591990416001</v>
      </c>
      <c r="R150">
        <v>3.0187536046907907E-11</v>
      </c>
    </row>
    <row r="151" spans="1:18">
      <c r="A151" t="s">
        <v>202</v>
      </c>
      <c r="B151">
        <v>1</v>
      </c>
      <c r="C151">
        <v>4</v>
      </c>
      <c r="D151">
        <v>4</v>
      </c>
      <c r="E151">
        <v>60</v>
      </c>
      <c r="F151">
        <v>15</v>
      </c>
      <c r="G151">
        <v>14</v>
      </c>
      <c r="H151" t="s">
        <v>198</v>
      </c>
      <c r="I151">
        <v>4.6415551946632494E-4</v>
      </c>
      <c r="J151">
        <v>7.6752908906317279</v>
      </c>
      <c r="K151">
        <v>4.6415551946632494E-4</v>
      </c>
      <c r="L151">
        <v>7.6752908906317279</v>
      </c>
      <c r="M151">
        <v>4.3626052769919582E-12</v>
      </c>
      <c r="N151">
        <v>26.157951696429414</v>
      </c>
      <c r="O151">
        <v>11.371823051791264</v>
      </c>
      <c r="P151">
        <v>1.1515425750818239E-5</v>
      </c>
      <c r="Q151">
        <v>11.371823051791264</v>
      </c>
      <c r="R151">
        <v>1.1515425750818239E-5</v>
      </c>
    </row>
    <row r="152" spans="1:18">
      <c r="A152" t="s">
        <v>202</v>
      </c>
      <c r="B152">
        <v>1</v>
      </c>
      <c r="C152">
        <v>4</v>
      </c>
      <c r="D152">
        <v>4</v>
      </c>
      <c r="E152">
        <v>60</v>
      </c>
      <c r="F152">
        <v>15</v>
      </c>
      <c r="G152">
        <v>14</v>
      </c>
      <c r="H152" t="s">
        <v>199</v>
      </c>
      <c r="I152">
        <v>6.9180217110442754E-12</v>
      </c>
      <c r="J152">
        <v>25.696891267077316</v>
      </c>
      <c r="K152">
        <v>6.9180217110442754E-12</v>
      </c>
      <c r="L152">
        <v>25.696891267077316</v>
      </c>
      <c r="M152">
        <v>6.5007884457587573E-20</v>
      </c>
      <c r="N152">
        <v>44.179778390987991</v>
      </c>
      <c r="O152">
        <v>29.39346869185945</v>
      </c>
      <c r="P152">
        <v>1.7162428586352782E-13</v>
      </c>
      <c r="Q152">
        <v>29.39346869185945</v>
      </c>
      <c r="R152">
        <v>1.7162428586352782E-13</v>
      </c>
    </row>
    <row r="153" spans="1:18">
      <c r="A153" t="s">
        <v>202</v>
      </c>
      <c r="B153">
        <v>1</v>
      </c>
      <c r="C153">
        <v>4</v>
      </c>
      <c r="D153">
        <v>4</v>
      </c>
      <c r="E153">
        <v>60</v>
      </c>
      <c r="F153">
        <v>15</v>
      </c>
      <c r="G153">
        <v>14</v>
      </c>
      <c r="H153" t="s">
        <v>200</v>
      </c>
    </row>
    <row r="154" spans="1:18">
      <c r="A154" t="s">
        <v>202</v>
      </c>
      <c r="B154">
        <v>1</v>
      </c>
      <c r="C154">
        <v>4</v>
      </c>
      <c r="D154">
        <v>4</v>
      </c>
      <c r="E154">
        <v>60</v>
      </c>
      <c r="F154">
        <v>15</v>
      </c>
      <c r="G154">
        <v>15</v>
      </c>
      <c r="H154" t="s">
        <v>197</v>
      </c>
      <c r="I154">
        <v>7.5162098767123098E-14</v>
      </c>
      <c r="J154">
        <v>30.219129296764827</v>
      </c>
      <c r="K154">
        <v>7.5162098767123098E-14</v>
      </c>
      <c r="L154">
        <v>30.219129296764827</v>
      </c>
      <c r="M154">
        <v>7.5196324642539971E-14</v>
      </c>
      <c r="N154">
        <v>30.218674039583593</v>
      </c>
      <c r="O154">
        <v>30.21903824532858</v>
      </c>
      <c r="P154">
        <v>7.5168942695737173E-14</v>
      </c>
      <c r="Q154">
        <v>30.21903824532858</v>
      </c>
      <c r="R154">
        <v>7.5168942695737173E-14</v>
      </c>
    </row>
    <row r="155" spans="1:18">
      <c r="A155" t="s">
        <v>202</v>
      </c>
      <c r="B155">
        <v>1</v>
      </c>
      <c r="C155">
        <v>4</v>
      </c>
      <c r="D155">
        <v>4</v>
      </c>
      <c r="E155">
        <v>60</v>
      </c>
      <c r="F155">
        <v>15</v>
      </c>
      <c r="G155">
        <v>15</v>
      </c>
      <c r="H155" t="s">
        <v>198</v>
      </c>
      <c r="I155">
        <v>2.0185155971907953E-5</v>
      </c>
      <c r="J155">
        <v>10.810563076569682</v>
      </c>
      <c r="K155">
        <v>2.0185155971907953E-5</v>
      </c>
      <c r="L155">
        <v>10.810563076569682</v>
      </c>
      <c r="M155">
        <v>3.7935698060799635E-13</v>
      </c>
      <c r="N155">
        <v>28.600298731798617</v>
      </c>
      <c r="O155">
        <v>14.368510207615468</v>
      </c>
      <c r="P155">
        <v>5.7522175615738375E-7</v>
      </c>
      <c r="Q155">
        <v>14.368510207615468</v>
      </c>
      <c r="R155">
        <v>5.7522175615738375E-7</v>
      </c>
    </row>
    <row r="156" spans="1:18">
      <c r="A156" t="s">
        <v>202</v>
      </c>
      <c r="B156">
        <v>1</v>
      </c>
      <c r="C156">
        <v>4</v>
      </c>
      <c r="D156">
        <v>4</v>
      </c>
      <c r="E156">
        <v>60</v>
      </c>
      <c r="F156">
        <v>15</v>
      </c>
      <c r="G156">
        <v>15</v>
      </c>
      <c r="H156" t="s">
        <v>199</v>
      </c>
      <c r="I156">
        <v>7.5162098767123098E-14</v>
      </c>
      <c r="J156">
        <v>30.219129296764827</v>
      </c>
      <c r="K156">
        <v>7.5162098767123098E-14</v>
      </c>
      <c r="L156">
        <v>30.219129296764827</v>
      </c>
      <c r="M156">
        <v>1.4132148795127733E-21</v>
      </c>
      <c r="N156">
        <v>48.008419787477088</v>
      </c>
      <c r="O156">
        <v>33.77698739490728</v>
      </c>
      <c r="P156">
        <v>2.1421050205030007E-15</v>
      </c>
      <c r="Q156">
        <v>33.77698739490728</v>
      </c>
      <c r="R156">
        <v>2.1421050205030007E-15</v>
      </c>
    </row>
    <row r="157" spans="1:18">
      <c r="A157" t="s">
        <v>202</v>
      </c>
      <c r="B157">
        <v>1</v>
      </c>
      <c r="C157">
        <v>4</v>
      </c>
      <c r="D157">
        <v>4</v>
      </c>
      <c r="E157">
        <v>60</v>
      </c>
      <c r="F157">
        <v>15</v>
      </c>
      <c r="G157">
        <v>15</v>
      </c>
      <c r="H157" t="s">
        <v>200</v>
      </c>
    </row>
    <row r="158" spans="1:18">
      <c r="A158" t="s">
        <v>203</v>
      </c>
      <c r="B158">
        <v>2</v>
      </c>
      <c r="C158">
        <v>5</v>
      </c>
      <c r="D158">
        <v>5</v>
      </c>
      <c r="E158">
        <v>75</v>
      </c>
      <c r="F158">
        <v>15</v>
      </c>
      <c r="G158">
        <v>3</v>
      </c>
      <c r="H158" t="s">
        <v>197</v>
      </c>
      <c r="I158">
        <v>0.9999997799712439</v>
      </c>
      <c r="J158">
        <v>2.2002878031015974E-7</v>
      </c>
      <c r="K158">
        <v>0.9999997799712439</v>
      </c>
      <c r="L158">
        <v>2.2002878031015974E-7</v>
      </c>
      <c r="M158">
        <v>3.3691225472047392E-2</v>
      </c>
      <c r="N158">
        <v>3.3905178472757656</v>
      </c>
      <c r="O158">
        <v>0.6781037454781772</v>
      </c>
      <c r="P158">
        <v>0.50757857854612887</v>
      </c>
      <c r="Q158">
        <v>0.6781037454781772</v>
      </c>
      <c r="R158">
        <v>0.50757857854612887</v>
      </c>
    </row>
    <row r="159" spans="1:18">
      <c r="A159" t="s">
        <v>203</v>
      </c>
      <c r="B159">
        <v>2</v>
      </c>
      <c r="C159">
        <v>5</v>
      </c>
      <c r="D159">
        <v>5</v>
      </c>
      <c r="E159">
        <v>75</v>
      </c>
      <c r="F159">
        <v>15</v>
      </c>
      <c r="G159">
        <v>3</v>
      </c>
      <c r="H159" t="s">
        <v>198</v>
      </c>
      <c r="I159">
        <v>0.99998243580807977</v>
      </c>
      <c r="J159">
        <v>1.756434617245252E-5</v>
      </c>
      <c r="K159">
        <v>0.99998243580807977</v>
      </c>
      <c r="L159">
        <v>1.756434617245252E-5</v>
      </c>
      <c r="M159">
        <v>2.4065161051462423E-2</v>
      </c>
      <c r="N159">
        <v>3.7269900838969785</v>
      </c>
      <c r="O159">
        <v>0.74541206825633355</v>
      </c>
      <c r="P159">
        <v>0.47453871730417979</v>
      </c>
      <c r="Q159">
        <v>0.74541206825633355</v>
      </c>
      <c r="R159">
        <v>0.47453871730417979</v>
      </c>
    </row>
    <row r="160" spans="1:18">
      <c r="A160" t="s">
        <v>203</v>
      </c>
      <c r="B160">
        <v>2</v>
      </c>
      <c r="C160">
        <v>5</v>
      </c>
      <c r="D160">
        <v>5</v>
      </c>
      <c r="E160">
        <v>75</v>
      </c>
      <c r="F160">
        <v>15</v>
      </c>
      <c r="G160">
        <v>3</v>
      </c>
      <c r="H160" t="s">
        <v>199</v>
      </c>
      <c r="I160">
        <v>0.35466513807856237</v>
      </c>
      <c r="J160">
        <v>1.0365812076868104</v>
      </c>
      <c r="K160">
        <v>0.35466513807856237</v>
      </c>
      <c r="L160">
        <v>1.0365812076868104</v>
      </c>
      <c r="M160">
        <v>9.6260644205849687E-4</v>
      </c>
      <c r="N160">
        <v>6.9458659087651791</v>
      </c>
      <c r="O160">
        <v>2.2184381479024839</v>
      </c>
      <c r="P160">
        <v>0.10877887272792965</v>
      </c>
      <c r="Q160">
        <v>2.2184381479024839</v>
      </c>
      <c r="R160">
        <v>0.10877887272792965</v>
      </c>
    </row>
    <row r="161" spans="1:18">
      <c r="A161" t="s">
        <v>203</v>
      </c>
      <c r="B161">
        <v>2</v>
      </c>
      <c r="C161">
        <v>5</v>
      </c>
      <c r="D161">
        <v>5</v>
      </c>
      <c r="E161">
        <v>75</v>
      </c>
      <c r="F161">
        <v>15</v>
      </c>
      <c r="G161">
        <v>3</v>
      </c>
      <c r="H161" t="s">
        <v>200</v>
      </c>
      <c r="I161">
        <v>0.63604926509087356</v>
      </c>
      <c r="J161">
        <v>0.45247925780724357</v>
      </c>
      <c r="K161">
        <v>0.63604926509087356</v>
      </c>
      <c r="L161">
        <v>0.45247925780724357</v>
      </c>
      <c r="M161">
        <v>2.2213994816734544E-3</v>
      </c>
      <c r="N161">
        <v>6.1096178845645603</v>
      </c>
      <c r="O161">
        <v>1.5839069831587067</v>
      </c>
      <c r="P161">
        <v>0.2051719269749866</v>
      </c>
      <c r="Q161">
        <v>1.5839069831587067</v>
      </c>
      <c r="R161">
        <v>0.2051719269749866</v>
      </c>
    </row>
    <row r="162" spans="1:18">
      <c r="A162" t="s">
        <v>203</v>
      </c>
      <c r="B162">
        <v>2</v>
      </c>
      <c r="C162">
        <v>5</v>
      </c>
      <c r="D162">
        <v>5</v>
      </c>
      <c r="E162">
        <v>75</v>
      </c>
      <c r="F162">
        <v>15</v>
      </c>
      <c r="G162">
        <v>4</v>
      </c>
      <c r="H162" t="s">
        <v>197</v>
      </c>
      <c r="I162">
        <v>0.99953092777095853</v>
      </c>
      <c r="J162">
        <v>4.6918227783473033E-4</v>
      </c>
      <c r="K162">
        <v>0.99953092777095853</v>
      </c>
      <c r="L162">
        <v>4.6918227783473033E-4</v>
      </c>
      <c r="M162">
        <v>5.6152042453412321E-3</v>
      </c>
      <c r="N162">
        <v>5.1822773165038205</v>
      </c>
      <c r="O162">
        <v>1.0368308091230316</v>
      </c>
      <c r="P162">
        <v>0.35457662419777575</v>
      </c>
      <c r="Q162">
        <v>1.0368308091230316</v>
      </c>
      <c r="R162">
        <v>0.35457662419777575</v>
      </c>
    </row>
    <row r="163" spans="1:18">
      <c r="A163" t="s">
        <v>203</v>
      </c>
      <c r="B163">
        <v>2</v>
      </c>
      <c r="C163">
        <v>5</v>
      </c>
      <c r="D163">
        <v>5</v>
      </c>
      <c r="E163">
        <v>75</v>
      </c>
      <c r="F163">
        <v>15</v>
      </c>
      <c r="G163">
        <v>4</v>
      </c>
      <c r="H163" t="s">
        <v>198</v>
      </c>
      <c r="I163">
        <v>0.99978020304465232</v>
      </c>
      <c r="J163">
        <v>2.1982111423857285E-4</v>
      </c>
      <c r="K163">
        <v>0.99978020304465232</v>
      </c>
      <c r="L163">
        <v>2.1982111423857285E-4</v>
      </c>
      <c r="M163">
        <v>3.0852770578797973E-3</v>
      </c>
      <c r="N163">
        <v>5.7811138175925247</v>
      </c>
      <c r="O163">
        <v>1.1563986204098955</v>
      </c>
      <c r="P163">
        <v>0.31461719900657387</v>
      </c>
      <c r="Q163">
        <v>1.1563986204098955</v>
      </c>
      <c r="R163">
        <v>0.31461719900657387</v>
      </c>
    </row>
    <row r="164" spans="1:18">
      <c r="A164" t="s">
        <v>203</v>
      </c>
      <c r="B164">
        <v>2</v>
      </c>
      <c r="C164">
        <v>5</v>
      </c>
      <c r="D164">
        <v>5</v>
      </c>
      <c r="E164">
        <v>75</v>
      </c>
      <c r="F164">
        <v>15</v>
      </c>
      <c r="G164">
        <v>4</v>
      </c>
      <c r="H164" t="s">
        <v>199</v>
      </c>
      <c r="I164">
        <v>6.5162396564701353E-2</v>
      </c>
      <c r="J164">
        <v>2.7308727162330997</v>
      </c>
      <c r="K164">
        <v>6.5162396564701353E-2</v>
      </c>
      <c r="L164">
        <v>2.7308727162330997</v>
      </c>
      <c r="M164">
        <v>2.4682216463038383E-5</v>
      </c>
      <c r="N164">
        <v>10.609427554894825</v>
      </c>
      <c r="O164">
        <v>4.3065836839654441</v>
      </c>
      <c r="P164">
        <v>1.3479521327397525E-2</v>
      </c>
      <c r="Q164">
        <v>4.3065836839654441</v>
      </c>
      <c r="R164">
        <v>1.3479521327397525E-2</v>
      </c>
    </row>
    <row r="165" spans="1:18">
      <c r="A165" t="s">
        <v>203</v>
      </c>
      <c r="B165">
        <v>2</v>
      </c>
      <c r="C165">
        <v>5</v>
      </c>
      <c r="D165">
        <v>5</v>
      </c>
      <c r="E165">
        <v>75</v>
      </c>
      <c r="F165">
        <v>15</v>
      </c>
      <c r="G165">
        <v>4</v>
      </c>
      <c r="H165" t="s">
        <v>200</v>
      </c>
      <c r="I165">
        <v>8.077840887136567E-2</v>
      </c>
      <c r="J165">
        <v>2.5160455661024388</v>
      </c>
      <c r="K165">
        <v>8.077840887136567E-2</v>
      </c>
      <c r="L165">
        <v>2.5160455661024388</v>
      </c>
      <c r="M165">
        <v>6.1705541157595955E-5</v>
      </c>
      <c r="N165">
        <v>9.6931368230206711</v>
      </c>
      <c r="O165">
        <v>3.951463817486085</v>
      </c>
      <c r="P165">
        <v>1.9226537025294796E-2</v>
      </c>
      <c r="Q165">
        <v>3.951463817486085</v>
      </c>
      <c r="R165">
        <v>1.9226537025294796E-2</v>
      </c>
    </row>
    <row r="166" spans="1:18">
      <c r="A166" t="s">
        <v>203</v>
      </c>
      <c r="B166">
        <v>2</v>
      </c>
      <c r="C166">
        <v>5</v>
      </c>
      <c r="D166">
        <v>5</v>
      </c>
      <c r="E166">
        <v>75</v>
      </c>
      <c r="F166">
        <v>15</v>
      </c>
      <c r="G166">
        <v>5</v>
      </c>
      <c r="H166" t="s">
        <v>197</v>
      </c>
      <c r="I166">
        <v>0.92664858965648977</v>
      </c>
      <c r="J166">
        <v>7.6180868720778103E-2</v>
      </c>
      <c r="K166">
        <v>0.92664858965648977</v>
      </c>
      <c r="L166">
        <v>7.6180868720778103E-2</v>
      </c>
      <c r="M166">
        <v>8.6996122110920488E-4</v>
      </c>
      <c r="N166">
        <v>7.0470619207467653</v>
      </c>
      <c r="O166">
        <v>1.4703570791259752</v>
      </c>
      <c r="P166">
        <v>0.22984339825207159</v>
      </c>
      <c r="Q166">
        <v>1.4703570791259752</v>
      </c>
      <c r="R166">
        <v>0.22984339825207159</v>
      </c>
    </row>
    <row r="167" spans="1:18">
      <c r="A167" t="s">
        <v>203</v>
      </c>
      <c r="B167">
        <v>2</v>
      </c>
      <c r="C167">
        <v>5</v>
      </c>
      <c r="D167">
        <v>5</v>
      </c>
      <c r="E167">
        <v>75</v>
      </c>
      <c r="F167">
        <v>15</v>
      </c>
      <c r="G167">
        <v>5</v>
      </c>
      <c r="H167" t="s">
        <v>198</v>
      </c>
      <c r="I167">
        <v>0.9974736593208503</v>
      </c>
      <c r="J167">
        <v>2.5295372626708825E-3</v>
      </c>
      <c r="K167">
        <v>0.9974736593208503</v>
      </c>
      <c r="L167">
        <v>2.5295372626708825E-3</v>
      </c>
      <c r="M167">
        <v>3.9833389244926961E-4</v>
      </c>
      <c r="N167">
        <v>7.8282199786294244</v>
      </c>
      <c r="O167">
        <v>1.5676676255360211</v>
      </c>
      <c r="P167">
        <v>0.2085309879477503</v>
      </c>
      <c r="Q167">
        <v>1.5676676255360211</v>
      </c>
      <c r="R167">
        <v>0.2085309879477503</v>
      </c>
    </row>
    <row r="168" spans="1:18">
      <c r="A168" t="s">
        <v>203</v>
      </c>
      <c r="B168">
        <v>2</v>
      </c>
      <c r="C168">
        <v>5</v>
      </c>
      <c r="D168">
        <v>5</v>
      </c>
      <c r="E168">
        <v>75</v>
      </c>
      <c r="F168">
        <v>15</v>
      </c>
      <c r="G168">
        <v>5</v>
      </c>
      <c r="H168" t="s">
        <v>199</v>
      </c>
      <c r="I168">
        <v>9.5239307739855006E-3</v>
      </c>
      <c r="J168">
        <v>4.6539476189700881</v>
      </c>
      <c r="K168">
        <v>9.5239307739855006E-3</v>
      </c>
      <c r="L168">
        <v>4.6539476189700881</v>
      </c>
      <c r="M168">
        <v>6.3733422791883147E-7</v>
      </c>
      <c r="N168">
        <v>14.265971628365826</v>
      </c>
      <c r="O168">
        <v>6.5763524208492354</v>
      </c>
      <c r="P168">
        <v>1.392920828775915E-3</v>
      </c>
      <c r="Q168">
        <v>6.5763524208492354</v>
      </c>
      <c r="R168">
        <v>1.392920828775915E-3</v>
      </c>
    </row>
    <row r="169" spans="1:18">
      <c r="A169" t="s">
        <v>203</v>
      </c>
      <c r="B169">
        <v>2</v>
      </c>
      <c r="C169">
        <v>5</v>
      </c>
      <c r="D169">
        <v>5</v>
      </c>
      <c r="E169">
        <v>75</v>
      </c>
      <c r="F169">
        <v>15</v>
      </c>
      <c r="G169">
        <v>5</v>
      </c>
      <c r="H169" t="s">
        <v>200</v>
      </c>
      <c r="I169">
        <v>2.6064808778946125E-3</v>
      </c>
      <c r="J169">
        <v>5.9497542900981548</v>
      </c>
      <c r="K169">
        <v>2.6064808778946125E-3</v>
      </c>
      <c r="L169">
        <v>5.9497542900981548</v>
      </c>
      <c r="M169">
        <v>8.6909212898022475E-7</v>
      </c>
      <c r="N169">
        <v>13.955816700061986</v>
      </c>
      <c r="O169">
        <v>7.5509667720909199</v>
      </c>
      <c r="P169">
        <v>5.2560174431316676E-4</v>
      </c>
      <c r="Q169">
        <v>7.5509667720909199</v>
      </c>
      <c r="R169">
        <v>5.2560174431316676E-4</v>
      </c>
    </row>
    <row r="170" spans="1:18">
      <c r="A170" t="s">
        <v>203</v>
      </c>
      <c r="B170">
        <v>2</v>
      </c>
      <c r="C170">
        <v>5</v>
      </c>
      <c r="D170">
        <v>5</v>
      </c>
      <c r="E170">
        <v>75</v>
      </c>
      <c r="F170">
        <v>15</v>
      </c>
      <c r="G170">
        <v>6</v>
      </c>
      <c r="H170" t="s">
        <v>197</v>
      </c>
      <c r="I170">
        <v>0.46314233372247904</v>
      </c>
      <c r="J170">
        <v>0.76972085589134076</v>
      </c>
      <c r="K170">
        <v>0.46314233372247904</v>
      </c>
      <c r="L170">
        <v>0.76972085589134076</v>
      </c>
      <c r="M170">
        <v>1.2428017444417213E-4</v>
      </c>
      <c r="N170">
        <v>8.9929720698020787</v>
      </c>
      <c r="O170">
        <v>2.4143710986734881</v>
      </c>
      <c r="P170">
        <v>8.9423559836598859E-2</v>
      </c>
      <c r="Q170">
        <v>2.4143710986734881</v>
      </c>
      <c r="R170">
        <v>8.9423559836598859E-2</v>
      </c>
    </row>
    <row r="171" spans="1:18">
      <c r="A171" t="s">
        <v>203</v>
      </c>
      <c r="B171">
        <v>2</v>
      </c>
      <c r="C171">
        <v>5</v>
      </c>
      <c r="D171">
        <v>5</v>
      </c>
      <c r="E171">
        <v>75</v>
      </c>
      <c r="F171">
        <v>15</v>
      </c>
      <c r="G171">
        <v>6</v>
      </c>
      <c r="H171" t="s">
        <v>198</v>
      </c>
      <c r="I171">
        <v>0.97942658254676562</v>
      </c>
      <c r="J171">
        <v>2.0787998417182398E-2</v>
      </c>
      <c r="K171">
        <v>0.97942658254676562</v>
      </c>
      <c r="L171">
        <v>2.0787998417182398E-2</v>
      </c>
      <c r="M171">
        <v>5.1731674344060996E-5</v>
      </c>
      <c r="N171">
        <v>9.8694403074890626</v>
      </c>
      <c r="O171">
        <v>1.990518460231558</v>
      </c>
      <c r="P171">
        <v>0.13662457267235414</v>
      </c>
      <c r="Q171">
        <v>1.990518460231558</v>
      </c>
      <c r="R171">
        <v>0.13662457267235414</v>
      </c>
    </row>
    <row r="172" spans="1:18">
      <c r="A172" t="s">
        <v>203</v>
      </c>
      <c r="B172">
        <v>2</v>
      </c>
      <c r="C172">
        <v>5</v>
      </c>
      <c r="D172">
        <v>5</v>
      </c>
      <c r="E172">
        <v>75</v>
      </c>
      <c r="F172">
        <v>15</v>
      </c>
      <c r="G172">
        <v>6</v>
      </c>
      <c r="H172" t="s">
        <v>199</v>
      </c>
      <c r="I172">
        <v>1.2420297861838181E-3</v>
      </c>
      <c r="J172">
        <v>6.6910083133237874</v>
      </c>
      <c r="K172">
        <v>1.2420297861838181E-3</v>
      </c>
      <c r="L172">
        <v>6.6910083133237874</v>
      </c>
      <c r="M172">
        <v>1.6554135790099519E-8</v>
      </c>
      <c r="N172">
        <v>17.916629869659563</v>
      </c>
      <c r="O172">
        <v>8.9361326245909414</v>
      </c>
      <c r="P172">
        <v>1.3154880630585479E-4</v>
      </c>
      <c r="Q172">
        <v>8.9361326245909414</v>
      </c>
      <c r="R172">
        <v>1.3154880630585479E-4</v>
      </c>
    </row>
    <row r="173" spans="1:18">
      <c r="A173" t="s">
        <v>203</v>
      </c>
      <c r="B173">
        <v>2</v>
      </c>
      <c r="C173">
        <v>5</v>
      </c>
      <c r="D173">
        <v>5</v>
      </c>
      <c r="E173">
        <v>75</v>
      </c>
      <c r="F173">
        <v>15</v>
      </c>
      <c r="G173">
        <v>6</v>
      </c>
      <c r="H173" t="s">
        <v>200</v>
      </c>
    </row>
    <row r="174" spans="1:18">
      <c r="A174" t="s">
        <v>203</v>
      </c>
      <c r="B174">
        <v>2</v>
      </c>
      <c r="C174">
        <v>5</v>
      </c>
      <c r="D174">
        <v>5</v>
      </c>
      <c r="E174">
        <v>75</v>
      </c>
      <c r="F174">
        <v>15</v>
      </c>
      <c r="G174">
        <v>7</v>
      </c>
      <c r="H174" t="s">
        <v>197</v>
      </c>
      <c r="I174">
        <v>9.9057907996357053E-2</v>
      </c>
      <c r="J174">
        <v>2.3120506705958523</v>
      </c>
      <c r="K174">
        <v>9.9057907996357053E-2</v>
      </c>
      <c r="L174">
        <v>2.3120506705958523</v>
      </c>
      <c r="M174">
        <v>1.6210457536196364E-5</v>
      </c>
      <c r="N174">
        <v>11.029853997063119</v>
      </c>
      <c r="O174">
        <v>4.0556113358893056</v>
      </c>
      <c r="P174">
        <v>1.7324885621019744E-2</v>
      </c>
      <c r="Q174">
        <v>4.0556113358893056</v>
      </c>
      <c r="R174">
        <v>1.7324885621019744E-2</v>
      </c>
    </row>
    <row r="175" spans="1:18">
      <c r="A175" t="s">
        <v>203</v>
      </c>
      <c r="B175">
        <v>2</v>
      </c>
      <c r="C175">
        <v>5</v>
      </c>
      <c r="D175">
        <v>5</v>
      </c>
      <c r="E175">
        <v>75</v>
      </c>
      <c r="F175">
        <v>15</v>
      </c>
      <c r="G175">
        <v>7</v>
      </c>
      <c r="H175" t="s">
        <v>198</v>
      </c>
      <c r="I175">
        <v>0.89767442026828781</v>
      </c>
      <c r="J175">
        <v>0.10794783736950327</v>
      </c>
      <c r="K175">
        <v>0.89767442026828781</v>
      </c>
      <c r="L175">
        <v>0.10794783736950327</v>
      </c>
      <c r="M175">
        <v>6.7476096970514339E-6</v>
      </c>
      <c r="N175">
        <v>11.906322234750101</v>
      </c>
      <c r="O175">
        <v>2.4676227168456224</v>
      </c>
      <c r="P175">
        <v>8.4786180366115266E-2</v>
      </c>
      <c r="Q175">
        <v>2.4676227168456224</v>
      </c>
      <c r="R175">
        <v>8.4786180366115266E-2</v>
      </c>
    </row>
    <row r="176" spans="1:18">
      <c r="A176" t="s">
        <v>203</v>
      </c>
      <c r="B176">
        <v>2</v>
      </c>
      <c r="C176">
        <v>5</v>
      </c>
      <c r="D176">
        <v>5</v>
      </c>
      <c r="E176">
        <v>75</v>
      </c>
      <c r="F176">
        <v>15</v>
      </c>
      <c r="G176">
        <v>7</v>
      </c>
      <c r="H176" t="s">
        <v>199</v>
      </c>
      <c r="I176">
        <v>1.458834757964711E-4</v>
      </c>
      <c r="J176">
        <v>8.832702365899145</v>
      </c>
      <c r="K176">
        <v>1.458834757964711E-4</v>
      </c>
      <c r="L176">
        <v>8.832702365899145</v>
      </c>
      <c r="M176">
        <v>4.3184702061129182E-10</v>
      </c>
      <c r="N176">
        <v>21.562949709354704</v>
      </c>
      <c r="O176">
        <v>11.378751834590258</v>
      </c>
      <c r="P176">
        <v>1.1435913646105979E-5</v>
      </c>
      <c r="Q176">
        <v>11.378751834590258</v>
      </c>
      <c r="R176">
        <v>1.1435913646105979E-5</v>
      </c>
    </row>
    <row r="177" spans="1:18">
      <c r="A177" t="s">
        <v>203</v>
      </c>
      <c r="B177">
        <v>2</v>
      </c>
      <c r="C177">
        <v>5</v>
      </c>
      <c r="D177">
        <v>5</v>
      </c>
      <c r="E177">
        <v>75</v>
      </c>
      <c r="F177">
        <v>15</v>
      </c>
      <c r="G177">
        <v>7</v>
      </c>
      <c r="H177" t="s">
        <v>200</v>
      </c>
    </row>
    <row r="178" spans="1:18">
      <c r="A178" t="s">
        <v>203</v>
      </c>
      <c r="B178">
        <v>2</v>
      </c>
      <c r="C178">
        <v>5</v>
      </c>
      <c r="D178">
        <v>5</v>
      </c>
      <c r="E178">
        <v>75</v>
      </c>
      <c r="F178">
        <v>15</v>
      </c>
      <c r="G178">
        <v>8</v>
      </c>
      <c r="H178" t="s">
        <v>197</v>
      </c>
      <c r="I178">
        <v>1.2197272715614216E-2</v>
      </c>
      <c r="J178">
        <v>4.4065429001339567</v>
      </c>
      <c r="K178">
        <v>1.2197272715614216E-2</v>
      </c>
      <c r="L178">
        <v>4.4065429001339567</v>
      </c>
      <c r="M178">
        <v>1.9071126513172193E-6</v>
      </c>
      <c r="N178">
        <v>13.169920160559389</v>
      </c>
      <c r="O178">
        <v>6.1592183522190425</v>
      </c>
      <c r="P178">
        <v>2.1139049552486677E-3</v>
      </c>
      <c r="Q178">
        <v>6.1592183522190425</v>
      </c>
      <c r="R178">
        <v>2.1139049552486677E-3</v>
      </c>
    </row>
    <row r="179" spans="1:18">
      <c r="A179" t="s">
        <v>203</v>
      </c>
      <c r="B179">
        <v>2</v>
      </c>
      <c r="C179">
        <v>5</v>
      </c>
      <c r="D179">
        <v>5</v>
      </c>
      <c r="E179">
        <v>75</v>
      </c>
      <c r="F179">
        <v>15</v>
      </c>
      <c r="G179">
        <v>8</v>
      </c>
      <c r="H179" t="s">
        <v>198</v>
      </c>
      <c r="I179">
        <v>0.69636999482615825</v>
      </c>
      <c r="J179">
        <v>0.36187415813615531</v>
      </c>
      <c r="K179">
        <v>0.69636999482615825</v>
      </c>
      <c r="L179">
        <v>0.36187415813615531</v>
      </c>
      <c r="M179">
        <v>8.8204048327469732E-7</v>
      </c>
      <c r="N179">
        <v>13.941027882588546</v>
      </c>
      <c r="O179">
        <v>3.0777049030266328</v>
      </c>
      <c r="P179">
        <v>4.6064858737039256E-2</v>
      </c>
      <c r="Q179">
        <v>3.0777049030266328</v>
      </c>
      <c r="R179">
        <v>4.6064858737039256E-2</v>
      </c>
    </row>
    <row r="180" spans="1:18">
      <c r="A180" t="s">
        <v>203</v>
      </c>
      <c r="B180">
        <v>2</v>
      </c>
      <c r="C180">
        <v>5</v>
      </c>
      <c r="D180">
        <v>5</v>
      </c>
      <c r="E180">
        <v>75</v>
      </c>
      <c r="F180">
        <v>15</v>
      </c>
      <c r="G180">
        <v>8</v>
      </c>
      <c r="H180" t="s">
        <v>199</v>
      </c>
      <c r="I180">
        <v>1.5256784824613234E-5</v>
      </c>
      <c r="J180">
        <v>11.090486247320404</v>
      </c>
      <c r="K180">
        <v>1.5256784824613234E-5</v>
      </c>
      <c r="L180">
        <v>11.090486247320404</v>
      </c>
      <c r="M180">
        <v>1.1290118185916125E-11</v>
      </c>
      <c r="N180">
        <v>25.207093269627251</v>
      </c>
      <c r="O180">
        <v>13.913807651781774</v>
      </c>
      <c r="P180">
        <v>9.0637958397857385E-7</v>
      </c>
      <c r="Q180">
        <v>13.913807651781774</v>
      </c>
      <c r="R180">
        <v>9.0637958397857385E-7</v>
      </c>
    </row>
    <row r="181" spans="1:18">
      <c r="A181" t="s">
        <v>203</v>
      </c>
      <c r="B181">
        <v>2</v>
      </c>
      <c r="C181">
        <v>5</v>
      </c>
      <c r="D181">
        <v>5</v>
      </c>
      <c r="E181">
        <v>75</v>
      </c>
      <c r="F181">
        <v>15</v>
      </c>
      <c r="G181">
        <v>8</v>
      </c>
      <c r="H181" t="s">
        <v>200</v>
      </c>
    </row>
    <row r="182" spans="1:18">
      <c r="A182" t="s">
        <v>203</v>
      </c>
      <c r="B182">
        <v>2</v>
      </c>
      <c r="C182">
        <v>5</v>
      </c>
      <c r="D182">
        <v>5</v>
      </c>
      <c r="E182">
        <v>75</v>
      </c>
      <c r="F182">
        <v>15</v>
      </c>
      <c r="G182">
        <v>9</v>
      </c>
      <c r="H182" t="s">
        <v>197</v>
      </c>
      <c r="I182">
        <v>9.9675204277105411E-4</v>
      </c>
      <c r="J182">
        <v>6.9110085222732023</v>
      </c>
      <c r="K182">
        <v>9.9675204277105411E-4</v>
      </c>
      <c r="L182">
        <v>6.9110085222732023</v>
      </c>
      <c r="M182">
        <v>1.9925057551075426E-7</v>
      </c>
      <c r="N182">
        <v>15.428702630895042</v>
      </c>
      <c r="O182">
        <v>8.6145473439975699</v>
      </c>
      <c r="P182">
        <v>1.8144692994779077E-4</v>
      </c>
      <c r="Q182">
        <v>8.6145473439975699</v>
      </c>
      <c r="R182">
        <v>1.8144692994779077E-4</v>
      </c>
    </row>
    <row r="183" spans="1:18">
      <c r="A183" t="s">
        <v>203</v>
      </c>
      <c r="B183">
        <v>2</v>
      </c>
      <c r="C183">
        <v>5</v>
      </c>
      <c r="D183">
        <v>5</v>
      </c>
      <c r="E183">
        <v>75</v>
      </c>
      <c r="F183">
        <v>15</v>
      </c>
      <c r="G183">
        <v>9</v>
      </c>
      <c r="H183" t="s">
        <v>198</v>
      </c>
      <c r="I183">
        <v>0.4200571950226708</v>
      </c>
      <c r="J183">
        <v>0.86736439835078372</v>
      </c>
      <c r="K183">
        <v>0.4200571950226708</v>
      </c>
      <c r="L183">
        <v>0.86736439835078372</v>
      </c>
      <c r="M183">
        <v>1.1519185415900897E-7</v>
      </c>
      <c r="N183">
        <v>15.976666801609989</v>
      </c>
      <c r="O183">
        <v>3.889224879002624</v>
      </c>
      <c r="P183">
        <v>2.0461199798447849E-2</v>
      </c>
      <c r="Q183">
        <v>3.889224879002624</v>
      </c>
      <c r="R183">
        <v>2.0461199798447849E-2</v>
      </c>
    </row>
    <row r="184" spans="1:18">
      <c r="A184" t="s">
        <v>203</v>
      </c>
      <c r="B184">
        <v>2</v>
      </c>
      <c r="C184">
        <v>5</v>
      </c>
      <c r="D184">
        <v>5</v>
      </c>
      <c r="E184">
        <v>75</v>
      </c>
      <c r="F184">
        <v>15</v>
      </c>
      <c r="G184">
        <v>9</v>
      </c>
      <c r="H184" t="s">
        <v>199</v>
      </c>
      <c r="I184">
        <v>1.3947530559388355E-6</v>
      </c>
      <c r="J184">
        <v>13.482793179193358</v>
      </c>
      <c r="K184">
        <v>1.3947530559388355E-6</v>
      </c>
      <c r="L184">
        <v>13.482793179193358</v>
      </c>
      <c r="M184">
        <v>2.9489114664706294E-13</v>
      </c>
      <c r="N184">
        <v>28.852170101082791</v>
      </c>
      <c r="O184">
        <v>16.556668563571243</v>
      </c>
      <c r="P184">
        <v>6.449561734639023E-8</v>
      </c>
      <c r="Q184">
        <v>16.556668563571243</v>
      </c>
      <c r="R184">
        <v>6.449561734639023E-8</v>
      </c>
    </row>
    <row r="185" spans="1:18">
      <c r="A185" t="s">
        <v>203</v>
      </c>
      <c r="B185">
        <v>2</v>
      </c>
      <c r="C185">
        <v>5</v>
      </c>
      <c r="D185">
        <v>5</v>
      </c>
      <c r="E185">
        <v>75</v>
      </c>
      <c r="F185">
        <v>15</v>
      </c>
      <c r="G185">
        <v>9</v>
      </c>
      <c r="H185" t="s">
        <v>200</v>
      </c>
    </row>
    <row r="186" spans="1:18">
      <c r="A186" t="s">
        <v>203</v>
      </c>
      <c r="B186">
        <v>2</v>
      </c>
      <c r="C186">
        <v>5</v>
      </c>
      <c r="D186">
        <v>5</v>
      </c>
      <c r="E186">
        <v>75</v>
      </c>
      <c r="F186">
        <v>15</v>
      </c>
      <c r="G186">
        <v>10</v>
      </c>
      <c r="H186" t="s">
        <v>197</v>
      </c>
      <c r="I186">
        <v>5.4393927711116064E-5</v>
      </c>
      <c r="J186">
        <v>9.819258033290108</v>
      </c>
      <c r="K186">
        <v>5.4393927711116064E-5</v>
      </c>
      <c r="L186">
        <v>9.819258033290108</v>
      </c>
      <c r="M186">
        <v>1.8113688682795842E-8</v>
      </c>
      <c r="N186">
        <v>17.826597903693411</v>
      </c>
      <c r="O186">
        <v>11.420726007370767</v>
      </c>
      <c r="P186">
        <v>1.0965835221863369E-5</v>
      </c>
      <c r="Q186">
        <v>11.420726007370767</v>
      </c>
      <c r="R186">
        <v>1.0965835221863369E-5</v>
      </c>
    </row>
    <row r="187" spans="1:18">
      <c r="A187" t="s">
        <v>203</v>
      </c>
      <c r="B187">
        <v>2</v>
      </c>
      <c r="C187">
        <v>5</v>
      </c>
      <c r="D187">
        <v>5</v>
      </c>
      <c r="E187">
        <v>75</v>
      </c>
      <c r="F187">
        <v>15</v>
      </c>
      <c r="G187">
        <v>10</v>
      </c>
      <c r="H187" t="s">
        <v>198</v>
      </c>
      <c r="I187">
        <v>0.19125352297565568</v>
      </c>
      <c r="J187">
        <v>1.6541553856574103</v>
      </c>
      <c r="K187">
        <v>0.19125352297565568</v>
      </c>
      <c r="L187">
        <v>1.6541553856574103</v>
      </c>
      <c r="M187">
        <v>1.4959981059611552E-8</v>
      </c>
      <c r="N187">
        <v>18.017887130469628</v>
      </c>
      <c r="O187">
        <v>4.9269017346198529</v>
      </c>
      <c r="P187">
        <v>7.2489276266609328E-3</v>
      </c>
      <c r="Q187">
        <v>4.9269017346198529</v>
      </c>
      <c r="R187">
        <v>7.2489276266609328E-3</v>
      </c>
    </row>
    <row r="188" spans="1:18">
      <c r="A188" t="s">
        <v>203</v>
      </c>
      <c r="B188">
        <v>2</v>
      </c>
      <c r="C188">
        <v>5</v>
      </c>
      <c r="D188">
        <v>5</v>
      </c>
      <c r="E188">
        <v>75</v>
      </c>
      <c r="F188">
        <v>15</v>
      </c>
      <c r="G188">
        <v>10</v>
      </c>
      <c r="H188" t="s">
        <v>199</v>
      </c>
      <c r="I188">
        <v>1.0868212618753148E-7</v>
      </c>
      <c r="J188">
        <v>16.034838488837163</v>
      </c>
      <c r="K188">
        <v>1.0868212618753148E-7</v>
      </c>
      <c r="L188">
        <v>16.034838488837163</v>
      </c>
      <c r="M188">
        <v>7.6595103025211147E-15</v>
      </c>
      <c r="N188">
        <v>32.502828342376532</v>
      </c>
      <c r="O188">
        <v>19.328436459545038</v>
      </c>
      <c r="P188">
        <v>4.0342861735151187E-9</v>
      </c>
      <c r="Q188">
        <v>19.328436459545038</v>
      </c>
      <c r="R188">
        <v>4.0342861735151187E-9</v>
      </c>
    </row>
    <row r="189" spans="1:18">
      <c r="A189" t="s">
        <v>203</v>
      </c>
      <c r="B189">
        <v>2</v>
      </c>
      <c r="C189">
        <v>5</v>
      </c>
      <c r="D189">
        <v>5</v>
      </c>
      <c r="E189">
        <v>75</v>
      </c>
      <c r="F189">
        <v>15</v>
      </c>
      <c r="G189">
        <v>10</v>
      </c>
      <c r="H189" t="s">
        <v>200</v>
      </c>
    </row>
    <row r="190" spans="1:18">
      <c r="A190" t="s">
        <v>203</v>
      </c>
      <c r="B190">
        <v>2</v>
      </c>
      <c r="C190">
        <v>5</v>
      </c>
      <c r="D190">
        <v>5</v>
      </c>
      <c r="E190">
        <v>75</v>
      </c>
      <c r="F190">
        <v>15</v>
      </c>
      <c r="G190">
        <v>11</v>
      </c>
      <c r="H190" t="s">
        <v>197</v>
      </c>
      <c r="I190">
        <v>1.9019355029792351E-6</v>
      </c>
      <c r="J190">
        <v>13.172638504521592</v>
      </c>
      <c r="K190">
        <v>1.9019355029792351E-6</v>
      </c>
      <c r="L190">
        <v>13.172638504521592</v>
      </c>
      <c r="M190">
        <v>1.3933606679073726E-9</v>
      </c>
      <c r="N190">
        <v>20.391547261154951</v>
      </c>
      <c r="O190">
        <v>14.616420255848263</v>
      </c>
      <c r="P190">
        <v>4.4892039637413067E-7</v>
      </c>
      <c r="Q190">
        <v>14.616420255848263</v>
      </c>
      <c r="R190">
        <v>4.4892039637413067E-7</v>
      </c>
    </row>
    <row r="191" spans="1:18">
      <c r="A191" t="s">
        <v>203</v>
      </c>
      <c r="B191">
        <v>2</v>
      </c>
      <c r="C191">
        <v>5</v>
      </c>
      <c r="D191">
        <v>5</v>
      </c>
      <c r="E191">
        <v>75</v>
      </c>
      <c r="F191">
        <v>15</v>
      </c>
      <c r="G191">
        <v>11</v>
      </c>
      <c r="H191" t="s">
        <v>198</v>
      </c>
      <c r="I191">
        <v>6.5772401407864112E-2</v>
      </c>
      <c r="J191">
        <v>2.7215549601282838</v>
      </c>
      <c r="K191">
        <v>6.5772401407864112E-2</v>
      </c>
      <c r="L191">
        <v>2.7215549601282838</v>
      </c>
      <c r="M191">
        <v>1.9179462896937891E-9</v>
      </c>
      <c r="N191">
        <v>20.072010864165176</v>
      </c>
      <c r="O191">
        <v>6.1916461409356618</v>
      </c>
      <c r="P191">
        <v>2.0464552253130928E-3</v>
      </c>
      <c r="Q191">
        <v>6.1916461409356618</v>
      </c>
      <c r="R191">
        <v>2.0464552253130928E-3</v>
      </c>
    </row>
    <row r="192" spans="1:18">
      <c r="A192" t="s">
        <v>203</v>
      </c>
      <c r="B192">
        <v>2</v>
      </c>
      <c r="C192">
        <v>5</v>
      </c>
      <c r="D192">
        <v>5</v>
      </c>
      <c r="E192">
        <v>75</v>
      </c>
      <c r="F192">
        <v>15</v>
      </c>
      <c r="G192">
        <v>11</v>
      </c>
      <c r="H192" t="s">
        <v>199</v>
      </c>
      <c r="I192">
        <v>6.9668033564340703E-9</v>
      </c>
      <c r="J192">
        <v>18.78210934629546</v>
      </c>
      <c r="K192">
        <v>6.9668033564340703E-9</v>
      </c>
      <c r="L192">
        <v>18.78210934629546</v>
      </c>
      <c r="M192">
        <v>1.9639770006464399E-16</v>
      </c>
      <c r="N192">
        <v>36.166389988506175</v>
      </c>
      <c r="O192">
        <v>22.258965474737604</v>
      </c>
      <c r="P192">
        <v>2.1530500294560705E-10</v>
      </c>
      <c r="Q192">
        <v>22.258965474737604</v>
      </c>
      <c r="R192">
        <v>2.1530500294560705E-10</v>
      </c>
    </row>
    <row r="193" spans="1:18">
      <c r="A193" t="s">
        <v>203</v>
      </c>
      <c r="B193">
        <v>2</v>
      </c>
      <c r="C193">
        <v>5</v>
      </c>
      <c r="D193">
        <v>5</v>
      </c>
      <c r="E193">
        <v>75</v>
      </c>
      <c r="F193">
        <v>15</v>
      </c>
      <c r="G193">
        <v>11</v>
      </c>
      <c r="H193" t="s">
        <v>200</v>
      </c>
    </row>
    <row r="194" spans="1:18">
      <c r="A194" t="s">
        <v>203</v>
      </c>
      <c r="B194">
        <v>2</v>
      </c>
      <c r="C194">
        <v>5</v>
      </c>
      <c r="D194">
        <v>5</v>
      </c>
      <c r="E194">
        <v>75</v>
      </c>
      <c r="F194">
        <v>15</v>
      </c>
      <c r="G194">
        <v>12</v>
      </c>
      <c r="H194" t="s">
        <v>197</v>
      </c>
      <c r="I194">
        <v>3.9623693215418143E-8</v>
      </c>
      <c r="J194">
        <v>17.043838584083488</v>
      </c>
      <c r="K194">
        <v>3.9623693215418143E-8</v>
      </c>
      <c r="L194">
        <v>17.043838584083488</v>
      </c>
      <c r="M194">
        <v>8.7085041744210785E-11</v>
      </c>
      <c r="N194">
        <v>23.164135983394729</v>
      </c>
      <c r="O194">
        <v>18.267898063945736</v>
      </c>
      <c r="P194">
        <v>1.1650717580420179E-8</v>
      </c>
      <c r="Q194">
        <v>18.267898063945736</v>
      </c>
      <c r="R194">
        <v>1.1650717580420179E-8</v>
      </c>
    </row>
    <row r="195" spans="1:18">
      <c r="A195" t="s">
        <v>203</v>
      </c>
      <c r="B195">
        <v>2</v>
      </c>
      <c r="C195">
        <v>5</v>
      </c>
      <c r="D195">
        <v>5</v>
      </c>
      <c r="E195">
        <v>75</v>
      </c>
      <c r="F195">
        <v>15</v>
      </c>
      <c r="G195">
        <v>12</v>
      </c>
      <c r="H195" t="s">
        <v>198</v>
      </c>
      <c r="I195">
        <v>1.6864964254071801E-2</v>
      </c>
      <c r="J195">
        <v>4.0825169300040161</v>
      </c>
      <c r="K195">
        <v>1.6864964254071801E-2</v>
      </c>
      <c r="L195">
        <v>4.0825169300040161</v>
      </c>
      <c r="M195">
        <v>2.3974328621172364E-10</v>
      </c>
      <c r="N195">
        <v>22.15145240584501</v>
      </c>
      <c r="O195">
        <v>7.6963040251722141</v>
      </c>
      <c r="P195">
        <v>4.5450391743170475E-4</v>
      </c>
      <c r="Q195">
        <v>7.6963040251722141</v>
      </c>
      <c r="R195">
        <v>4.5450391743170475E-4</v>
      </c>
    </row>
    <row r="196" spans="1:18">
      <c r="A196" t="s">
        <v>203</v>
      </c>
      <c r="B196">
        <v>2</v>
      </c>
      <c r="C196">
        <v>5</v>
      </c>
      <c r="D196">
        <v>5</v>
      </c>
      <c r="E196">
        <v>75</v>
      </c>
      <c r="F196">
        <v>15</v>
      </c>
      <c r="G196">
        <v>12</v>
      </c>
      <c r="H196" t="s">
        <v>199</v>
      </c>
      <c r="I196">
        <v>3.4834013451501278E-10</v>
      </c>
      <c r="J196">
        <v>21.777841715464874</v>
      </c>
      <c r="K196">
        <v>3.4834013451501278E-10</v>
      </c>
      <c r="L196">
        <v>21.777841715464874</v>
      </c>
      <c r="M196">
        <v>4.9099425016160998E-18</v>
      </c>
      <c r="N196">
        <v>39.855269442620113</v>
      </c>
      <c r="O196">
        <v>25.393327260895923</v>
      </c>
      <c r="P196">
        <v>9.371693862875783E-12</v>
      </c>
      <c r="Q196">
        <v>25.393327260895923</v>
      </c>
      <c r="R196">
        <v>9.371693862875783E-12</v>
      </c>
    </row>
    <row r="197" spans="1:18">
      <c r="A197" t="s">
        <v>203</v>
      </c>
      <c r="B197">
        <v>2</v>
      </c>
      <c r="C197">
        <v>5</v>
      </c>
      <c r="D197">
        <v>5</v>
      </c>
      <c r="E197">
        <v>75</v>
      </c>
      <c r="F197">
        <v>15</v>
      </c>
      <c r="G197">
        <v>12</v>
      </c>
      <c r="H197" t="s">
        <v>200</v>
      </c>
    </row>
    <row r="198" spans="1:18">
      <c r="A198" t="s">
        <v>203</v>
      </c>
      <c r="B198">
        <v>2</v>
      </c>
      <c r="C198">
        <v>5</v>
      </c>
      <c r="D198">
        <v>5</v>
      </c>
      <c r="E198">
        <v>75</v>
      </c>
      <c r="F198">
        <v>15</v>
      </c>
      <c r="G198">
        <v>13</v>
      </c>
      <c r="H198" t="s">
        <v>197</v>
      </c>
      <c r="I198">
        <v>4.3542525141049282E-10</v>
      </c>
      <c r="J198">
        <v>21.554697972919829</v>
      </c>
      <c r="K198">
        <v>4.3542525141049282E-10</v>
      </c>
      <c r="L198">
        <v>21.554697972919829</v>
      </c>
      <c r="M198">
        <v>4.146906749724323E-12</v>
      </c>
      <c r="N198">
        <v>26.208658421118155</v>
      </c>
      <c r="O198">
        <v>22.485490062559496</v>
      </c>
      <c r="P198">
        <v>1.7166262248340935E-10</v>
      </c>
      <c r="Q198">
        <v>22.485490062559496</v>
      </c>
      <c r="R198">
        <v>1.7166262248340935E-10</v>
      </c>
    </row>
    <row r="199" spans="1:18">
      <c r="A199" t="s">
        <v>203</v>
      </c>
      <c r="B199">
        <v>2</v>
      </c>
      <c r="C199">
        <v>5</v>
      </c>
      <c r="D199">
        <v>5</v>
      </c>
      <c r="E199">
        <v>75</v>
      </c>
      <c r="F199">
        <v>15</v>
      </c>
      <c r="G199">
        <v>13</v>
      </c>
      <c r="H199" t="s">
        <v>198</v>
      </c>
      <c r="I199">
        <v>3.0326773326718737E-3</v>
      </c>
      <c r="J199">
        <v>5.7983094414701908</v>
      </c>
      <c r="K199">
        <v>3.0326773326718737E-3</v>
      </c>
      <c r="L199">
        <v>5.7983094414701908</v>
      </c>
      <c r="M199">
        <v>2.8540867406157574E-11</v>
      </c>
      <c r="N199">
        <v>24.279684111694277</v>
      </c>
      <c r="O199">
        <v>9.4945843755150072</v>
      </c>
      <c r="P199">
        <v>7.5258298938816386E-5</v>
      </c>
      <c r="Q199">
        <v>9.4945843755150072</v>
      </c>
      <c r="R199">
        <v>7.5258298938816386E-5</v>
      </c>
    </row>
    <row r="200" spans="1:18">
      <c r="A200" t="s">
        <v>203</v>
      </c>
      <c r="B200">
        <v>2</v>
      </c>
      <c r="C200">
        <v>5</v>
      </c>
      <c r="D200">
        <v>5</v>
      </c>
      <c r="E200">
        <v>75</v>
      </c>
      <c r="F200">
        <v>15</v>
      </c>
      <c r="G200">
        <v>13</v>
      </c>
      <c r="H200" t="s">
        <v>199</v>
      </c>
      <c r="I200">
        <v>1.2440715124739654E-11</v>
      </c>
      <c r="J200">
        <v>25.110046544358219</v>
      </c>
      <c r="K200">
        <v>1.2440715124739654E-11</v>
      </c>
      <c r="L200">
        <v>25.110046544358219</v>
      </c>
      <c r="M200">
        <v>1.1690339289562141E-19</v>
      </c>
      <c r="N200">
        <v>43.592939060903483</v>
      </c>
      <c r="O200">
        <v>28.806625047667275</v>
      </c>
      <c r="P200">
        <v>3.0863253041164989E-13</v>
      </c>
      <c r="Q200">
        <v>28.806625047667275</v>
      </c>
      <c r="R200">
        <v>3.0863253041164989E-13</v>
      </c>
    </row>
    <row r="201" spans="1:18">
      <c r="A201" t="s">
        <v>203</v>
      </c>
      <c r="B201">
        <v>2</v>
      </c>
      <c r="C201">
        <v>5</v>
      </c>
      <c r="D201">
        <v>5</v>
      </c>
      <c r="E201">
        <v>75</v>
      </c>
      <c r="F201">
        <v>15</v>
      </c>
      <c r="G201">
        <v>13</v>
      </c>
      <c r="H201" t="s">
        <v>200</v>
      </c>
    </row>
    <row r="202" spans="1:18">
      <c r="A202" t="s">
        <v>203</v>
      </c>
      <c r="B202">
        <v>2</v>
      </c>
      <c r="C202">
        <v>5</v>
      </c>
      <c r="D202">
        <v>5</v>
      </c>
      <c r="E202">
        <v>75</v>
      </c>
      <c r="F202">
        <v>15</v>
      </c>
      <c r="G202">
        <v>14</v>
      </c>
      <c r="H202" t="s">
        <v>197</v>
      </c>
      <c r="I202">
        <v>2.0066170947075079E-12</v>
      </c>
      <c r="J202">
        <v>26.934570849215202</v>
      </c>
      <c r="K202">
        <v>2.0066170947075079E-12</v>
      </c>
      <c r="L202">
        <v>26.934570849215202</v>
      </c>
      <c r="M202">
        <v>1.3377118547497815E-13</v>
      </c>
      <c r="N202">
        <v>29.642645625603301</v>
      </c>
      <c r="O202">
        <v>27.476185804492822</v>
      </c>
      <c r="P202">
        <v>1.1674656770258772E-12</v>
      </c>
      <c r="Q202">
        <v>27.476185804492822</v>
      </c>
      <c r="R202">
        <v>1.1674656770258772E-12</v>
      </c>
    </row>
    <row r="203" spans="1:18">
      <c r="A203" t="s">
        <v>203</v>
      </c>
      <c r="B203">
        <v>2</v>
      </c>
      <c r="C203">
        <v>5</v>
      </c>
      <c r="D203">
        <v>5</v>
      </c>
      <c r="E203">
        <v>75</v>
      </c>
      <c r="F203">
        <v>15</v>
      </c>
      <c r="G203">
        <v>14</v>
      </c>
      <c r="H203" t="s">
        <v>198</v>
      </c>
      <c r="I203">
        <v>3.2653648364233678E-4</v>
      </c>
      <c r="J203">
        <v>8.0269688738599854</v>
      </c>
      <c r="K203">
        <v>3.2653648364233678E-4</v>
      </c>
      <c r="L203">
        <v>8.0269688738599854</v>
      </c>
      <c r="M203">
        <v>3.0689104737803844E-12</v>
      </c>
      <c r="N203">
        <v>26.50969851185349</v>
      </c>
      <c r="O203">
        <v>11.723514801458684</v>
      </c>
      <c r="P203">
        <v>8.1010667983446648E-6</v>
      </c>
      <c r="Q203">
        <v>11.723514801458684</v>
      </c>
      <c r="R203">
        <v>8.1010667983446648E-6</v>
      </c>
    </row>
    <row r="204" spans="1:18">
      <c r="A204" t="s">
        <v>203</v>
      </c>
      <c r="B204">
        <v>2</v>
      </c>
      <c r="C204">
        <v>5</v>
      </c>
      <c r="D204">
        <v>5</v>
      </c>
      <c r="E204">
        <v>75</v>
      </c>
      <c r="F204">
        <v>15</v>
      </c>
      <c r="G204">
        <v>14</v>
      </c>
      <c r="H204" t="s">
        <v>199</v>
      </c>
      <c r="I204">
        <v>2.6756374893466273E-13</v>
      </c>
      <c r="J204">
        <v>28.949418543192401</v>
      </c>
      <c r="K204">
        <v>2.6756374893466273E-13</v>
      </c>
      <c r="L204">
        <v>28.949418543192401</v>
      </c>
      <c r="M204">
        <v>2.5140514601208904E-21</v>
      </c>
      <c r="N204">
        <v>47.432391373496792</v>
      </c>
      <c r="O204">
        <v>32.646013109253282</v>
      </c>
      <c r="P204">
        <v>6.6376851827887385E-15</v>
      </c>
      <c r="Q204">
        <v>32.646013109253282</v>
      </c>
      <c r="R204">
        <v>6.6376851827887385E-15</v>
      </c>
    </row>
    <row r="205" spans="1:18">
      <c r="A205" t="s">
        <v>203</v>
      </c>
      <c r="B205">
        <v>2</v>
      </c>
      <c r="C205">
        <v>5</v>
      </c>
      <c r="D205">
        <v>5</v>
      </c>
      <c r="E205">
        <v>75</v>
      </c>
      <c r="F205">
        <v>15</v>
      </c>
      <c r="G205">
        <v>14</v>
      </c>
      <c r="H205" t="s">
        <v>200</v>
      </c>
    </row>
    <row r="206" spans="1:18">
      <c r="A206" t="s">
        <v>203</v>
      </c>
      <c r="B206">
        <v>2</v>
      </c>
      <c r="C206">
        <v>5</v>
      </c>
      <c r="D206">
        <v>5</v>
      </c>
      <c r="E206">
        <v>75</v>
      </c>
      <c r="F206">
        <v>15</v>
      </c>
      <c r="G206">
        <v>15</v>
      </c>
      <c r="H206" t="s">
        <v>197</v>
      </c>
      <c r="I206">
        <v>2.2204460492503131E-15</v>
      </c>
      <c r="J206">
        <v>33.74106829612311</v>
      </c>
      <c r="K206">
        <v>2.2204460492503131E-15</v>
      </c>
      <c r="L206">
        <v>33.74106829612311</v>
      </c>
      <c r="M206">
        <v>2.1929702536881667E-15</v>
      </c>
      <c r="N206">
        <v>33.753519489776615</v>
      </c>
      <c r="O206">
        <v>33.743558534853811</v>
      </c>
      <c r="P206">
        <v>2.2149234876014103E-15</v>
      </c>
      <c r="Q206">
        <v>33.743558534853811</v>
      </c>
      <c r="R206">
        <v>2.2149234876014103E-15</v>
      </c>
    </row>
    <row r="207" spans="1:18">
      <c r="A207" t="s">
        <v>203</v>
      </c>
      <c r="B207">
        <v>2</v>
      </c>
      <c r="C207">
        <v>5</v>
      </c>
      <c r="D207">
        <v>5</v>
      </c>
      <c r="E207">
        <v>75</v>
      </c>
      <c r="F207">
        <v>15</v>
      </c>
      <c r="G207">
        <v>15</v>
      </c>
      <c r="H207" t="s">
        <v>198</v>
      </c>
      <c r="I207">
        <v>1.3384738632105098E-5</v>
      </c>
      <c r="J207">
        <v>11.221395408107893</v>
      </c>
      <c r="K207">
        <v>1.3384738632105098E-5</v>
      </c>
      <c r="L207">
        <v>11.221395408107893</v>
      </c>
      <c r="M207">
        <v>2.515500388344577E-13</v>
      </c>
      <c r="N207">
        <v>29.0111344635927</v>
      </c>
      <c r="O207">
        <v>14.779343219204854</v>
      </c>
      <c r="P207">
        <v>3.8142819587516711E-7</v>
      </c>
      <c r="Q207">
        <v>14.779343219204854</v>
      </c>
      <c r="R207">
        <v>3.8142819587516711E-7</v>
      </c>
    </row>
    <row r="208" spans="1:18">
      <c r="A208" t="s">
        <v>203</v>
      </c>
      <c r="B208">
        <v>2</v>
      </c>
      <c r="C208">
        <v>5</v>
      </c>
      <c r="D208">
        <v>5</v>
      </c>
      <c r="E208">
        <v>75</v>
      </c>
      <c r="F208">
        <v>15</v>
      </c>
      <c r="G208">
        <v>15</v>
      </c>
      <c r="H208" t="s">
        <v>199</v>
      </c>
      <c r="I208">
        <v>2.2204460492503131E-15</v>
      </c>
      <c r="J208">
        <v>33.74106829612311</v>
      </c>
      <c r="K208">
        <v>2.2204460492503131E-15</v>
      </c>
      <c r="L208">
        <v>33.74106829612311</v>
      </c>
      <c r="M208">
        <v>4.1213958362637547E-23</v>
      </c>
      <c r="N208">
        <v>51.543265237670106</v>
      </c>
      <c r="O208">
        <v>37.301507684432508</v>
      </c>
      <c r="P208">
        <v>6.3119136077592845E-17</v>
      </c>
      <c r="Q208">
        <v>37.301507684432508</v>
      </c>
      <c r="R208">
        <v>6.3119136077592845E-17</v>
      </c>
    </row>
    <row r="209" spans="1:18">
      <c r="A209" t="s">
        <v>203</v>
      </c>
      <c r="B209">
        <v>2</v>
      </c>
      <c r="C209">
        <v>5</v>
      </c>
      <c r="D209">
        <v>5</v>
      </c>
      <c r="E209">
        <v>75</v>
      </c>
      <c r="F209">
        <v>15</v>
      </c>
      <c r="G209">
        <v>15</v>
      </c>
      <c r="H209" t="s">
        <v>200</v>
      </c>
    </row>
    <row r="210" spans="1:18">
      <c r="A210" t="s">
        <v>204</v>
      </c>
      <c r="B210">
        <v>2</v>
      </c>
      <c r="C210">
        <v>6</v>
      </c>
      <c r="D210">
        <v>5</v>
      </c>
      <c r="E210">
        <v>75</v>
      </c>
      <c r="F210">
        <v>12.5</v>
      </c>
      <c r="G210">
        <v>3</v>
      </c>
      <c r="H210" t="s">
        <v>197</v>
      </c>
      <c r="I210">
        <v>0.9999997799712439</v>
      </c>
      <c r="J210">
        <v>2.2002878031015974E-7</v>
      </c>
      <c r="K210">
        <v>0.99980133290915196</v>
      </c>
      <c r="L210">
        <v>1.9868682776862437E-4</v>
      </c>
      <c r="M210">
        <v>3.3691225472047392E-2</v>
      </c>
      <c r="N210">
        <v>3.3905178472757656</v>
      </c>
      <c r="O210">
        <v>0.6781037454781772</v>
      </c>
      <c r="P210">
        <v>0.50757857854612887</v>
      </c>
      <c r="Q210">
        <v>0.67826251891736788</v>
      </c>
      <c r="R210">
        <v>0.50749799494699044</v>
      </c>
    </row>
    <row r="211" spans="1:18">
      <c r="A211" t="s">
        <v>204</v>
      </c>
      <c r="B211">
        <v>2</v>
      </c>
      <c r="C211">
        <v>6</v>
      </c>
      <c r="D211">
        <v>5</v>
      </c>
      <c r="E211">
        <v>75</v>
      </c>
      <c r="F211">
        <v>12.5</v>
      </c>
      <c r="G211">
        <v>3</v>
      </c>
      <c r="H211" t="s">
        <v>198</v>
      </c>
      <c r="I211">
        <v>0.99998243580807977</v>
      </c>
      <c r="J211">
        <v>1.756434617245252E-5</v>
      </c>
      <c r="K211">
        <v>0.99773115808215684</v>
      </c>
      <c r="L211">
        <v>2.2714196393670721E-3</v>
      </c>
      <c r="M211">
        <v>2.4065161051462423E-2</v>
      </c>
      <c r="N211">
        <v>3.7269900838969785</v>
      </c>
      <c r="O211">
        <v>0.74541206825633355</v>
      </c>
      <c r="P211">
        <v>0.47453871730417979</v>
      </c>
      <c r="Q211">
        <v>0.74721515249088921</v>
      </c>
      <c r="R211">
        <v>0.47368385495034326</v>
      </c>
    </row>
    <row r="212" spans="1:18">
      <c r="A212" t="s">
        <v>204</v>
      </c>
      <c r="B212">
        <v>2</v>
      </c>
      <c r="C212">
        <v>6</v>
      </c>
      <c r="D212">
        <v>5</v>
      </c>
      <c r="E212">
        <v>75</v>
      </c>
      <c r="F212">
        <v>12.5</v>
      </c>
      <c r="G212">
        <v>3</v>
      </c>
      <c r="H212" t="s">
        <v>199</v>
      </c>
      <c r="I212">
        <v>0.35466513807856237</v>
      </c>
      <c r="J212">
        <v>1.0365812076868104</v>
      </c>
      <c r="K212">
        <v>0.21615143160132766</v>
      </c>
      <c r="L212">
        <v>1.5317760447059388</v>
      </c>
      <c r="M212">
        <v>9.6260644205849687E-4</v>
      </c>
      <c r="N212">
        <v>6.9458659087651791</v>
      </c>
      <c r="O212">
        <v>2.2184381479024839</v>
      </c>
      <c r="P212">
        <v>0.10877887272792965</v>
      </c>
      <c r="Q212">
        <v>2.6145940175177866</v>
      </c>
      <c r="R212">
        <v>7.3197499567093607E-2</v>
      </c>
    </row>
    <row r="213" spans="1:18">
      <c r="A213" t="s">
        <v>204</v>
      </c>
      <c r="B213">
        <v>2</v>
      </c>
      <c r="C213">
        <v>6</v>
      </c>
      <c r="D213">
        <v>5</v>
      </c>
      <c r="E213">
        <v>75</v>
      </c>
      <c r="F213">
        <v>12.5</v>
      </c>
      <c r="G213">
        <v>3</v>
      </c>
      <c r="H213" t="s">
        <v>200</v>
      </c>
      <c r="I213">
        <v>0.63604926509087356</v>
      </c>
      <c r="J213">
        <v>0.45247925780724357</v>
      </c>
      <c r="K213">
        <v>0.42994023277138937</v>
      </c>
      <c r="L213">
        <v>0.84410907350993669</v>
      </c>
      <c r="M213">
        <v>2.2213994816734544E-3</v>
      </c>
      <c r="N213">
        <v>6.1096178845645603</v>
      </c>
      <c r="O213">
        <v>1.5839069831587067</v>
      </c>
      <c r="P213">
        <v>0.2051719269749866</v>
      </c>
      <c r="Q213">
        <v>1.8972108357208612</v>
      </c>
      <c r="R213">
        <v>0.14998637299377482</v>
      </c>
    </row>
    <row r="214" spans="1:18">
      <c r="A214" t="s">
        <v>204</v>
      </c>
      <c r="B214">
        <v>2</v>
      </c>
      <c r="C214">
        <v>6</v>
      </c>
      <c r="D214">
        <v>5</v>
      </c>
      <c r="E214">
        <v>75</v>
      </c>
      <c r="F214">
        <v>12.5</v>
      </c>
      <c r="G214">
        <v>4</v>
      </c>
      <c r="H214" t="s">
        <v>197</v>
      </c>
      <c r="I214">
        <v>0.99953092777095853</v>
      </c>
      <c r="J214">
        <v>4.6918227783473033E-4</v>
      </c>
      <c r="K214">
        <v>0.96653310602826081</v>
      </c>
      <c r="L214">
        <v>3.4039727399168183E-2</v>
      </c>
      <c r="M214">
        <v>5.6152042453412321E-3</v>
      </c>
      <c r="N214">
        <v>5.1822773165038205</v>
      </c>
      <c r="O214">
        <v>1.0368308091230316</v>
      </c>
      <c r="P214">
        <v>0.35457662419777575</v>
      </c>
      <c r="Q214">
        <v>1.0636872452200985</v>
      </c>
      <c r="R214">
        <v>0.34518069507543803</v>
      </c>
    </row>
    <row r="215" spans="1:18">
      <c r="A215" t="s">
        <v>204</v>
      </c>
      <c r="B215">
        <v>2</v>
      </c>
      <c r="C215">
        <v>6</v>
      </c>
      <c r="D215">
        <v>5</v>
      </c>
      <c r="E215">
        <v>75</v>
      </c>
      <c r="F215">
        <v>12.5</v>
      </c>
      <c r="G215">
        <v>4</v>
      </c>
      <c r="H215" t="s">
        <v>198</v>
      </c>
      <c r="I215">
        <v>0.99978020304465232</v>
      </c>
      <c r="J215">
        <v>2.1982111423857285E-4</v>
      </c>
      <c r="K215">
        <v>0.97608346552095959</v>
      </c>
      <c r="L215">
        <v>2.4207178273693286E-2</v>
      </c>
      <c r="M215">
        <v>3.0852770578797973E-3</v>
      </c>
      <c r="N215">
        <v>5.7811138175925247</v>
      </c>
      <c r="O215">
        <v>1.1563986204098955</v>
      </c>
      <c r="P215">
        <v>0.31461719900657387</v>
      </c>
      <c r="Q215">
        <v>1.1755885061374594</v>
      </c>
      <c r="R215">
        <v>0.30863729129072182</v>
      </c>
    </row>
    <row r="216" spans="1:18">
      <c r="A216" t="s">
        <v>204</v>
      </c>
      <c r="B216">
        <v>2</v>
      </c>
      <c r="C216">
        <v>6</v>
      </c>
      <c r="D216">
        <v>5</v>
      </c>
      <c r="E216">
        <v>75</v>
      </c>
      <c r="F216">
        <v>12.5</v>
      </c>
      <c r="G216">
        <v>4</v>
      </c>
      <c r="H216" t="s">
        <v>199</v>
      </c>
      <c r="I216">
        <v>6.5162396564701353E-2</v>
      </c>
      <c r="J216">
        <v>2.7308727162330997</v>
      </c>
      <c r="K216">
        <v>2.9423915201287731E-2</v>
      </c>
      <c r="L216">
        <v>3.5259474930816475</v>
      </c>
      <c r="M216">
        <v>2.4682216463038383E-5</v>
      </c>
      <c r="N216">
        <v>10.609427554894825</v>
      </c>
      <c r="O216">
        <v>4.3065836839654441</v>
      </c>
      <c r="P216">
        <v>1.3479521327397525E-2</v>
      </c>
      <c r="Q216">
        <v>4.9426435054442823</v>
      </c>
      <c r="R216">
        <v>7.1357101291519738E-3</v>
      </c>
    </row>
    <row r="217" spans="1:18">
      <c r="A217" t="s">
        <v>204</v>
      </c>
      <c r="B217">
        <v>2</v>
      </c>
      <c r="C217">
        <v>6</v>
      </c>
      <c r="D217">
        <v>5</v>
      </c>
      <c r="E217">
        <v>75</v>
      </c>
      <c r="F217">
        <v>12.5</v>
      </c>
      <c r="G217">
        <v>4</v>
      </c>
      <c r="H217" t="s">
        <v>200</v>
      </c>
      <c r="I217">
        <v>8.077840887136567E-2</v>
      </c>
      <c r="J217">
        <v>2.5160455661024388</v>
      </c>
      <c r="K217">
        <v>3.6643609832580526E-2</v>
      </c>
      <c r="L217">
        <v>3.3065162223975801</v>
      </c>
      <c r="M217">
        <v>6.1705541157595955E-5</v>
      </c>
      <c r="N217">
        <v>9.6931368230206711</v>
      </c>
      <c r="O217">
        <v>3.951463817486085</v>
      </c>
      <c r="P217">
        <v>1.9226537025294796E-2</v>
      </c>
      <c r="Q217">
        <v>4.5838403425221976</v>
      </c>
      <c r="R217">
        <v>1.021558950617397E-2</v>
      </c>
    </row>
    <row r="218" spans="1:18">
      <c r="A218" t="s">
        <v>204</v>
      </c>
      <c r="B218">
        <v>2</v>
      </c>
      <c r="C218">
        <v>6</v>
      </c>
      <c r="D218">
        <v>5</v>
      </c>
      <c r="E218">
        <v>75</v>
      </c>
      <c r="F218">
        <v>12.5</v>
      </c>
      <c r="G218">
        <v>5</v>
      </c>
      <c r="H218" t="s">
        <v>197</v>
      </c>
      <c r="I218">
        <v>0.92664858965648977</v>
      </c>
      <c r="J218">
        <v>7.6180868720778103E-2</v>
      </c>
      <c r="K218">
        <v>0.59518483118546017</v>
      </c>
      <c r="L218">
        <v>0.51888328102749137</v>
      </c>
      <c r="M218">
        <v>8.6996122110920488E-4</v>
      </c>
      <c r="N218">
        <v>7.0470619207467653</v>
      </c>
      <c r="O218">
        <v>1.4703570791259752</v>
      </c>
      <c r="P218">
        <v>0.22984339825207159</v>
      </c>
      <c r="Q218">
        <v>1.8245190089713459</v>
      </c>
      <c r="R218">
        <v>0.1612952070222963</v>
      </c>
    </row>
    <row r="219" spans="1:18">
      <c r="A219" t="s">
        <v>204</v>
      </c>
      <c r="B219">
        <v>2</v>
      </c>
      <c r="C219">
        <v>6</v>
      </c>
      <c r="D219">
        <v>5</v>
      </c>
      <c r="E219">
        <v>75</v>
      </c>
      <c r="F219">
        <v>12.5</v>
      </c>
      <c r="G219">
        <v>5</v>
      </c>
      <c r="H219" t="s">
        <v>198</v>
      </c>
      <c r="I219">
        <v>0.9974736593208503</v>
      </c>
      <c r="J219">
        <v>2.5295372626708825E-3</v>
      </c>
      <c r="K219">
        <v>0.87385716538267122</v>
      </c>
      <c r="L219">
        <v>0.13483834301775674</v>
      </c>
      <c r="M219">
        <v>3.9833389244926961E-4</v>
      </c>
      <c r="N219">
        <v>7.8282199786294244</v>
      </c>
      <c r="O219">
        <v>1.5676676255360211</v>
      </c>
      <c r="P219">
        <v>0.2085309879477503</v>
      </c>
      <c r="Q219">
        <v>1.67351467014009</v>
      </c>
      <c r="R219">
        <v>0.18758660063638627</v>
      </c>
    </row>
    <row r="220" spans="1:18">
      <c r="A220" t="s">
        <v>204</v>
      </c>
      <c r="B220">
        <v>2</v>
      </c>
      <c r="C220">
        <v>6</v>
      </c>
      <c r="D220">
        <v>5</v>
      </c>
      <c r="E220">
        <v>75</v>
      </c>
      <c r="F220">
        <v>12.5</v>
      </c>
      <c r="G220">
        <v>5</v>
      </c>
      <c r="H220" t="s">
        <v>199</v>
      </c>
      <c r="I220">
        <v>9.5239307739855006E-3</v>
      </c>
      <c r="J220">
        <v>4.6539476189700881</v>
      </c>
      <c r="K220">
        <v>3.3070642266322947E-3</v>
      </c>
      <c r="L220">
        <v>5.711694423752177</v>
      </c>
      <c r="M220">
        <v>6.3733422791883147E-7</v>
      </c>
      <c r="N220">
        <v>14.265971628365826</v>
      </c>
      <c r="O220">
        <v>6.5763524208492354</v>
      </c>
      <c r="P220">
        <v>1.392920828775915E-3</v>
      </c>
      <c r="Q220">
        <v>7.422549864674906</v>
      </c>
      <c r="R220">
        <v>5.9762334239559433E-4</v>
      </c>
    </row>
    <row r="221" spans="1:18">
      <c r="A221" t="s">
        <v>204</v>
      </c>
      <c r="B221">
        <v>2</v>
      </c>
      <c r="C221">
        <v>6</v>
      </c>
      <c r="D221">
        <v>5</v>
      </c>
      <c r="E221">
        <v>75</v>
      </c>
      <c r="F221">
        <v>12.5</v>
      </c>
      <c r="G221">
        <v>5</v>
      </c>
      <c r="H221" t="s">
        <v>200</v>
      </c>
      <c r="I221">
        <v>2.6064808778946125E-3</v>
      </c>
      <c r="J221">
        <v>5.9497542900981548</v>
      </c>
      <c r="K221">
        <v>9.0301330594422247E-4</v>
      </c>
      <c r="L221">
        <v>7.0097732693909318</v>
      </c>
      <c r="M221">
        <v>8.6909212898022475E-7</v>
      </c>
      <c r="N221">
        <v>13.955816700061986</v>
      </c>
      <c r="O221">
        <v>7.5509667720909199</v>
      </c>
      <c r="P221">
        <v>5.2560174431316676E-4</v>
      </c>
      <c r="Q221">
        <v>8.3989819555251426</v>
      </c>
      <c r="R221">
        <v>2.2509636568324173E-4</v>
      </c>
    </row>
    <row r="222" spans="1:18">
      <c r="A222" t="s">
        <v>204</v>
      </c>
      <c r="B222">
        <v>2</v>
      </c>
      <c r="C222">
        <v>6</v>
      </c>
      <c r="D222">
        <v>5</v>
      </c>
      <c r="E222">
        <v>75</v>
      </c>
      <c r="F222">
        <v>12.5</v>
      </c>
      <c r="G222">
        <v>6</v>
      </c>
      <c r="H222" t="s">
        <v>197</v>
      </c>
      <c r="I222">
        <v>0.46314233372247904</v>
      </c>
      <c r="J222">
        <v>0.76972085589134076</v>
      </c>
      <c r="K222">
        <v>0.15130027010705038</v>
      </c>
      <c r="L222">
        <v>1.8884888729478448</v>
      </c>
      <c r="M222">
        <v>1.2428017444417213E-4</v>
      </c>
      <c r="N222">
        <v>8.9929720698020787</v>
      </c>
      <c r="O222">
        <v>2.4143710986734881</v>
      </c>
      <c r="P222">
        <v>8.9423559836598859E-2</v>
      </c>
      <c r="Q222">
        <v>3.3093855123186913</v>
      </c>
      <c r="R222">
        <v>3.6538619388257282E-2</v>
      </c>
    </row>
    <row r="223" spans="1:18">
      <c r="A223" t="s">
        <v>204</v>
      </c>
      <c r="B223">
        <v>2</v>
      </c>
      <c r="C223">
        <v>6</v>
      </c>
      <c r="D223">
        <v>5</v>
      </c>
      <c r="E223">
        <v>75</v>
      </c>
      <c r="F223">
        <v>12.5</v>
      </c>
      <c r="G223">
        <v>6</v>
      </c>
      <c r="H223" t="s">
        <v>198</v>
      </c>
      <c r="I223">
        <v>0.97942658254676562</v>
      </c>
      <c r="J223">
        <v>2.0787998417182398E-2</v>
      </c>
      <c r="K223">
        <v>0.64094767607244707</v>
      </c>
      <c r="L223">
        <v>0.44480745398538812</v>
      </c>
      <c r="M223">
        <v>5.1731674344060996E-5</v>
      </c>
      <c r="N223">
        <v>9.8694403074890626</v>
      </c>
      <c r="O223">
        <v>1.990518460231558</v>
      </c>
      <c r="P223">
        <v>0.13662457267235414</v>
      </c>
      <c r="Q223">
        <v>2.3297340246861227</v>
      </c>
      <c r="R223">
        <v>9.7321628798199056E-2</v>
      </c>
    </row>
    <row r="224" spans="1:18">
      <c r="A224" t="s">
        <v>204</v>
      </c>
      <c r="B224">
        <v>2</v>
      </c>
      <c r="C224">
        <v>6</v>
      </c>
      <c r="D224">
        <v>5</v>
      </c>
      <c r="E224">
        <v>75</v>
      </c>
      <c r="F224">
        <v>12.5</v>
      </c>
      <c r="G224">
        <v>6</v>
      </c>
      <c r="H224" t="s">
        <v>199</v>
      </c>
      <c r="I224">
        <v>1.2420297861838181E-3</v>
      </c>
      <c r="J224">
        <v>6.6910083133237874</v>
      </c>
      <c r="K224">
        <v>3.2771817730703479E-4</v>
      </c>
      <c r="L224">
        <v>8.0233565344446998</v>
      </c>
      <c r="M224">
        <v>1.6554135790099519E-8</v>
      </c>
      <c r="N224">
        <v>17.916629869659563</v>
      </c>
      <c r="O224">
        <v>8.9361326245909414</v>
      </c>
      <c r="P224">
        <v>1.3154880630585479E-4</v>
      </c>
      <c r="Q224">
        <v>10.002011201487672</v>
      </c>
      <c r="R224">
        <v>4.5308713114482491E-5</v>
      </c>
    </row>
    <row r="225" spans="1:18">
      <c r="A225" t="s">
        <v>204</v>
      </c>
      <c r="B225">
        <v>2</v>
      </c>
      <c r="C225">
        <v>6</v>
      </c>
      <c r="D225">
        <v>5</v>
      </c>
      <c r="E225">
        <v>75</v>
      </c>
      <c r="F225">
        <v>12.5</v>
      </c>
      <c r="G225">
        <v>6</v>
      </c>
      <c r="H225" t="s">
        <v>200</v>
      </c>
    </row>
    <row r="226" spans="1:18">
      <c r="A226" t="s">
        <v>204</v>
      </c>
      <c r="B226">
        <v>2</v>
      </c>
      <c r="C226">
        <v>6</v>
      </c>
      <c r="D226">
        <v>5</v>
      </c>
      <c r="E226">
        <v>75</v>
      </c>
      <c r="F226">
        <v>12.5</v>
      </c>
      <c r="G226">
        <v>7</v>
      </c>
      <c r="H226" t="s">
        <v>197</v>
      </c>
      <c r="I226">
        <v>9.9057907996357053E-2</v>
      </c>
      <c r="J226">
        <v>2.3120506705958523</v>
      </c>
      <c r="K226">
        <v>2.0122694622975001E-2</v>
      </c>
      <c r="L226">
        <v>3.9059070151348463</v>
      </c>
      <c r="M226">
        <v>1.6210457536196364E-5</v>
      </c>
      <c r="N226">
        <v>11.029853997063119</v>
      </c>
      <c r="O226">
        <v>4.0556113358893056</v>
      </c>
      <c r="P226">
        <v>1.7324885621019744E-2</v>
      </c>
      <c r="Q226">
        <v>5.3306964115205009</v>
      </c>
      <c r="R226">
        <v>4.8406977204740395E-3</v>
      </c>
    </row>
    <row r="227" spans="1:18">
      <c r="A227" t="s">
        <v>204</v>
      </c>
      <c r="B227">
        <v>2</v>
      </c>
      <c r="C227">
        <v>6</v>
      </c>
      <c r="D227">
        <v>5</v>
      </c>
      <c r="E227">
        <v>75</v>
      </c>
      <c r="F227">
        <v>12.5</v>
      </c>
      <c r="G227">
        <v>7</v>
      </c>
      <c r="H227" t="s">
        <v>198</v>
      </c>
      <c r="I227">
        <v>0.89767442026828781</v>
      </c>
      <c r="J227">
        <v>0.10794783736950327</v>
      </c>
      <c r="K227">
        <v>0.35868138380281267</v>
      </c>
      <c r="L227">
        <v>1.0253207948628735</v>
      </c>
      <c r="M227">
        <v>6.7476096970514339E-6</v>
      </c>
      <c r="N227">
        <v>11.906322234750101</v>
      </c>
      <c r="O227">
        <v>2.4676227168456224</v>
      </c>
      <c r="P227">
        <v>8.4786180366115266E-2</v>
      </c>
      <c r="Q227">
        <v>3.2015210828403187</v>
      </c>
      <c r="R227">
        <v>4.0700248421074191E-2</v>
      </c>
    </row>
    <row r="228" spans="1:18">
      <c r="A228" t="s">
        <v>204</v>
      </c>
      <c r="B228">
        <v>2</v>
      </c>
      <c r="C228">
        <v>6</v>
      </c>
      <c r="D228">
        <v>5</v>
      </c>
      <c r="E228">
        <v>75</v>
      </c>
      <c r="F228">
        <v>12.5</v>
      </c>
      <c r="G228">
        <v>7</v>
      </c>
      <c r="H228" t="s">
        <v>199</v>
      </c>
      <c r="I228">
        <v>1.458834757964711E-4</v>
      </c>
      <c r="J228">
        <v>8.832702365899145</v>
      </c>
      <c r="K228">
        <v>2.8430244454868969E-5</v>
      </c>
      <c r="L228">
        <v>10.468057033855429</v>
      </c>
      <c r="M228">
        <v>4.3184702061129182E-10</v>
      </c>
      <c r="N228">
        <v>21.562949709354704</v>
      </c>
      <c r="O228">
        <v>11.378751834590258</v>
      </c>
      <c r="P228">
        <v>1.1435913646105979E-5</v>
      </c>
      <c r="Q228">
        <v>12.687035568955285</v>
      </c>
      <c r="R228">
        <v>3.0909391878284167E-6</v>
      </c>
    </row>
    <row r="229" spans="1:18">
      <c r="A229" t="s">
        <v>204</v>
      </c>
      <c r="B229">
        <v>2</v>
      </c>
      <c r="C229">
        <v>6</v>
      </c>
      <c r="D229">
        <v>5</v>
      </c>
      <c r="E229">
        <v>75</v>
      </c>
      <c r="F229">
        <v>12.5</v>
      </c>
      <c r="G229">
        <v>7</v>
      </c>
      <c r="H229" t="s">
        <v>200</v>
      </c>
    </row>
    <row r="230" spans="1:18">
      <c r="A230" t="s">
        <v>204</v>
      </c>
      <c r="B230">
        <v>2</v>
      </c>
      <c r="C230">
        <v>6</v>
      </c>
      <c r="D230">
        <v>5</v>
      </c>
      <c r="E230">
        <v>75</v>
      </c>
      <c r="F230">
        <v>12.5</v>
      </c>
      <c r="G230">
        <v>8</v>
      </c>
      <c r="H230" t="s">
        <v>197</v>
      </c>
      <c r="I230">
        <v>1.2197272715614216E-2</v>
      </c>
      <c r="J230">
        <v>4.4065429001339567</v>
      </c>
      <c r="K230">
        <v>1.697794485884474E-3</v>
      </c>
      <c r="L230">
        <v>6.3784252314660845</v>
      </c>
      <c r="M230">
        <v>1.9071126513172193E-6</v>
      </c>
      <c r="N230">
        <v>13.169920160559389</v>
      </c>
      <c r="O230">
        <v>6.1592183522190425</v>
      </c>
      <c r="P230">
        <v>2.1139049552486677E-3</v>
      </c>
      <c r="Q230">
        <v>7.7367242172847455</v>
      </c>
      <c r="R230">
        <v>4.3649911189794747E-4</v>
      </c>
    </row>
    <row r="231" spans="1:18">
      <c r="A231" t="s">
        <v>204</v>
      </c>
      <c r="B231">
        <v>2</v>
      </c>
      <c r="C231">
        <v>6</v>
      </c>
      <c r="D231">
        <v>5</v>
      </c>
      <c r="E231">
        <v>75</v>
      </c>
      <c r="F231">
        <v>12.5</v>
      </c>
      <c r="G231">
        <v>8</v>
      </c>
      <c r="H231" t="s">
        <v>198</v>
      </c>
      <c r="I231">
        <v>0.69636999482615825</v>
      </c>
      <c r="J231">
        <v>0.36187415813615531</v>
      </c>
      <c r="K231">
        <v>0.15213901959017384</v>
      </c>
      <c r="L231">
        <v>1.8829605735630091</v>
      </c>
      <c r="M231">
        <v>8.8204048327469732E-7</v>
      </c>
      <c r="N231">
        <v>13.941027882588546</v>
      </c>
      <c r="O231">
        <v>3.0777049030266328</v>
      </c>
      <c r="P231">
        <v>4.6064858737039256E-2</v>
      </c>
      <c r="Q231">
        <v>4.2945740353681163</v>
      </c>
      <c r="R231">
        <v>1.3642381631850262E-2</v>
      </c>
    </row>
    <row r="232" spans="1:18">
      <c r="A232" t="s">
        <v>204</v>
      </c>
      <c r="B232">
        <v>2</v>
      </c>
      <c r="C232">
        <v>6</v>
      </c>
      <c r="D232">
        <v>5</v>
      </c>
      <c r="E232">
        <v>75</v>
      </c>
      <c r="F232">
        <v>12.5</v>
      </c>
      <c r="G232">
        <v>8</v>
      </c>
      <c r="H232" t="s">
        <v>199</v>
      </c>
      <c r="I232">
        <v>1.5256784824613234E-5</v>
      </c>
      <c r="J232">
        <v>11.090486247320404</v>
      </c>
      <c r="K232">
        <v>2.1124917825021683E-6</v>
      </c>
      <c r="L232">
        <v>13.067642367662451</v>
      </c>
      <c r="M232">
        <v>1.1290118185916125E-11</v>
      </c>
      <c r="N232">
        <v>25.207093269627251</v>
      </c>
      <c r="O232">
        <v>13.913807651781774</v>
      </c>
      <c r="P232">
        <v>9.0637958397857385E-7</v>
      </c>
      <c r="Q232">
        <v>15.49553254805541</v>
      </c>
      <c r="R232">
        <v>1.8636987770375309E-7</v>
      </c>
    </row>
    <row r="233" spans="1:18">
      <c r="A233" t="s">
        <v>204</v>
      </c>
      <c r="B233">
        <v>2</v>
      </c>
      <c r="C233">
        <v>6</v>
      </c>
      <c r="D233">
        <v>5</v>
      </c>
      <c r="E233">
        <v>75</v>
      </c>
      <c r="F233">
        <v>12.5</v>
      </c>
      <c r="G233">
        <v>8</v>
      </c>
      <c r="H233" t="s">
        <v>200</v>
      </c>
    </row>
    <row r="234" spans="1:18">
      <c r="A234" t="s">
        <v>204</v>
      </c>
      <c r="B234">
        <v>2</v>
      </c>
      <c r="C234">
        <v>6</v>
      </c>
      <c r="D234">
        <v>5</v>
      </c>
      <c r="E234">
        <v>75</v>
      </c>
      <c r="F234">
        <v>12.5</v>
      </c>
      <c r="G234">
        <v>9</v>
      </c>
      <c r="H234" t="s">
        <v>197</v>
      </c>
      <c r="I234">
        <v>9.9675204277105411E-4</v>
      </c>
      <c r="J234">
        <v>6.9110085222732023</v>
      </c>
      <c r="K234">
        <v>9.3145305757880159E-5</v>
      </c>
      <c r="L234">
        <v>9.2813498566268819</v>
      </c>
      <c r="M234">
        <v>1.9925057551075426E-7</v>
      </c>
      <c r="N234">
        <v>15.428702630895042</v>
      </c>
      <c r="O234">
        <v>8.6145473439975699</v>
      </c>
      <c r="P234">
        <v>1.8144692994779077E-4</v>
      </c>
      <c r="Q234">
        <v>10.510820411480514</v>
      </c>
      <c r="R234">
        <v>2.7240099840297654E-5</v>
      </c>
    </row>
    <row r="235" spans="1:18">
      <c r="A235" t="s">
        <v>204</v>
      </c>
      <c r="B235">
        <v>2</v>
      </c>
      <c r="C235">
        <v>6</v>
      </c>
      <c r="D235">
        <v>5</v>
      </c>
      <c r="E235">
        <v>75</v>
      </c>
      <c r="F235">
        <v>12.5</v>
      </c>
      <c r="G235">
        <v>9</v>
      </c>
      <c r="H235" t="s">
        <v>198</v>
      </c>
      <c r="I235">
        <v>0.4200571950226708</v>
      </c>
      <c r="J235">
        <v>0.86736439835078372</v>
      </c>
      <c r="K235">
        <v>4.961709839329087E-2</v>
      </c>
      <c r="L235">
        <v>3.0034197789843109</v>
      </c>
      <c r="M235">
        <v>1.1519185415900897E-7</v>
      </c>
      <c r="N235">
        <v>15.976666801609989</v>
      </c>
      <c r="O235">
        <v>3.889224879002624</v>
      </c>
      <c r="P235">
        <v>2.0461199798447849E-2</v>
      </c>
      <c r="Q235">
        <v>5.5980691835094456</v>
      </c>
      <c r="R235">
        <v>3.7050105100797028E-3</v>
      </c>
    </row>
    <row r="236" spans="1:18">
      <c r="A236" t="s">
        <v>204</v>
      </c>
      <c r="B236">
        <v>2</v>
      </c>
      <c r="C236">
        <v>6</v>
      </c>
      <c r="D236">
        <v>5</v>
      </c>
      <c r="E236">
        <v>75</v>
      </c>
      <c r="F236">
        <v>12.5</v>
      </c>
      <c r="G236">
        <v>9</v>
      </c>
      <c r="H236" t="s">
        <v>199</v>
      </c>
      <c r="I236">
        <v>1.3947530559388355E-6</v>
      </c>
      <c r="J236">
        <v>13.482793179193358</v>
      </c>
      <c r="K236">
        <v>1.3027921397235076E-7</v>
      </c>
      <c r="L236">
        <v>15.853585889928159</v>
      </c>
      <c r="M236">
        <v>2.9489114664706294E-13</v>
      </c>
      <c r="N236">
        <v>28.852170101082791</v>
      </c>
      <c r="O236">
        <v>16.556668563571243</v>
      </c>
      <c r="P236">
        <v>6.449561734639023E-8</v>
      </c>
      <c r="Q236">
        <v>18.453302732159084</v>
      </c>
      <c r="R236">
        <v>9.6790436971092495E-9</v>
      </c>
    </row>
    <row r="237" spans="1:18">
      <c r="A237" t="s">
        <v>204</v>
      </c>
      <c r="B237">
        <v>2</v>
      </c>
      <c r="C237">
        <v>6</v>
      </c>
      <c r="D237">
        <v>5</v>
      </c>
      <c r="E237">
        <v>75</v>
      </c>
      <c r="F237">
        <v>12.5</v>
      </c>
      <c r="G237">
        <v>9</v>
      </c>
      <c r="H237" t="s">
        <v>200</v>
      </c>
    </row>
    <row r="238" spans="1:18">
      <c r="A238" t="s">
        <v>204</v>
      </c>
      <c r="B238">
        <v>2</v>
      </c>
      <c r="C238">
        <v>6</v>
      </c>
      <c r="D238">
        <v>5</v>
      </c>
      <c r="E238">
        <v>75</v>
      </c>
      <c r="F238">
        <v>12.5</v>
      </c>
      <c r="G238">
        <v>10</v>
      </c>
      <c r="H238" t="s">
        <v>197</v>
      </c>
      <c r="I238">
        <v>5.4393927711116064E-5</v>
      </c>
      <c r="J238">
        <v>9.819258033290108</v>
      </c>
      <c r="K238">
        <v>3.18800412646425E-6</v>
      </c>
      <c r="L238">
        <v>12.656115502663162</v>
      </c>
      <c r="M238">
        <v>1.8113688682795842E-8</v>
      </c>
      <c r="N238">
        <v>17.826597903693411</v>
      </c>
      <c r="O238">
        <v>11.420726007370767</v>
      </c>
      <c r="P238">
        <v>1.0965835221863369E-5</v>
      </c>
      <c r="Q238">
        <v>13.690211982869211</v>
      </c>
      <c r="R238">
        <v>1.1334868334873902E-6</v>
      </c>
    </row>
    <row r="239" spans="1:18">
      <c r="A239" t="s">
        <v>204</v>
      </c>
      <c r="B239">
        <v>2</v>
      </c>
      <c r="C239">
        <v>6</v>
      </c>
      <c r="D239">
        <v>5</v>
      </c>
      <c r="E239">
        <v>75</v>
      </c>
      <c r="F239">
        <v>12.5</v>
      </c>
      <c r="G239">
        <v>10</v>
      </c>
      <c r="H239" t="s">
        <v>198</v>
      </c>
      <c r="I239">
        <v>0.19125352297565568</v>
      </c>
      <c r="J239">
        <v>1.6541553856574103</v>
      </c>
      <c r="K239">
        <v>1.2363654404930591E-2</v>
      </c>
      <c r="L239">
        <v>4.3929942068231931</v>
      </c>
      <c r="M239">
        <v>1.4959981059611552E-8</v>
      </c>
      <c r="N239">
        <v>18.017887130469628</v>
      </c>
      <c r="O239">
        <v>4.9269017346198529</v>
      </c>
      <c r="P239">
        <v>7.2489276266609328E-3</v>
      </c>
      <c r="Q239">
        <v>7.1179727915524786</v>
      </c>
      <c r="R239">
        <v>8.1040795288104422E-4</v>
      </c>
    </row>
    <row r="240" spans="1:18">
      <c r="A240" t="s">
        <v>204</v>
      </c>
      <c r="B240">
        <v>2</v>
      </c>
      <c r="C240">
        <v>6</v>
      </c>
      <c r="D240">
        <v>5</v>
      </c>
      <c r="E240">
        <v>75</v>
      </c>
      <c r="F240">
        <v>12.5</v>
      </c>
      <c r="G240">
        <v>10</v>
      </c>
      <c r="H240" t="s">
        <v>199</v>
      </c>
      <c r="I240">
        <v>1.0868212618753148E-7</v>
      </c>
      <c r="J240">
        <v>16.034838488837163</v>
      </c>
      <c r="K240">
        <v>6.3696486973796596E-9</v>
      </c>
      <c r="L240">
        <v>18.871721518431066</v>
      </c>
      <c r="M240">
        <v>7.6595103025211147E-15</v>
      </c>
      <c r="N240">
        <v>32.502828342376532</v>
      </c>
      <c r="O240">
        <v>19.328436459545038</v>
      </c>
      <c r="P240">
        <v>4.0342861735151187E-9</v>
      </c>
      <c r="Q240">
        <v>21.597942883220156</v>
      </c>
      <c r="R240">
        <v>4.1699666856260681E-10</v>
      </c>
    </row>
    <row r="241" spans="1:18">
      <c r="A241" t="s">
        <v>204</v>
      </c>
      <c r="B241">
        <v>2</v>
      </c>
      <c r="C241">
        <v>6</v>
      </c>
      <c r="D241">
        <v>5</v>
      </c>
      <c r="E241">
        <v>75</v>
      </c>
      <c r="F241">
        <v>12.5</v>
      </c>
      <c r="G241">
        <v>10</v>
      </c>
      <c r="H241" t="s">
        <v>200</v>
      </c>
    </row>
    <row r="242" spans="1:18">
      <c r="A242" t="s">
        <v>204</v>
      </c>
      <c r="B242">
        <v>2</v>
      </c>
      <c r="C242">
        <v>6</v>
      </c>
      <c r="D242">
        <v>5</v>
      </c>
      <c r="E242">
        <v>75</v>
      </c>
      <c r="F242">
        <v>12.5</v>
      </c>
      <c r="G242">
        <v>11</v>
      </c>
      <c r="H242" t="s">
        <v>197</v>
      </c>
      <c r="I242">
        <v>1.9019355029792351E-6</v>
      </c>
      <c r="J242">
        <v>13.172638504521592</v>
      </c>
      <c r="K242">
        <v>6.2701228098482886E-8</v>
      </c>
      <c r="L242">
        <v>16.584884802601703</v>
      </c>
      <c r="M242">
        <v>1.3933606679073726E-9</v>
      </c>
      <c r="N242">
        <v>20.391547261154951</v>
      </c>
      <c r="O242">
        <v>14.616420255848263</v>
      </c>
      <c r="P242">
        <v>4.4892039637413067E-7</v>
      </c>
      <c r="Q242">
        <v>17.346217294312353</v>
      </c>
      <c r="R242">
        <v>2.928421233465129E-8</v>
      </c>
    </row>
    <row r="243" spans="1:18">
      <c r="A243" t="s">
        <v>204</v>
      </c>
      <c r="B243">
        <v>2</v>
      </c>
      <c r="C243">
        <v>6</v>
      </c>
      <c r="D243">
        <v>5</v>
      </c>
      <c r="E243">
        <v>75</v>
      </c>
      <c r="F243">
        <v>12.5</v>
      </c>
      <c r="G243">
        <v>11</v>
      </c>
      <c r="H243" t="s">
        <v>198</v>
      </c>
      <c r="I243">
        <v>6.5772401407864112E-2</v>
      </c>
      <c r="J243">
        <v>2.7215549601282838</v>
      </c>
      <c r="K243">
        <v>2.2404048523860798E-3</v>
      </c>
      <c r="L243">
        <v>6.1010986917739167</v>
      </c>
      <c r="M243">
        <v>1.9179462896937891E-9</v>
      </c>
      <c r="N243">
        <v>20.072010864165176</v>
      </c>
      <c r="O243">
        <v>6.1916461409356618</v>
      </c>
      <c r="P243">
        <v>2.0464552253130928E-3</v>
      </c>
      <c r="Q243">
        <v>8.8952811262521685</v>
      </c>
      <c r="R243">
        <v>1.3703404953668524E-4</v>
      </c>
    </row>
    <row r="244" spans="1:18">
      <c r="A244" t="s">
        <v>204</v>
      </c>
      <c r="B244">
        <v>2</v>
      </c>
      <c r="C244">
        <v>6</v>
      </c>
      <c r="D244">
        <v>5</v>
      </c>
      <c r="E244">
        <v>75</v>
      </c>
      <c r="F244">
        <v>12.5</v>
      </c>
      <c r="G244">
        <v>11</v>
      </c>
      <c r="H244" t="s">
        <v>199</v>
      </c>
      <c r="I244">
        <v>6.9668033564340703E-9</v>
      </c>
      <c r="J244">
        <v>18.78210934629546</v>
      </c>
      <c r="K244">
        <v>2.2967483470637262E-10</v>
      </c>
      <c r="L244">
        <v>22.194356569456168</v>
      </c>
      <c r="M244">
        <v>1.9639770006464399E-16</v>
      </c>
      <c r="N244">
        <v>36.166389988506175</v>
      </c>
      <c r="O244">
        <v>22.258965474737604</v>
      </c>
      <c r="P244">
        <v>2.1530500294560705E-10</v>
      </c>
      <c r="Q244">
        <v>24.988763253266168</v>
      </c>
      <c r="R244">
        <v>1.4044879243100336E-11</v>
      </c>
    </row>
    <row r="245" spans="1:18">
      <c r="A245" t="s">
        <v>204</v>
      </c>
      <c r="B245">
        <v>2</v>
      </c>
      <c r="C245">
        <v>6</v>
      </c>
      <c r="D245">
        <v>5</v>
      </c>
      <c r="E245">
        <v>75</v>
      </c>
      <c r="F245">
        <v>12.5</v>
      </c>
      <c r="G245">
        <v>11</v>
      </c>
      <c r="H245" t="s">
        <v>200</v>
      </c>
    </row>
    <row r="246" spans="1:18">
      <c r="A246" t="s">
        <v>204</v>
      </c>
      <c r="B246">
        <v>2</v>
      </c>
      <c r="C246">
        <v>6</v>
      </c>
      <c r="D246">
        <v>5</v>
      </c>
      <c r="E246">
        <v>75</v>
      </c>
      <c r="F246">
        <v>12.5</v>
      </c>
      <c r="G246">
        <v>12</v>
      </c>
      <c r="H246" t="s">
        <v>197</v>
      </c>
      <c r="I246">
        <v>3.9623693215418143E-8</v>
      </c>
      <c r="J246">
        <v>17.043838584083488</v>
      </c>
      <c r="K246">
        <v>6.0959526315684798E-10</v>
      </c>
      <c r="L246">
        <v>21.218225881998297</v>
      </c>
      <c r="M246">
        <v>8.7085041744210785E-11</v>
      </c>
      <c r="N246">
        <v>23.164135983394729</v>
      </c>
      <c r="O246">
        <v>18.267898063945736</v>
      </c>
      <c r="P246">
        <v>1.1650717580420179E-8</v>
      </c>
      <c r="Q246">
        <v>21.607407902277583</v>
      </c>
      <c r="R246">
        <v>4.1306840700959392E-10</v>
      </c>
    </row>
    <row r="247" spans="1:18">
      <c r="A247" t="s">
        <v>204</v>
      </c>
      <c r="B247">
        <v>2</v>
      </c>
      <c r="C247">
        <v>6</v>
      </c>
      <c r="D247">
        <v>5</v>
      </c>
      <c r="E247">
        <v>75</v>
      </c>
      <c r="F247">
        <v>12.5</v>
      </c>
      <c r="G247">
        <v>12</v>
      </c>
      <c r="H247" t="s">
        <v>198</v>
      </c>
      <c r="I247">
        <v>1.6864964254071801E-2</v>
      </c>
      <c r="J247">
        <v>4.0825169300040161</v>
      </c>
      <c r="K247">
        <v>2.6163956971436697E-4</v>
      </c>
      <c r="L247">
        <v>8.2485426894439069</v>
      </c>
      <c r="M247">
        <v>2.3974328621172364E-10</v>
      </c>
      <c r="N247">
        <v>22.15145240584501</v>
      </c>
      <c r="O247">
        <v>7.6963040251722141</v>
      </c>
      <c r="P247">
        <v>4.5450391743170475E-4</v>
      </c>
      <c r="Q247">
        <v>11.029124632724127</v>
      </c>
      <c r="R247">
        <v>1.6222285178647988E-5</v>
      </c>
    </row>
    <row r="248" spans="1:18">
      <c r="A248" t="s">
        <v>204</v>
      </c>
      <c r="B248">
        <v>2</v>
      </c>
      <c r="C248">
        <v>6</v>
      </c>
      <c r="D248">
        <v>5</v>
      </c>
      <c r="E248">
        <v>75</v>
      </c>
      <c r="F248">
        <v>12.5</v>
      </c>
      <c r="G248">
        <v>12</v>
      </c>
      <c r="H248" t="s">
        <v>199</v>
      </c>
      <c r="I248">
        <v>3.4834013451501278E-10</v>
      </c>
      <c r="J248">
        <v>21.777841715464874</v>
      </c>
      <c r="K248">
        <v>5.3590465398656306E-12</v>
      </c>
      <c r="L248">
        <v>25.952235041022561</v>
      </c>
      <c r="M248">
        <v>4.9099425016160998E-18</v>
      </c>
      <c r="N248">
        <v>39.855269442620113</v>
      </c>
      <c r="O248">
        <v>25.393327260895923</v>
      </c>
      <c r="P248">
        <v>9.371693862875783E-12</v>
      </c>
      <c r="Q248">
        <v>28.732841921342072</v>
      </c>
      <c r="R248">
        <v>3.3226554168126562E-13</v>
      </c>
    </row>
    <row r="249" spans="1:18">
      <c r="A249" t="s">
        <v>204</v>
      </c>
      <c r="B249">
        <v>2</v>
      </c>
      <c r="C249">
        <v>6</v>
      </c>
      <c r="D249">
        <v>5</v>
      </c>
      <c r="E249">
        <v>75</v>
      </c>
      <c r="F249">
        <v>12.5</v>
      </c>
      <c r="G249">
        <v>12</v>
      </c>
      <c r="H249" t="s">
        <v>200</v>
      </c>
    </row>
    <row r="250" spans="1:18">
      <c r="A250" t="s">
        <v>204</v>
      </c>
      <c r="B250">
        <v>2</v>
      </c>
      <c r="C250">
        <v>6</v>
      </c>
      <c r="D250">
        <v>5</v>
      </c>
      <c r="E250">
        <v>75</v>
      </c>
      <c r="F250">
        <v>12.5</v>
      </c>
      <c r="G250">
        <v>13</v>
      </c>
      <c r="H250" t="s">
        <v>197</v>
      </c>
      <c r="I250">
        <v>4.3542525141049282E-10</v>
      </c>
      <c r="J250">
        <v>21.554697972919829</v>
      </c>
      <c r="K250">
        <v>2.0734525207899424E-12</v>
      </c>
      <c r="L250">
        <v>26.901806013586274</v>
      </c>
      <c r="M250">
        <v>4.146906749724323E-12</v>
      </c>
      <c r="N250">
        <v>26.208658421118155</v>
      </c>
      <c r="O250">
        <v>22.485490062559496</v>
      </c>
      <c r="P250">
        <v>1.7166262248340935E-10</v>
      </c>
      <c r="Q250">
        <v>26.763176495092651</v>
      </c>
      <c r="R250">
        <v>2.3817716960100976E-12</v>
      </c>
    </row>
    <row r="251" spans="1:18">
      <c r="A251" t="s">
        <v>204</v>
      </c>
      <c r="B251">
        <v>2</v>
      </c>
      <c r="C251">
        <v>6</v>
      </c>
      <c r="D251">
        <v>5</v>
      </c>
      <c r="E251">
        <v>75</v>
      </c>
      <c r="F251">
        <v>12.5</v>
      </c>
      <c r="G251">
        <v>13</v>
      </c>
      <c r="H251" t="s">
        <v>198</v>
      </c>
      <c r="I251">
        <v>3.0326773326718737E-3</v>
      </c>
      <c r="J251">
        <v>5.7983094414701908</v>
      </c>
      <c r="K251">
        <v>1.4463158345967564E-5</v>
      </c>
      <c r="L251">
        <v>11.14390594558389</v>
      </c>
      <c r="M251">
        <v>2.8540867406157574E-11</v>
      </c>
      <c r="N251">
        <v>24.279684111694277</v>
      </c>
      <c r="O251">
        <v>9.4945843755150072</v>
      </c>
      <c r="P251">
        <v>7.5258298938816386E-5</v>
      </c>
      <c r="Q251">
        <v>13.771061578805968</v>
      </c>
      <c r="R251">
        <v>1.0454516355273161E-6</v>
      </c>
    </row>
    <row r="252" spans="1:18">
      <c r="A252" t="s">
        <v>204</v>
      </c>
      <c r="B252">
        <v>2</v>
      </c>
      <c r="C252">
        <v>6</v>
      </c>
      <c r="D252">
        <v>5</v>
      </c>
      <c r="E252">
        <v>75</v>
      </c>
      <c r="F252">
        <v>12.5</v>
      </c>
      <c r="G252">
        <v>13</v>
      </c>
      <c r="H252" t="s">
        <v>199</v>
      </c>
      <c r="I252">
        <v>1.2440715124739654E-11</v>
      </c>
      <c r="J252">
        <v>25.110046544358219</v>
      </c>
      <c r="K252">
        <v>5.9285909514983359E-14</v>
      </c>
      <c r="L252">
        <v>30.456404730716905</v>
      </c>
      <c r="M252">
        <v>1.1690339289562141E-19</v>
      </c>
      <c r="N252">
        <v>43.592939060903483</v>
      </c>
      <c r="O252">
        <v>28.806625047667275</v>
      </c>
      <c r="P252">
        <v>3.0863253041164989E-13</v>
      </c>
      <c r="Q252">
        <v>33.08371159675422</v>
      </c>
      <c r="R252">
        <v>4.2847611012271335E-15</v>
      </c>
    </row>
    <row r="253" spans="1:18">
      <c r="A253" t="s">
        <v>204</v>
      </c>
      <c r="B253">
        <v>2</v>
      </c>
      <c r="C253">
        <v>6</v>
      </c>
      <c r="D253">
        <v>5</v>
      </c>
      <c r="E253">
        <v>75</v>
      </c>
      <c r="F253">
        <v>12.5</v>
      </c>
      <c r="G253">
        <v>13</v>
      </c>
      <c r="H253" t="s">
        <v>200</v>
      </c>
    </row>
    <row r="254" spans="1:18">
      <c r="A254" t="s">
        <v>204</v>
      </c>
      <c r="B254">
        <v>2</v>
      </c>
      <c r="C254">
        <v>6</v>
      </c>
      <c r="D254">
        <v>5</v>
      </c>
      <c r="E254">
        <v>75</v>
      </c>
      <c r="F254">
        <v>12.5</v>
      </c>
      <c r="G254">
        <v>14</v>
      </c>
      <c r="H254" t="s">
        <v>197</v>
      </c>
      <c r="I254">
        <v>2.0066170947075079E-12</v>
      </c>
      <c r="J254">
        <v>26.934570849215202</v>
      </c>
      <c r="M254">
        <v>1.3377118547497815E-13</v>
      </c>
      <c r="N254">
        <v>29.642645625603301</v>
      </c>
      <c r="O254">
        <v>27.476185804492822</v>
      </c>
      <c r="P254">
        <v>1.1674656770258772E-12</v>
      </c>
    </row>
    <row r="255" spans="1:18">
      <c r="A255" t="s">
        <v>204</v>
      </c>
      <c r="B255">
        <v>2</v>
      </c>
      <c r="C255">
        <v>6</v>
      </c>
      <c r="D255">
        <v>5</v>
      </c>
      <c r="E255">
        <v>75</v>
      </c>
      <c r="F255">
        <v>12.5</v>
      </c>
      <c r="G255">
        <v>14</v>
      </c>
      <c r="H255" t="s">
        <v>198</v>
      </c>
      <c r="I255">
        <v>3.2653648364233678E-4</v>
      </c>
      <c r="J255">
        <v>8.0269688738599854</v>
      </c>
      <c r="M255">
        <v>3.0689104737803844E-12</v>
      </c>
      <c r="N255">
        <v>26.50969851185349</v>
      </c>
      <c r="O255">
        <v>11.723514801458684</v>
      </c>
      <c r="P255">
        <v>8.1010667983446648E-6</v>
      </c>
    </row>
    <row r="256" spans="1:18">
      <c r="A256" t="s">
        <v>204</v>
      </c>
      <c r="B256">
        <v>2</v>
      </c>
      <c r="C256">
        <v>6</v>
      </c>
      <c r="D256">
        <v>5</v>
      </c>
      <c r="E256">
        <v>75</v>
      </c>
      <c r="F256">
        <v>12.5</v>
      </c>
      <c r="G256">
        <v>14</v>
      </c>
      <c r="H256" t="s">
        <v>199</v>
      </c>
      <c r="I256">
        <v>2.6756374893466273E-13</v>
      </c>
      <c r="J256">
        <v>28.949418543192401</v>
      </c>
      <c r="M256">
        <v>2.5140514601208904E-21</v>
      </c>
      <c r="N256">
        <v>47.432391373496792</v>
      </c>
      <c r="O256">
        <v>32.646013109253282</v>
      </c>
      <c r="P256">
        <v>6.6376851827887385E-15</v>
      </c>
    </row>
    <row r="257" spans="1:16">
      <c r="A257" t="s">
        <v>204</v>
      </c>
      <c r="B257">
        <v>2</v>
      </c>
      <c r="C257">
        <v>6</v>
      </c>
      <c r="D257">
        <v>5</v>
      </c>
      <c r="E257">
        <v>75</v>
      </c>
      <c r="F257">
        <v>12.5</v>
      </c>
      <c r="G257">
        <v>14</v>
      </c>
      <c r="H257" t="s">
        <v>200</v>
      </c>
    </row>
    <row r="258" spans="1:16">
      <c r="A258" t="s">
        <v>204</v>
      </c>
      <c r="B258">
        <v>2</v>
      </c>
      <c r="C258">
        <v>6</v>
      </c>
      <c r="D258">
        <v>5</v>
      </c>
      <c r="E258">
        <v>75</v>
      </c>
      <c r="F258">
        <v>12.5</v>
      </c>
      <c r="G258">
        <v>15</v>
      </c>
      <c r="H258" t="s">
        <v>197</v>
      </c>
      <c r="I258">
        <v>2.2204460492503131E-15</v>
      </c>
      <c r="J258">
        <v>33.74106829612311</v>
      </c>
      <c r="M258">
        <v>2.1929702536881667E-15</v>
      </c>
      <c r="N258">
        <v>33.753519489776615</v>
      </c>
      <c r="O258">
        <v>33.743558534853811</v>
      </c>
      <c r="P258">
        <v>2.2149234876014103E-15</v>
      </c>
    </row>
    <row r="259" spans="1:16">
      <c r="A259" t="s">
        <v>204</v>
      </c>
      <c r="B259">
        <v>2</v>
      </c>
      <c r="C259">
        <v>6</v>
      </c>
      <c r="D259">
        <v>5</v>
      </c>
      <c r="E259">
        <v>75</v>
      </c>
      <c r="F259">
        <v>12.5</v>
      </c>
      <c r="G259">
        <v>15</v>
      </c>
      <c r="H259" t="s">
        <v>198</v>
      </c>
      <c r="I259">
        <v>1.3384738632105098E-5</v>
      </c>
      <c r="J259">
        <v>11.221395408107893</v>
      </c>
      <c r="M259">
        <v>2.515500388344577E-13</v>
      </c>
      <c r="N259">
        <v>29.0111344635927</v>
      </c>
      <c r="O259">
        <v>14.779343219204854</v>
      </c>
      <c r="P259">
        <v>3.8142819587516711E-7</v>
      </c>
    </row>
    <row r="260" spans="1:16">
      <c r="A260" t="s">
        <v>204</v>
      </c>
      <c r="B260">
        <v>2</v>
      </c>
      <c r="C260">
        <v>6</v>
      </c>
      <c r="D260">
        <v>5</v>
      </c>
      <c r="E260">
        <v>75</v>
      </c>
      <c r="F260">
        <v>12.5</v>
      </c>
      <c r="G260">
        <v>15</v>
      </c>
      <c r="H260" t="s">
        <v>199</v>
      </c>
      <c r="I260">
        <v>2.2204460492503131E-15</v>
      </c>
      <c r="J260">
        <v>33.74106829612311</v>
      </c>
      <c r="M260">
        <v>4.1213958362637547E-23</v>
      </c>
      <c r="N260">
        <v>51.543265237670106</v>
      </c>
      <c r="O260">
        <v>37.301507684432508</v>
      </c>
      <c r="P260">
        <v>6.3119136077592845E-17</v>
      </c>
    </row>
    <row r="261" spans="1:16">
      <c r="A261" t="s">
        <v>204</v>
      </c>
      <c r="B261">
        <v>2</v>
      </c>
      <c r="C261">
        <v>6</v>
      </c>
      <c r="D261">
        <v>5</v>
      </c>
      <c r="E261">
        <v>75</v>
      </c>
      <c r="F261">
        <v>12.5</v>
      </c>
      <c r="G261">
        <v>15</v>
      </c>
      <c r="H26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Inputs</vt:lpstr>
      <vt:lpstr>Raw_Model</vt:lpstr>
      <vt:lpstr>Marginal_Model</vt:lpstr>
      <vt:lpstr>Combined_Model</vt:lpstr>
      <vt:lpstr>ReadMe</vt:lpstr>
      <vt:lpstr>Final_Tables</vt:lpstr>
      <vt:lpstr>Fixed_Opportunity</vt:lpstr>
      <vt:lpstr>Combined_Fixed_Model</vt:lpstr>
      <vt:lpstr>Final_Fixed_Tables</vt:lpstr>
      <vt:lpstr>PC_Model</vt:lpstr>
      <vt:lpstr>Fixed_vs_CountAvg</vt:lpstr>
      <vt:lpstr>Prob_Fixed_vs_Avg</vt:lpstr>
      <vt:lpstr>Computed_Difficulty</vt:lpstr>
      <vt:lpstr>Computed_Probability</vt:lpstr>
      <vt:lpstr>Computed_PC_Detail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Jennings</cp:lastModifiedBy>
  <dcterms:modified xsi:type="dcterms:W3CDTF">2026-07-08T15:38:03Z</dcterms:modified>
</cp:coreProperties>
</file>