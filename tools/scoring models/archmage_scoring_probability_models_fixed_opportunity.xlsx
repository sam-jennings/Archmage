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agmaticplay-my.sharepoint.com/personal/sam_jennings_arrise_com/Documents/Documents/Archmage Ascension/tools/"/>
    </mc:Choice>
  </mc:AlternateContent>
  <xr:revisionPtr revIDLastSave="1" documentId="11_351482D1EEC4DE5796E6D7B2265D7A293D266DC6" xr6:coauthVersionLast="47" xr6:coauthVersionMax="47" xr10:uidLastSave="{091FA800-0D28-4E49-99A8-56E482FC4853}"/>
  <bookViews>
    <workbookView xWindow="-28920" yWindow="-60" windowWidth="29040" windowHeight="15720" tabRatio="767" activeTab="8" xr2:uid="{00000000-000D-0000-FFFF-FFFF00000000}"/>
  </bookViews>
  <sheets>
    <sheet name="Inputs" sheetId="1" r:id="rId1"/>
    <sheet name="Raw_Model" sheetId="2" r:id="rId2"/>
    <sheet name="Marginal_Model" sheetId="3" r:id="rId3"/>
    <sheet name="Combined_Model" sheetId="4" r:id="rId4"/>
    <sheet name="ReadMe" sheetId="5" r:id="rId5"/>
    <sheet name="Final_Tables" sheetId="6" r:id="rId6"/>
    <sheet name="Fixed_Opportunity" sheetId="7" r:id="rId7"/>
    <sheet name="Combined_Fixed_Model" sheetId="8" r:id="rId8"/>
    <sheet name="Final_Fixed_Tabl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0" i="9" l="1"/>
  <c r="I70" i="9"/>
  <c r="E70" i="9"/>
  <c r="M69" i="9"/>
  <c r="I69" i="9"/>
  <c r="E69" i="9"/>
  <c r="M68" i="9"/>
  <c r="I68" i="9"/>
  <c r="E68" i="9"/>
  <c r="M67" i="9"/>
  <c r="I67" i="9"/>
  <c r="E67" i="9"/>
  <c r="M66" i="9"/>
  <c r="I66" i="9"/>
  <c r="E66" i="9"/>
  <c r="M65" i="9"/>
  <c r="I65" i="9"/>
  <c r="E65" i="9"/>
  <c r="M64" i="9"/>
  <c r="I64" i="9"/>
  <c r="E64" i="9"/>
  <c r="M63" i="9"/>
  <c r="I63" i="9"/>
  <c r="E63" i="9"/>
  <c r="M62" i="9"/>
  <c r="I62" i="9"/>
  <c r="E62" i="9"/>
  <c r="M61" i="9"/>
  <c r="I61" i="9"/>
  <c r="E61" i="9"/>
  <c r="M53" i="9"/>
  <c r="I53" i="9"/>
  <c r="E53" i="9"/>
  <c r="M52" i="9"/>
  <c r="I52" i="9"/>
  <c r="E52" i="9"/>
  <c r="M51" i="9"/>
  <c r="I51" i="9"/>
  <c r="E51" i="9"/>
  <c r="M50" i="9"/>
  <c r="I50" i="9"/>
  <c r="E50" i="9"/>
  <c r="M49" i="9"/>
  <c r="I49" i="9"/>
  <c r="E49" i="9"/>
  <c r="M48" i="9"/>
  <c r="I48" i="9"/>
  <c r="E48" i="9"/>
  <c r="M47" i="9"/>
  <c r="I47" i="9"/>
  <c r="E47" i="9"/>
  <c r="M46" i="9"/>
  <c r="I46" i="9"/>
  <c r="E46" i="9"/>
  <c r="M45" i="9"/>
  <c r="I45" i="9"/>
  <c r="E45" i="9"/>
  <c r="M44" i="9"/>
  <c r="I44" i="9"/>
  <c r="E44" i="9"/>
  <c r="M35" i="9"/>
  <c r="I35" i="9"/>
  <c r="E35" i="9"/>
  <c r="M34" i="9"/>
  <c r="I34" i="9"/>
  <c r="E34" i="9"/>
  <c r="M33" i="9"/>
  <c r="I33" i="9"/>
  <c r="E33" i="9"/>
  <c r="M32" i="9"/>
  <c r="I32" i="9"/>
  <c r="E32" i="9"/>
  <c r="M31" i="9"/>
  <c r="I31" i="9"/>
  <c r="E31" i="9"/>
  <c r="M30" i="9"/>
  <c r="I30" i="9"/>
  <c r="E30" i="9"/>
  <c r="M29" i="9"/>
  <c r="I29" i="9"/>
  <c r="E29" i="9"/>
  <c r="M28" i="9"/>
  <c r="I28" i="9"/>
  <c r="E28" i="9"/>
  <c r="M27" i="9"/>
  <c r="I27" i="9"/>
  <c r="E27" i="9"/>
  <c r="M26" i="9"/>
  <c r="I26" i="9"/>
  <c r="E26" i="9"/>
  <c r="M25" i="9"/>
  <c r="I25" i="9"/>
  <c r="E25" i="9"/>
  <c r="M18" i="9"/>
  <c r="I18" i="9"/>
  <c r="E18" i="9"/>
  <c r="M17" i="9"/>
  <c r="I17" i="9"/>
  <c r="E17" i="9"/>
  <c r="M16" i="9"/>
  <c r="I16" i="9"/>
  <c r="E16" i="9"/>
  <c r="M15" i="9"/>
  <c r="I15" i="9"/>
  <c r="E15" i="9"/>
  <c r="M14" i="9"/>
  <c r="I14" i="9"/>
  <c r="E14" i="9"/>
  <c r="M13" i="9"/>
  <c r="I13" i="9"/>
  <c r="E13" i="9"/>
  <c r="M12" i="9"/>
  <c r="I12" i="9"/>
  <c r="E12" i="9"/>
  <c r="M11" i="9"/>
  <c r="I11" i="9"/>
  <c r="E11" i="9"/>
  <c r="M10" i="9"/>
  <c r="I10" i="9"/>
  <c r="E10" i="9"/>
  <c r="M9" i="9"/>
  <c r="I9" i="9"/>
  <c r="E9" i="9"/>
  <c r="M8" i="9"/>
  <c r="I8" i="9"/>
  <c r="E8" i="9"/>
  <c r="D27" i="8"/>
  <c r="A27" i="8"/>
  <c r="D26" i="8"/>
  <c r="B26" i="8"/>
  <c r="T26" i="8" s="1"/>
  <c r="A26" i="8"/>
  <c r="D25" i="8"/>
  <c r="A25" i="8"/>
  <c r="D24" i="8"/>
  <c r="A24" i="8"/>
  <c r="D23" i="8"/>
  <c r="A23" i="8"/>
  <c r="D22" i="8"/>
  <c r="C22" i="8"/>
  <c r="B22" i="8"/>
  <c r="A22" i="8"/>
  <c r="D21" i="8"/>
  <c r="A21" i="8"/>
  <c r="D20" i="8"/>
  <c r="A20" i="8"/>
  <c r="D19" i="8"/>
  <c r="A19" i="8"/>
  <c r="D18" i="8"/>
  <c r="A18" i="8"/>
  <c r="D17" i="8"/>
  <c r="A17" i="8"/>
  <c r="D16" i="8"/>
  <c r="A16" i="8"/>
  <c r="D15" i="8"/>
  <c r="B15" i="8"/>
  <c r="A15" i="8"/>
  <c r="T14" i="8"/>
  <c r="H14" i="8"/>
  <c r="D14" i="8"/>
  <c r="B14" i="8"/>
  <c r="A14" i="8"/>
  <c r="D13" i="8"/>
  <c r="A13" i="8"/>
  <c r="D12" i="8"/>
  <c r="A12" i="8"/>
  <c r="D11" i="8"/>
  <c r="C11" i="8"/>
  <c r="A11" i="8"/>
  <c r="D10" i="8"/>
  <c r="A10" i="8"/>
  <c r="D9" i="8"/>
  <c r="A9" i="8"/>
  <c r="D8" i="8"/>
  <c r="A8" i="8"/>
  <c r="D7" i="8"/>
  <c r="C7" i="8"/>
  <c r="A7" i="8"/>
  <c r="L6" i="8"/>
  <c r="D6" i="8"/>
  <c r="B6" i="8"/>
  <c r="A6" i="8"/>
  <c r="D5" i="8"/>
  <c r="A5" i="8"/>
  <c r="D4" i="8"/>
  <c r="B4" i="8"/>
  <c r="A4" i="8"/>
  <c r="D3" i="8"/>
  <c r="A3" i="8"/>
  <c r="D2" i="8"/>
  <c r="A2" i="8"/>
  <c r="C27" i="7"/>
  <c r="B27" i="7"/>
  <c r="I26" i="7"/>
  <c r="M26" i="7" s="1"/>
  <c r="H26" i="7"/>
  <c r="G26" i="7"/>
  <c r="F26" i="7"/>
  <c r="E26" i="7"/>
  <c r="C26" i="7"/>
  <c r="B26" i="7"/>
  <c r="C25" i="7"/>
  <c r="B25" i="7"/>
  <c r="C24" i="7"/>
  <c r="B24" i="7"/>
  <c r="U23" i="7"/>
  <c r="Q23" i="7"/>
  <c r="M23" i="7"/>
  <c r="H23" i="7"/>
  <c r="G23" i="7"/>
  <c r="C23" i="7"/>
  <c r="B23" i="7"/>
  <c r="I23" i="7" s="1"/>
  <c r="Q22" i="7"/>
  <c r="I22" i="7"/>
  <c r="M22" i="7" s="1"/>
  <c r="E22" i="7"/>
  <c r="C22" i="7"/>
  <c r="B22" i="7"/>
  <c r="H22" i="7" s="1"/>
  <c r="L22" i="7" s="1"/>
  <c r="P22" i="7" s="1"/>
  <c r="T22" i="7" s="1"/>
  <c r="Q21" i="7"/>
  <c r="M21" i="7"/>
  <c r="I21" i="7"/>
  <c r="H21" i="7"/>
  <c r="G21" i="7"/>
  <c r="F21" i="7"/>
  <c r="C21" i="7"/>
  <c r="C21" i="8" s="1"/>
  <c r="B21" i="7"/>
  <c r="B21" i="8" s="1"/>
  <c r="H20" i="7"/>
  <c r="F20" i="7"/>
  <c r="C20" i="7"/>
  <c r="B20" i="7"/>
  <c r="I20" i="7" s="1"/>
  <c r="M20" i="7" s="1"/>
  <c r="I19" i="7"/>
  <c r="M19" i="7" s="1"/>
  <c r="H19" i="7"/>
  <c r="C19" i="7"/>
  <c r="U19" i="7" s="1"/>
  <c r="B19" i="7"/>
  <c r="F18" i="7"/>
  <c r="C18" i="7"/>
  <c r="B18" i="7"/>
  <c r="E17" i="7"/>
  <c r="C17" i="7"/>
  <c r="B17" i="7"/>
  <c r="U16" i="7"/>
  <c r="T16" i="7"/>
  <c r="M16" i="7"/>
  <c r="Q16" i="7" s="1"/>
  <c r="I16" i="7"/>
  <c r="H16" i="7"/>
  <c r="G16" i="7"/>
  <c r="E16" i="7"/>
  <c r="C16" i="7"/>
  <c r="L16" i="7" s="1"/>
  <c r="P16" i="7" s="1"/>
  <c r="B16" i="7"/>
  <c r="B16" i="8" s="1"/>
  <c r="P15" i="7"/>
  <c r="T15" i="7" s="1"/>
  <c r="M15" i="7"/>
  <c r="Q15" i="7" s="1"/>
  <c r="U15" i="7" s="1"/>
  <c r="L15" i="7"/>
  <c r="K15" i="7"/>
  <c r="O15" i="7" s="1"/>
  <c r="S15" i="7" s="1"/>
  <c r="J15" i="7"/>
  <c r="N15" i="7" s="1"/>
  <c r="R15" i="7" s="1"/>
  <c r="I15" i="7"/>
  <c r="H15" i="7"/>
  <c r="G15" i="7"/>
  <c r="F15" i="7"/>
  <c r="E15" i="7"/>
  <c r="C15" i="7"/>
  <c r="C15" i="8" s="1"/>
  <c r="B15" i="7"/>
  <c r="Q14" i="7"/>
  <c r="M14" i="7"/>
  <c r="I14" i="7"/>
  <c r="H14" i="7"/>
  <c r="G14" i="7"/>
  <c r="C14" i="7"/>
  <c r="C14" i="8" s="1"/>
  <c r="B14" i="7"/>
  <c r="F14" i="7" s="1"/>
  <c r="N13" i="7"/>
  <c r="M13" i="7"/>
  <c r="J13" i="7"/>
  <c r="I13" i="7"/>
  <c r="G13" i="7"/>
  <c r="K13" i="7" s="1"/>
  <c r="O13" i="7" s="1"/>
  <c r="F13" i="7"/>
  <c r="E13" i="7"/>
  <c r="C13" i="7"/>
  <c r="B13" i="7"/>
  <c r="H13" i="7" s="1"/>
  <c r="C12" i="7"/>
  <c r="B12" i="7"/>
  <c r="U11" i="7"/>
  <c r="I11" i="7"/>
  <c r="M11" i="7" s="1"/>
  <c r="H11" i="7"/>
  <c r="C11" i="7"/>
  <c r="B11" i="7"/>
  <c r="B11" i="8" s="1"/>
  <c r="Q10" i="7"/>
  <c r="F10" i="7"/>
  <c r="C10" i="7"/>
  <c r="B10" i="7"/>
  <c r="C9" i="7"/>
  <c r="C9" i="8" s="1"/>
  <c r="B9" i="7"/>
  <c r="U8" i="7"/>
  <c r="Q8" i="7"/>
  <c r="C8" i="7"/>
  <c r="C8" i="8" s="1"/>
  <c r="B8" i="7"/>
  <c r="I8" i="7" s="1"/>
  <c r="M8" i="7" s="1"/>
  <c r="Q7" i="7"/>
  <c r="I7" i="7"/>
  <c r="M7" i="7" s="1"/>
  <c r="H7" i="7"/>
  <c r="G7" i="7"/>
  <c r="C7" i="7"/>
  <c r="B7" i="7"/>
  <c r="B7" i="8" s="1"/>
  <c r="M6" i="7"/>
  <c r="I6" i="7"/>
  <c r="H6" i="7"/>
  <c r="G6" i="7"/>
  <c r="F6" i="7"/>
  <c r="E6" i="7"/>
  <c r="C6" i="7"/>
  <c r="C6" i="8" s="1"/>
  <c r="B6" i="7"/>
  <c r="C5" i="7"/>
  <c r="B5" i="7"/>
  <c r="B5" i="8" s="1"/>
  <c r="T5" i="8" s="1"/>
  <c r="C4" i="7"/>
  <c r="B4" i="7"/>
  <c r="F4" i="7" s="1"/>
  <c r="E3" i="7"/>
  <c r="C3" i="7"/>
  <c r="B3" i="7"/>
  <c r="G2" i="7"/>
  <c r="C2" i="7"/>
  <c r="B2" i="7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B27" i="4"/>
  <c r="B26" i="4"/>
  <c r="P25" i="4"/>
  <c r="R25" i="4" s="1"/>
  <c r="S25" i="4" s="1"/>
  <c r="B25" i="4"/>
  <c r="B24" i="4"/>
  <c r="B23" i="4"/>
  <c r="B22" i="4"/>
  <c r="B21" i="4"/>
  <c r="B20" i="4"/>
  <c r="B19" i="4"/>
  <c r="B18" i="4"/>
  <c r="B17" i="4"/>
  <c r="B16" i="4"/>
  <c r="B15" i="4"/>
  <c r="B14" i="4"/>
  <c r="Q13" i="4"/>
  <c r="B13" i="4"/>
  <c r="B12" i="4"/>
  <c r="B11" i="4"/>
  <c r="B10" i="4"/>
  <c r="B9" i="4"/>
  <c r="B8" i="4"/>
  <c r="B7" i="4"/>
  <c r="B6" i="4"/>
  <c r="B5" i="4"/>
  <c r="B4" i="4"/>
  <c r="B3" i="4"/>
  <c r="B2" i="4"/>
  <c r="E27" i="3"/>
  <c r="D27" i="3"/>
  <c r="H27" i="3" s="1"/>
  <c r="B27" i="3"/>
  <c r="I27" i="3" s="1"/>
  <c r="M27" i="3" s="1"/>
  <c r="E26" i="3"/>
  <c r="B26" i="3"/>
  <c r="D26" i="3" s="1"/>
  <c r="E25" i="3"/>
  <c r="B25" i="3"/>
  <c r="D25" i="3" s="1"/>
  <c r="E24" i="3"/>
  <c r="B24" i="3"/>
  <c r="E23" i="3"/>
  <c r="D23" i="3"/>
  <c r="H23" i="3" s="1"/>
  <c r="B23" i="3"/>
  <c r="E22" i="3"/>
  <c r="B22" i="3"/>
  <c r="E21" i="3"/>
  <c r="D21" i="3"/>
  <c r="H21" i="3" s="1"/>
  <c r="B21" i="3"/>
  <c r="I21" i="3" s="1"/>
  <c r="M21" i="3" s="1"/>
  <c r="E20" i="3"/>
  <c r="B20" i="3"/>
  <c r="I19" i="3"/>
  <c r="M19" i="3" s="1"/>
  <c r="E19" i="3"/>
  <c r="D19" i="3"/>
  <c r="B19" i="3"/>
  <c r="I18" i="3"/>
  <c r="M18" i="3" s="1"/>
  <c r="E18" i="3"/>
  <c r="B18" i="3"/>
  <c r="D18" i="3" s="1"/>
  <c r="F18" i="3" s="1"/>
  <c r="E17" i="3"/>
  <c r="B17" i="3"/>
  <c r="D17" i="3" s="1"/>
  <c r="E16" i="3"/>
  <c r="B16" i="3"/>
  <c r="I15" i="3"/>
  <c r="H15" i="3"/>
  <c r="G15" i="3"/>
  <c r="F15" i="3"/>
  <c r="E15" i="3"/>
  <c r="B15" i="3"/>
  <c r="M14" i="3"/>
  <c r="I14" i="3"/>
  <c r="E14" i="3"/>
  <c r="B14" i="3"/>
  <c r="M13" i="3"/>
  <c r="Q13" i="3" s="1"/>
  <c r="I13" i="3"/>
  <c r="E13" i="3"/>
  <c r="D13" i="3"/>
  <c r="H13" i="3" s="1"/>
  <c r="B13" i="3"/>
  <c r="M12" i="3"/>
  <c r="I12" i="3"/>
  <c r="F12" i="3"/>
  <c r="E12" i="3"/>
  <c r="D12" i="3"/>
  <c r="H12" i="3" s="1"/>
  <c r="B12" i="3"/>
  <c r="E11" i="3"/>
  <c r="B11" i="3"/>
  <c r="E10" i="3"/>
  <c r="B10" i="3"/>
  <c r="I9" i="3"/>
  <c r="M9" i="3" s="1"/>
  <c r="H9" i="3"/>
  <c r="G9" i="3"/>
  <c r="F9" i="3"/>
  <c r="E9" i="3"/>
  <c r="B9" i="3"/>
  <c r="D9" i="3" s="1"/>
  <c r="E8" i="3"/>
  <c r="D8" i="3"/>
  <c r="H8" i="3" s="1"/>
  <c r="B8" i="3"/>
  <c r="I8" i="3" s="1"/>
  <c r="M8" i="3" s="1"/>
  <c r="I7" i="3"/>
  <c r="M7" i="3" s="1"/>
  <c r="H7" i="3"/>
  <c r="F7" i="3"/>
  <c r="E7" i="3"/>
  <c r="D7" i="3"/>
  <c r="B7" i="3"/>
  <c r="G7" i="3" s="1"/>
  <c r="E6" i="3"/>
  <c r="B6" i="3"/>
  <c r="I6" i="3" s="1"/>
  <c r="M6" i="3" s="1"/>
  <c r="E5" i="3"/>
  <c r="D5" i="3"/>
  <c r="H5" i="3" s="1"/>
  <c r="B5" i="3"/>
  <c r="I5" i="3" s="1"/>
  <c r="M5" i="3" s="1"/>
  <c r="E4" i="3"/>
  <c r="B4" i="3"/>
  <c r="D4" i="3" s="1"/>
  <c r="E3" i="3"/>
  <c r="D3" i="3"/>
  <c r="F3" i="3" s="1"/>
  <c r="B3" i="3"/>
  <c r="I3" i="3" s="1"/>
  <c r="I2" i="3"/>
  <c r="H2" i="3"/>
  <c r="G2" i="3"/>
  <c r="F2" i="3"/>
  <c r="E2" i="3"/>
  <c r="B2" i="3"/>
  <c r="D2" i="3" s="1"/>
  <c r="B27" i="2"/>
  <c r="D27" i="2" s="1"/>
  <c r="E27" i="2" s="1"/>
  <c r="B26" i="2"/>
  <c r="F26" i="2" s="1"/>
  <c r="M25" i="2"/>
  <c r="Q25" i="2" s="1"/>
  <c r="L25" i="2"/>
  <c r="J25" i="2"/>
  <c r="H25" i="2"/>
  <c r="F25" i="2"/>
  <c r="G25" i="2" s="1"/>
  <c r="D25" i="2"/>
  <c r="E25" i="2" s="1"/>
  <c r="B25" i="2"/>
  <c r="B24" i="2"/>
  <c r="J24" i="2" s="1"/>
  <c r="F23" i="2"/>
  <c r="B23" i="2"/>
  <c r="L23" i="2" s="1"/>
  <c r="M23" i="2" s="1"/>
  <c r="M22" i="2"/>
  <c r="P22" i="4" s="1"/>
  <c r="R22" i="4" s="1"/>
  <c r="S22" i="4" s="1"/>
  <c r="L22" i="2"/>
  <c r="J22" i="2"/>
  <c r="K22" i="2" s="1"/>
  <c r="H22" i="2"/>
  <c r="I22" i="2" s="1"/>
  <c r="F22" i="2"/>
  <c r="G22" i="2" s="1"/>
  <c r="D22" i="2"/>
  <c r="E22" i="2" s="1"/>
  <c r="B22" i="2"/>
  <c r="B21" i="2"/>
  <c r="J21" i="2" s="1"/>
  <c r="B20" i="2"/>
  <c r="L20" i="2" s="1"/>
  <c r="M20" i="2" s="1"/>
  <c r="L19" i="2"/>
  <c r="M19" i="2" s="1"/>
  <c r="J19" i="2"/>
  <c r="H19" i="2"/>
  <c r="B19" i="2"/>
  <c r="F19" i="2" s="1"/>
  <c r="B18" i="2"/>
  <c r="D17" i="2"/>
  <c r="E17" i="2" s="1"/>
  <c r="B17" i="2"/>
  <c r="H17" i="2" s="1"/>
  <c r="I17" i="2" s="1"/>
  <c r="O17" i="2" s="1"/>
  <c r="L16" i="2"/>
  <c r="J16" i="2"/>
  <c r="H16" i="2"/>
  <c r="B16" i="2"/>
  <c r="F16" i="2" s="1"/>
  <c r="B15" i="2"/>
  <c r="B14" i="2"/>
  <c r="H14" i="2" s="1"/>
  <c r="L13" i="2"/>
  <c r="M13" i="2" s="1"/>
  <c r="J13" i="2"/>
  <c r="K13" i="2" s="1"/>
  <c r="D13" i="2"/>
  <c r="E13" i="2" s="1"/>
  <c r="B13" i="2"/>
  <c r="H13" i="2" s="1"/>
  <c r="I13" i="2" s="1"/>
  <c r="B12" i="2"/>
  <c r="B11" i="2"/>
  <c r="J11" i="2" s="1"/>
  <c r="L10" i="2"/>
  <c r="M10" i="2" s="1"/>
  <c r="J10" i="2"/>
  <c r="B10" i="2"/>
  <c r="H10" i="2" s="1"/>
  <c r="B9" i="2"/>
  <c r="B8" i="2"/>
  <c r="D8" i="2" s="1"/>
  <c r="E8" i="2" s="1"/>
  <c r="L7" i="2"/>
  <c r="M7" i="2" s="1"/>
  <c r="B7" i="2"/>
  <c r="J7" i="2" s="1"/>
  <c r="L6" i="2"/>
  <c r="M6" i="2" s="1"/>
  <c r="J6" i="2"/>
  <c r="H6" i="2"/>
  <c r="F6" i="2"/>
  <c r="E6" i="2"/>
  <c r="K6" i="2" s="1"/>
  <c r="D6" i="2"/>
  <c r="B6" i="2"/>
  <c r="D5" i="2"/>
  <c r="E5" i="2" s="1"/>
  <c r="B5" i="2"/>
  <c r="L5" i="2" s="1"/>
  <c r="M5" i="2" s="1"/>
  <c r="M4" i="2"/>
  <c r="L4" i="2"/>
  <c r="D4" i="2"/>
  <c r="E4" i="2" s="1"/>
  <c r="B4" i="2"/>
  <c r="J4" i="2" s="1"/>
  <c r="L3" i="2"/>
  <c r="J3" i="2"/>
  <c r="H3" i="2"/>
  <c r="F3" i="2"/>
  <c r="B3" i="2"/>
  <c r="D3" i="2" s="1"/>
  <c r="E3" i="2" s="1"/>
  <c r="B2" i="2"/>
  <c r="L2" i="2" s="1"/>
  <c r="B8" i="1"/>
  <c r="P10" i="4" l="1"/>
  <c r="R10" i="4" s="1"/>
  <c r="S10" i="4" s="1"/>
  <c r="Q10" i="2"/>
  <c r="G3" i="2"/>
  <c r="H13" i="4"/>
  <c r="C17" i="6"/>
  <c r="O13" i="2"/>
  <c r="P7" i="4"/>
  <c r="R7" i="4" s="1"/>
  <c r="S7" i="4" s="1"/>
  <c r="Q7" i="2"/>
  <c r="P23" i="4"/>
  <c r="R23" i="4" s="1"/>
  <c r="S23" i="4" s="1"/>
  <c r="Q23" i="2"/>
  <c r="I19" i="2"/>
  <c r="D17" i="6"/>
  <c r="L13" i="4"/>
  <c r="P13" i="2"/>
  <c r="C60" i="6"/>
  <c r="G19" i="2"/>
  <c r="H4" i="3"/>
  <c r="F4" i="3"/>
  <c r="B48" i="6"/>
  <c r="D22" i="4"/>
  <c r="N22" i="2"/>
  <c r="D25" i="4"/>
  <c r="N25" i="2"/>
  <c r="B51" i="6"/>
  <c r="Q7" i="4"/>
  <c r="Q7" i="3"/>
  <c r="U24" i="7"/>
  <c r="Q24" i="7"/>
  <c r="C24" i="8"/>
  <c r="N24" i="7"/>
  <c r="E24" i="8" s="1"/>
  <c r="B50" i="9" s="1"/>
  <c r="J24" i="7"/>
  <c r="B24" i="8"/>
  <c r="L24" i="8" s="1"/>
  <c r="I24" i="7"/>
  <c r="M24" i="7" s="1"/>
  <c r="H24" i="7"/>
  <c r="L24" i="7" s="1"/>
  <c r="P24" i="7" s="1"/>
  <c r="T24" i="7" s="1"/>
  <c r="O24" i="8" s="1"/>
  <c r="G24" i="7"/>
  <c r="K24" i="7" s="1"/>
  <c r="O24" i="7" s="1"/>
  <c r="F24" i="7"/>
  <c r="E24" i="7"/>
  <c r="K2" i="3"/>
  <c r="L2" i="3"/>
  <c r="M2" i="3"/>
  <c r="G23" i="2"/>
  <c r="H18" i="2"/>
  <c r="D18" i="2"/>
  <c r="E18" i="2" s="1"/>
  <c r="L18" i="2"/>
  <c r="M18" i="2" s="1"/>
  <c r="J18" i="2"/>
  <c r="F18" i="2"/>
  <c r="G18" i="2" s="1"/>
  <c r="G6" i="2"/>
  <c r="M2" i="2"/>
  <c r="G24" i="3"/>
  <c r="F17" i="3"/>
  <c r="H17" i="3"/>
  <c r="I6" i="2"/>
  <c r="P6" i="4"/>
  <c r="R6" i="4" s="1"/>
  <c r="S6" i="4" s="1"/>
  <c r="Q6" i="2"/>
  <c r="H18" i="3"/>
  <c r="Q4" i="2"/>
  <c r="P4" i="4"/>
  <c r="R4" i="4" s="1"/>
  <c r="S4" i="4" s="1"/>
  <c r="J12" i="2"/>
  <c r="F12" i="2"/>
  <c r="L12" i="2"/>
  <c r="M12" i="2" s="1"/>
  <c r="H12" i="2"/>
  <c r="Q8" i="3"/>
  <c r="Q8" i="4"/>
  <c r="P20" i="4"/>
  <c r="R20" i="4" s="1"/>
  <c r="S20" i="4" s="1"/>
  <c r="Q20" i="2"/>
  <c r="G22" i="3"/>
  <c r="I22" i="3"/>
  <c r="M22" i="3" s="1"/>
  <c r="D12" i="2"/>
  <c r="E12" i="2" s="1"/>
  <c r="M3" i="3"/>
  <c r="I14" i="2"/>
  <c r="I25" i="2"/>
  <c r="M16" i="2"/>
  <c r="L22" i="4"/>
  <c r="D48" i="6"/>
  <c r="P22" i="2"/>
  <c r="J2" i="3"/>
  <c r="P19" i="4"/>
  <c r="R19" i="4" s="1"/>
  <c r="S19" i="4" s="1"/>
  <c r="Q19" i="2"/>
  <c r="K25" i="2"/>
  <c r="Q5" i="4"/>
  <c r="Q5" i="3"/>
  <c r="Q9" i="4"/>
  <c r="Q9" i="3"/>
  <c r="C48" i="6"/>
  <c r="H22" i="4"/>
  <c r="O22" i="2"/>
  <c r="Q18" i="4"/>
  <c r="Q18" i="3"/>
  <c r="Q5" i="2"/>
  <c r="P5" i="4"/>
  <c r="R5" i="4" s="1"/>
  <c r="S5" i="4" s="1"/>
  <c r="I4" i="3"/>
  <c r="M4" i="3" s="1"/>
  <c r="G4" i="3"/>
  <c r="P13" i="4"/>
  <c r="R13" i="4" s="1"/>
  <c r="S13" i="4" s="1"/>
  <c r="Q13" i="2"/>
  <c r="F9" i="2"/>
  <c r="G9" i="2" s="1"/>
  <c r="J9" i="2"/>
  <c r="K9" i="2" s="1"/>
  <c r="H9" i="2"/>
  <c r="L9" i="2"/>
  <c r="M9" i="2" s="1"/>
  <c r="L15" i="2"/>
  <c r="D15" i="2"/>
  <c r="E15" i="2" s="1"/>
  <c r="F15" i="2"/>
  <c r="G15" i="2" s="1"/>
  <c r="H15" i="2"/>
  <c r="I15" i="2" s="1"/>
  <c r="J15" i="2"/>
  <c r="K15" i="2" s="1"/>
  <c r="Q14" i="3"/>
  <c r="Q14" i="4"/>
  <c r="Q19" i="4"/>
  <c r="Q19" i="3"/>
  <c r="M3" i="2"/>
  <c r="D9" i="2"/>
  <c r="E9" i="2" s="1"/>
  <c r="G26" i="2"/>
  <c r="G20" i="3"/>
  <c r="I20" i="3"/>
  <c r="M20" i="3" s="1"/>
  <c r="C43" i="6"/>
  <c r="H17" i="4"/>
  <c r="K11" i="2"/>
  <c r="K3" i="2"/>
  <c r="K4" i="2"/>
  <c r="I11" i="3"/>
  <c r="M11" i="3" s="1"/>
  <c r="G11" i="3"/>
  <c r="D20" i="3"/>
  <c r="D22" i="3"/>
  <c r="L6" i="4"/>
  <c r="D10" i="6"/>
  <c r="P6" i="2"/>
  <c r="G18" i="3"/>
  <c r="I3" i="2"/>
  <c r="I10" i="2"/>
  <c r="D11" i="3"/>
  <c r="Q27" i="4"/>
  <c r="Q27" i="3"/>
  <c r="Q12" i="3"/>
  <c r="Q12" i="4"/>
  <c r="K16" i="2"/>
  <c r="Q6" i="4"/>
  <c r="Q6" i="3"/>
  <c r="Q21" i="4"/>
  <c r="Q21" i="3"/>
  <c r="B25" i="8"/>
  <c r="T25" i="8" s="1"/>
  <c r="I25" i="7"/>
  <c r="M25" i="7" s="1"/>
  <c r="H25" i="7"/>
  <c r="G25" i="7"/>
  <c r="F25" i="7"/>
  <c r="E25" i="7"/>
  <c r="D2" i="2"/>
  <c r="E2" i="2" s="1"/>
  <c r="D24" i="2"/>
  <c r="E24" i="2" s="1"/>
  <c r="K24" i="2" s="1"/>
  <c r="D6" i="3"/>
  <c r="D15" i="3"/>
  <c r="K15" i="3" s="1"/>
  <c r="I17" i="7"/>
  <c r="M17" i="7" s="1"/>
  <c r="H17" i="7"/>
  <c r="L17" i="7" s="1"/>
  <c r="P17" i="7" s="1"/>
  <c r="G17" i="7"/>
  <c r="K17" i="7" s="1"/>
  <c r="O17" i="7" s="1"/>
  <c r="S17" i="7" s="1"/>
  <c r="F17" i="7"/>
  <c r="J17" i="7" s="1"/>
  <c r="N17" i="7" s="1"/>
  <c r="R17" i="7" s="1"/>
  <c r="C17" i="8"/>
  <c r="Q17" i="7"/>
  <c r="U17" i="7" s="1"/>
  <c r="F5" i="2"/>
  <c r="G5" i="2" s="1"/>
  <c r="D11" i="2"/>
  <c r="E11" i="2" s="1"/>
  <c r="H21" i="2"/>
  <c r="H27" i="2"/>
  <c r="I27" i="2" s="1"/>
  <c r="G6" i="3"/>
  <c r="I24" i="3"/>
  <c r="M24" i="3" s="1"/>
  <c r="U12" i="7"/>
  <c r="C12" i="8"/>
  <c r="Q12" i="7"/>
  <c r="I4" i="7"/>
  <c r="M4" i="7" s="1"/>
  <c r="H4" i="7"/>
  <c r="I17" i="3"/>
  <c r="G17" i="3"/>
  <c r="H2" i="2"/>
  <c r="F8" i="2"/>
  <c r="G8" i="2" s="1"/>
  <c r="D14" i="2"/>
  <c r="E14" i="2" s="1"/>
  <c r="H24" i="2"/>
  <c r="I24" i="2" s="1"/>
  <c r="J27" i="2"/>
  <c r="K27" i="2" s="1"/>
  <c r="H19" i="3"/>
  <c r="F19" i="3"/>
  <c r="AB4" i="8"/>
  <c r="D21" i="2"/>
  <c r="E21" i="2" s="1"/>
  <c r="K21" i="2" s="1"/>
  <c r="K22" i="7"/>
  <c r="O22" i="7" s="1"/>
  <c r="S22" i="7" s="1"/>
  <c r="N22" i="8" s="1"/>
  <c r="T11" i="8"/>
  <c r="L11" i="8"/>
  <c r="H11" i="8"/>
  <c r="AB11" i="8"/>
  <c r="T22" i="8"/>
  <c r="O22" i="8"/>
  <c r="D65" i="9" s="1"/>
  <c r="L22" i="8"/>
  <c r="H22" i="8"/>
  <c r="G22" i="8"/>
  <c r="D48" i="9" s="1"/>
  <c r="AB22" i="8"/>
  <c r="F22" i="8"/>
  <c r="C48" i="9" s="1"/>
  <c r="D24" i="3"/>
  <c r="H26" i="3"/>
  <c r="F26" i="3"/>
  <c r="F21" i="2"/>
  <c r="J2" i="2"/>
  <c r="H8" i="2"/>
  <c r="I8" i="2" s="1"/>
  <c r="F14" i="2"/>
  <c r="G14" i="2" s="1"/>
  <c r="D20" i="2"/>
  <c r="E20" i="2" s="1"/>
  <c r="D26" i="2"/>
  <c r="E26" i="2" s="1"/>
  <c r="L27" i="2"/>
  <c r="M27" i="2" s="1"/>
  <c r="G3" i="3"/>
  <c r="I10" i="3"/>
  <c r="M10" i="3" s="1"/>
  <c r="D10" i="3"/>
  <c r="G19" i="3"/>
  <c r="P11" i="8"/>
  <c r="P22" i="8"/>
  <c r="J5" i="2"/>
  <c r="K5" i="2" s="1"/>
  <c r="H11" i="2"/>
  <c r="I11" i="2" s="1"/>
  <c r="F17" i="2"/>
  <c r="G17" i="2" s="1"/>
  <c r="L21" i="2"/>
  <c r="M21" i="2" s="1"/>
  <c r="D23" i="2"/>
  <c r="E23" i="2" s="1"/>
  <c r="L24" i="2"/>
  <c r="M24" i="2" s="1"/>
  <c r="H3" i="3"/>
  <c r="F8" i="3"/>
  <c r="F21" i="3"/>
  <c r="F13" i="3"/>
  <c r="I26" i="3"/>
  <c r="M26" i="3" s="1"/>
  <c r="F20" i="2"/>
  <c r="G20" i="2" s="1"/>
  <c r="G8" i="3"/>
  <c r="G10" i="3"/>
  <c r="G21" i="3"/>
  <c r="I23" i="3"/>
  <c r="M23" i="3" s="1"/>
  <c r="G23" i="3"/>
  <c r="H6" i="8"/>
  <c r="B9" i="8"/>
  <c r="L9" i="8" s="1"/>
  <c r="I9" i="7"/>
  <c r="M9" i="7" s="1"/>
  <c r="H9" i="7"/>
  <c r="G9" i="7"/>
  <c r="K9" i="7" s="1"/>
  <c r="O9" i="7" s="1"/>
  <c r="F9" i="7"/>
  <c r="E9" i="7"/>
  <c r="U9" i="7"/>
  <c r="X11" i="8"/>
  <c r="B17" i="8"/>
  <c r="X22" i="8"/>
  <c r="O4" i="7"/>
  <c r="S4" i="7" s="1"/>
  <c r="L4" i="7"/>
  <c r="P4" i="7" s="1"/>
  <c r="T4" i="7" s="1"/>
  <c r="C4" i="8"/>
  <c r="K4" i="7"/>
  <c r="U4" i="7"/>
  <c r="Q4" i="7"/>
  <c r="J4" i="7"/>
  <c r="N4" i="7" s="1"/>
  <c r="R4" i="7" s="1"/>
  <c r="F27" i="2"/>
  <c r="G27" i="2" s="1"/>
  <c r="H25" i="3"/>
  <c r="F25" i="3"/>
  <c r="C2" i="8"/>
  <c r="G4" i="7"/>
  <c r="H5" i="2"/>
  <c r="I5" i="2" s="1"/>
  <c r="F11" i="2"/>
  <c r="F4" i="2"/>
  <c r="G4" i="2" s="1"/>
  <c r="L8" i="2"/>
  <c r="M8" i="2" s="1"/>
  <c r="D10" i="2"/>
  <c r="E10" i="2" s="1"/>
  <c r="K10" i="2" s="1"/>
  <c r="J14" i="2"/>
  <c r="K14" i="2" s="1"/>
  <c r="H20" i="2"/>
  <c r="I20" i="2" s="1"/>
  <c r="H26" i="2"/>
  <c r="I26" i="2" s="1"/>
  <c r="G12" i="3"/>
  <c r="J6" i="7"/>
  <c r="N6" i="7" s="1"/>
  <c r="X6" i="8"/>
  <c r="J8" i="2"/>
  <c r="K8" i="2" s="1"/>
  <c r="J17" i="2"/>
  <c r="K17" i="2" s="1"/>
  <c r="H23" i="2"/>
  <c r="I23" i="2" s="1"/>
  <c r="F5" i="3"/>
  <c r="F23" i="3"/>
  <c r="G25" i="3"/>
  <c r="F27" i="3"/>
  <c r="K2" i="7"/>
  <c r="O2" i="7" s="1"/>
  <c r="K6" i="7"/>
  <c r="O6" i="7" s="1"/>
  <c r="S6" i="7" s="1"/>
  <c r="N6" i="8" s="1"/>
  <c r="AB6" i="8"/>
  <c r="F2" i="2"/>
  <c r="G13" i="3"/>
  <c r="E12" i="7"/>
  <c r="B12" i="8"/>
  <c r="I12" i="7"/>
  <c r="M12" i="7" s="1"/>
  <c r="H12" i="7"/>
  <c r="L12" i="7" s="1"/>
  <c r="P12" i="7" s="1"/>
  <c r="T12" i="7" s="1"/>
  <c r="G12" i="7"/>
  <c r="K12" i="7" s="1"/>
  <c r="O12" i="7" s="1"/>
  <c r="S12" i="7" s="1"/>
  <c r="F12" i="7"/>
  <c r="J12" i="7" s="1"/>
  <c r="N12" i="7" s="1"/>
  <c r="R12" i="7" s="1"/>
  <c r="L11" i="2"/>
  <c r="M11" i="2" s="1"/>
  <c r="H4" i="2"/>
  <c r="I4" i="2" s="1"/>
  <c r="F10" i="2"/>
  <c r="G10" i="2" s="1"/>
  <c r="L14" i="2"/>
  <c r="M14" i="2" s="1"/>
  <c r="D16" i="2"/>
  <c r="E16" i="2" s="1"/>
  <c r="I16" i="2" s="1"/>
  <c r="J20" i="2"/>
  <c r="K20" i="2" s="1"/>
  <c r="J26" i="2"/>
  <c r="K26" i="2" s="1"/>
  <c r="G5" i="3"/>
  <c r="D14" i="3"/>
  <c r="D16" i="3"/>
  <c r="I16" i="3" s="1"/>
  <c r="I25" i="3"/>
  <c r="M25" i="3" s="1"/>
  <c r="G27" i="3"/>
  <c r="L6" i="7"/>
  <c r="P6" i="7" s="1"/>
  <c r="T4" i="8"/>
  <c r="L4" i="8"/>
  <c r="F24" i="2"/>
  <c r="G24" i="2" s="1"/>
  <c r="H7" i="2"/>
  <c r="F13" i="2"/>
  <c r="G13" i="2" s="1"/>
  <c r="L17" i="2"/>
  <c r="M17" i="2" s="1"/>
  <c r="D19" i="2"/>
  <c r="E19" i="2" s="1"/>
  <c r="K19" i="2" s="1"/>
  <c r="J23" i="2"/>
  <c r="K23" i="2" s="1"/>
  <c r="Q9" i="7"/>
  <c r="C20" i="8"/>
  <c r="U20" i="7"/>
  <c r="Q20" i="7"/>
  <c r="L20" i="7"/>
  <c r="P20" i="7" s="1"/>
  <c r="E4" i="7"/>
  <c r="G26" i="3"/>
  <c r="L26" i="2"/>
  <c r="M26" i="2" s="1"/>
  <c r="Q22" i="2"/>
  <c r="D7" i="2"/>
  <c r="E7" i="2" s="1"/>
  <c r="K7" i="2" s="1"/>
  <c r="F7" i="2"/>
  <c r="X14" i="8"/>
  <c r="AB14" i="8"/>
  <c r="C25" i="8"/>
  <c r="U25" i="7"/>
  <c r="Q25" i="7"/>
  <c r="L25" i="7"/>
  <c r="P25" i="7" s="1"/>
  <c r="T25" i="7" s="1"/>
  <c r="O25" i="8" s="1"/>
  <c r="K25" i="7"/>
  <c r="O25" i="7" s="1"/>
  <c r="S25" i="7" s="1"/>
  <c r="N25" i="8" s="1"/>
  <c r="C68" i="9" s="1"/>
  <c r="J25" i="7"/>
  <c r="N25" i="7" s="1"/>
  <c r="R25" i="7" s="1"/>
  <c r="M25" i="8" s="1"/>
  <c r="X7" i="8"/>
  <c r="T7" i="8"/>
  <c r="P7" i="8"/>
  <c r="N7" i="8"/>
  <c r="C28" i="9" s="1"/>
  <c r="M7" i="8"/>
  <c r="B28" i="9" s="1"/>
  <c r="L7" i="8"/>
  <c r="H7" i="8"/>
  <c r="M23" i="8"/>
  <c r="B66" i="9" s="1"/>
  <c r="B10" i="8"/>
  <c r="T10" i="8" s="1"/>
  <c r="I10" i="7"/>
  <c r="M10" i="7" s="1"/>
  <c r="H10" i="7"/>
  <c r="L10" i="7" s="1"/>
  <c r="P10" i="7" s="1"/>
  <c r="G10" i="7"/>
  <c r="K10" i="7" s="1"/>
  <c r="O10" i="7" s="1"/>
  <c r="S10" i="7" s="1"/>
  <c r="E7" i="8"/>
  <c r="B11" i="9" s="1"/>
  <c r="C10" i="8"/>
  <c r="U10" i="7"/>
  <c r="B18" i="8"/>
  <c r="X18" i="8" s="1"/>
  <c r="I18" i="7"/>
  <c r="M18" i="7" s="1"/>
  <c r="F7" i="8"/>
  <c r="C11" i="9" s="1"/>
  <c r="I3" i="7"/>
  <c r="M3" i="7" s="1"/>
  <c r="Q3" i="7" s="1"/>
  <c r="U3" i="7" s="1"/>
  <c r="H3" i="7"/>
  <c r="AB8" i="8"/>
  <c r="E10" i="7"/>
  <c r="J10" i="7" s="1"/>
  <c r="N10" i="7" s="1"/>
  <c r="R10" i="7" s="1"/>
  <c r="M10" i="8" s="1"/>
  <c r="B31" i="9" s="1"/>
  <c r="U18" i="7"/>
  <c r="Q18" i="7"/>
  <c r="L18" i="7"/>
  <c r="P18" i="7" s="1"/>
  <c r="T18" i="7" s="1"/>
  <c r="O18" i="8" s="1"/>
  <c r="J18" i="7"/>
  <c r="N18" i="7" s="1"/>
  <c r="R18" i="7" s="1"/>
  <c r="O15" i="8"/>
  <c r="D58" i="9" s="1"/>
  <c r="C18" i="8"/>
  <c r="C3" i="8"/>
  <c r="L3" i="7"/>
  <c r="P3" i="7" s="1"/>
  <c r="T3" i="7" s="1"/>
  <c r="O3" i="8" s="1"/>
  <c r="K3" i="7"/>
  <c r="O3" i="7" s="1"/>
  <c r="S3" i="7" s="1"/>
  <c r="N3" i="8" s="1"/>
  <c r="C24" i="9" s="1"/>
  <c r="E18" i="7"/>
  <c r="U26" i="7"/>
  <c r="Q26" i="7"/>
  <c r="O26" i="7"/>
  <c r="F26" i="8" s="1"/>
  <c r="C52" i="9" s="1"/>
  <c r="L26" i="7"/>
  <c r="P26" i="7" s="1"/>
  <c r="C26" i="8"/>
  <c r="K26" i="7"/>
  <c r="N15" i="8"/>
  <c r="C58" i="9" s="1"/>
  <c r="T18" i="8"/>
  <c r="P18" i="8"/>
  <c r="L18" i="8"/>
  <c r="B3" i="8"/>
  <c r="L3" i="8" s="1"/>
  <c r="I7" i="9" s="1"/>
  <c r="L5" i="8"/>
  <c r="L10" i="8"/>
  <c r="F3" i="7"/>
  <c r="U5" i="7"/>
  <c r="C5" i="8"/>
  <c r="Q5" i="7"/>
  <c r="O5" i="7"/>
  <c r="S5" i="7" s="1"/>
  <c r="C13" i="8"/>
  <c r="U13" i="7"/>
  <c r="T13" i="7"/>
  <c r="O13" i="8" s="1"/>
  <c r="S13" i="7"/>
  <c r="R13" i="7"/>
  <c r="Q13" i="7"/>
  <c r="P13" i="7"/>
  <c r="G18" i="7"/>
  <c r="K18" i="7" s="1"/>
  <c r="O18" i="7" s="1"/>
  <c r="S18" i="7" s="1"/>
  <c r="N18" i="8" s="1"/>
  <c r="AB21" i="8"/>
  <c r="G3" i="7"/>
  <c r="E5" i="7"/>
  <c r="H18" i="7"/>
  <c r="P23" i="7"/>
  <c r="T23" i="7" s="1"/>
  <c r="G13" i="8"/>
  <c r="D17" i="9" s="1"/>
  <c r="F13" i="8"/>
  <c r="C17" i="9" s="1"/>
  <c r="E13" i="8"/>
  <c r="B17" i="9" s="1"/>
  <c r="T13" i="8"/>
  <c r="T24" i="8"/>
  <c r="J3" i="7"/>
  <c r="N3" i="7" s="1"/>
  <c r="R3" i="7" s="1"/>
  <c r="F5" i="7"/>
  <c r="J5" i="7" s="1"/>
  <c r="N5" i="7" s="1"/>
  <c r="AB7" i="8"/>
  <c r="H21" i="8"/>
  <c r="G5" i="7"/>
  <c r="K5" i="7" s="1"/>
  <c r="P15" i="8"/>
  <c r="E58" i="9" s="1"/>
  <c r="H15" i="8"/>
  <c r="E41" i="9" s="1"/>
  <c r="E15" i="8"/>
  <c r="B41" i="9" s="1"/>
  <c r="H5" i="7"/>
  <c r="L5" i="7" s="1"/>
  <c r="P5" i="7" s="1"/>
  <c r="T5" i="7" s="1"/>
  <c r="Q11" i="7"/>
  <c r="L11" i="7"/>
  <c r="P11" i="7" s="1"/>
  <c r="F19" i="7"/>
  <c r="Q19" i="7"/>
  <c r="B19" i="8"/>
  <c r="J26" i="7"/>
  <c r="N26" i="7" s="1"/>
  <c r="R26" i="7" s="1"/>
  <c r="M26" i="8" s="1"/>
  <c r="B69" i="9" s="1"/>
  <c r="M13" i="8"/>
  <c r="B34" i="9" s="1"/>
  <c r="I5" i="7"/>
  <c r="M5" i="7" s="1"/>
  <c r="L7" i="7"/>
  <c r="P7" i="7" s="1"/>
  <c r="G7" i="8" s="1"/>
  <c r="D11" i="9" s="1"/>
  <c r="E11" i="7"/>
  <c r="I27" i="7"/>
  <c r="M27" i="7" s="1"/>
  <c r="H27" i="7"/>
  <c r="F27" i="7"/>
  <c r="E27" i="7"/>
  <c r="B27" i="8"/>
  <c r="AB18" i="8"/>
  <c r="F11" i="7"/>
  <c r="J11" i="7" s="1"/>
  <c r="N11" i="7" s="1"/>
  <c r="E19" i="7"/>
  <c r="L19" i="7" s="1"/>
  <c r="P19" i="7" s="1"/>
  <c r="T19" i="7" s="1"/>
  <c r="U27" i="7"/>
  <c r="G6" i="8"/>
  <c r="D10" i="9" s="1"/>
  <c r="B2" i="8"/>
  <c r="L2" i="8" s="1"/>
  <c r="I6" i="9" s="1"/>
  <c r="I2" i="7"/>
  <c r="M2" i="7" s="1"/>
  <c r="Q2" i="7" s="1"/>
  <c r="U2" i="7" s="1"/>
  <c r="P2" i="8" s="1"/>
  <c r="H2" i="7"/>
  <c r="L2" i="7" s="1"/>
  <c r="P2" i="7" s="1"/>
  <c r="F2" i="7"/>
  <c r="J2" i="7" s="1"/>
  <c r="N2" i="7" s="1"/>
  <c r="E2" i="7"/>
  <c r="G11" i="7"/>
  <c r="K11" i="7" s="1"/>
  <c r="O11" i="7" s="1"/>
  <c r="L13" i="7"/>
  <c r="G19" i="7"/>
  <c r="G27" i="7"/>
  <c r="Q6" i="7"/>
  <c r="T7" i="7"/>
  <c r="O7" i="8" s="1"/>
  <c r="U22" i="7"/>
  <c r="M6" i="8"/>
  <c r="B27" i="9" s="1"/>
  <c r="R6" i="7"/>
  <c r="U7" i="7"/>
  <c r="B8" i="8"/>
  <c r="H8" i="8" s="1"/>
  <c r="L21" i="8"/>
  <c r="U14" i="7"/>
  <c r="O6" i="8"/>
  <c r="D27" i="9" s="1"/>
  <c r="C19" i="8"/>
  <c r="T6" i="7"/>
  <c r="F16" i="7"/>
  <c r="J16" i="7" s="1"/>
  <c r="N16" i="7" s="1"/>
  <c r="R16" i="7" s="1"/>
  <c r="U21" i="7"/>
  <c r="E23" i="7"/>
  <c r="Q27" i="7"/>
  <c r="F4" i="8"/>
  <c r="C8" i="9" s="1"/>
  <c r="P6" i="8"/>
  <c r="L14" i="8"/>
  <c r="F15" i="8"/>
  <c r="C41" i="9" s="1"/>
  <c r="T20" i="8"/>
  <c r="B23" i="8"/>
  <c r="L25" i="8"/>
  <c r="U6" i="7"/>
  <c r="E8" i="7"/>
  <c r="F23" i="7"/>
  <c r="G15" i="8"/>
  <c r="D41" i="9" s="1"/>
  <c r="C23" i="8"/>
  <c r="F8" i="7"/>
  <c r="P21" i="8"/>
  <c r="G8" i="7"/>
  <c r="C16" i="8"/>
  <c r="E23" i="8"/>
  <c r="B49" i="9" s="1"/>
  <c r="C27" i="8"/>
  <c r="E7" i="7"/>
  <c r="K7" i="7" s="1"/>
  <c r="O7" i="7" s="1"/>
  <c r="S7" i="7" s="1"/>
  <c r="H8" i="7"/>
  <c r="F22" i="7"/>
  <c r="J22" i="7" s="1"/>
  <c r="N22" i="7" s="1"/>
  <c r="R22" i="7" s="1"/>
  <c r="M22" i="8" s="1"/>
  <c r="T6" i="8"/>
  <c r="P14" i="8"/>
  <c r="B20" i="8"/>
  <c r="L20" i="8" s="1"/>
  <c r="X20" i="8"/>
  <c r="F23" i="8"/>
  <c r="C49" i="9" s="1"/>
  <c r="P25" i="8"/>
  <c r="F7" i="7"/>
  <c r="J7" i="7" s="1"/>
  <c r="N7" i="7" s="1"/>
  <c r="R7" i="7" s="1"/>
  <c r="E14" i="7"/>
  <c r="L14" i="7" s="1"/>
  <c r="P14" i="7" s="1"/>
  <c r="K16" i="7"/>
  <c r="O16" i="7" s="1"/>
  <c r="S16" i="7" s="1"/>
  <c r="G22" i="7"/>
  <c r="J23" i="7"/>
  <c r="E21" i="7"/>
  <c r="K23" i="7"/>
  <c r="O23" i="7" s="1"/>
  <c r="S23" i="7" s="1"/>
  <c r="H12" i="8"/>
  <c r="B13" i="8"/>
  <c r="L13" i="8" s="1"/>
  <c r="T21" i="8"/>
  <c r="L26" i="8"/>
  <c r="L23" i="7"/>
  <c r="M15" i="8"/>
  <c r="B58" i="9" s="1"/>
  <c r="E20" i="7"/>
  <c r="J20" i="7" s="1"/>
  <c r="N20" i="7" s="1"/>
  <c r="R20" i="7" s="1"/>
  <c r="N23" i="7"/>
  <c r="R23" i="7" s="1"/>
  <c r="X21" i="8"/>
  <c r="G20" i="7"/>
  <c r="K20" i="7" s="1"/>
  <c r="O20" i="7" s="1"/>
  <c r="S20" i="7" s="1"/>
  <c r="E6" i="8"/>
  <c r="B10" i="9" s="1"/>
  <c r="C65" i="9" l="1"/>
  <c r="D11" i="6"/>
  <c r="P7" i="2"/>
  <c r="L7" i="4"/>
  <c r="D24" i="9"/>
  <c r="G20" i="8"/>
  <c r="D46" i="9" s="1"/>
  <c r="T20" i="7"/>
  <c r="D67" i="9"/>
  <c r="C27" i="9"/>
  <c r="T11" i="7"/>
  <c r="O11" i="8" s="1"/>
  <c r="G11" i="8"/>
  <c r="D15" i="9" s="1"/>
  <c r="E11" i="8"/>
  <c r="B15" i="9" s="1"/>
  <c r="R11" i="7"/>
  <c r="M11" i="8" s="1"/>
  <c r="G10" i="8"/>
  <c r="D14" i="9" s="1"/>
  <c r="T10" i="7"/>
  <c r="C42" i="6"/>
  <c r="H16" i="4"/>
  <c r="O16" i="2"/>
  <c r="E20" i="8"/>
  <c r="B46" i="9" s="1"/>
  <c r="F11" i="8"/>
  <c r="C15" i="9" s="1"/>
  <c r="S11" i="7"/>
  <c r="N11" i="8" s="1"/>
  <c r="G17" i="8"/>
  <c r="D43" i="9" s="1"/>
  <c r="T17" i="7"/>
  <c r="O17" i="8" s="1"/>
  <c r="D60" i="9" s="1"/>
  <c r="G2" i="8"/>
  <c r="D6" i="9" s="1"/>
  <c r="T2" i="7"/>
  <c r="O2" i="8" s="1"/>
  <c r="T26" i="7"/>
  <c r="O26" i="8" s="1"/>
  <c r="D69" i="9" s="1"/>
  <c r="G26" i="8"/>
  <c r="D52" i="9" s="1"/>
  <c r="D34" i="9"/>
  <c r="D61" i="9"/>
  <c r="M2" i="8"/>
  <c r="C61" i="9"/>
  <c r="F24" i="8"/>
  <c r="C50" i="9" s="1"/>
  <c r="S24" i="7"/>
  <c r="N24" i="8" s="1"/>
  <c r="D45" i="6"/>
  <c r="L19" i="4"/>
  <c r="P19" i="2"/>
  <c r="L21" i="4"/>
  <c r="D47" i="6"/>
  <c r="P21" i="2"/>
  <c r="S2" i="7"/>
  <c r="N2" i="8" s="1"/>
  <c r="F2" i="8"/>
  <c r="C6" i="9" s="1"/>
  <c r="R2" i="7"/>
  <c r="E2" i="8"/>
  <c r="B6" i="9" s="1"/>
  <c r="R5" i="7"/>
  <c r="E5" i="8"/>
  <c r="B9" i="9" s="1"/>
  <c r="B68" i="9"/>
  <c r="M16" i="3"/>
  <c r="B65" i="9"/>
  <c r="J15" i="8"/>
  <c r="G41" i="9" s="1"/>
  <c r="G41" i="6"/>
  <c r="O15" i="3"/>
  <c r="I15" i="4"/>
  <c r="K16" i="3"/>
  <c r="D68" i="9"/>
  <c r="E23" i="9"/>
  <c r="D50" i="6"/>
  <c r="P24" i="2"/>
  <c r="L24" i="4"/>
  <c r="D28" i="9"/>
  <c r="G14" i="8"/>
  <c r="D18" i="9" s="1"/>
  <c r="T14" i="7"/>
  <c r="O14" i="8" s="1"/>
  <c r="H17" i="8"/>
  <c r="E43" i="9" s="1"/>
  <c r="F17" i="8"/>
  <c r="C43" i="9" s="1"/>
  <c r="P12" i="8"/>
  <c r="O12" i="8"/>
  <c r="D33" i="9" s="1"/>
  <c r="N12" i="8"/>
  <c r="C33" i="9" s="1"/>
  <c r="X13" i="8"/>
  <c r="O10" i="8"/>
  <c r="D31" i="9" s="1"/>
  <c r="Q20" i="4"/>
  <c r="Q20" i="3"/>
  <c r="E42" i="6"/>
  <c r="P16" i="4"/>
  <c r="Q16" i="2"/>
  <c r="E59" i="6" s="1"/>
  <c r="O6" i="2"/>
  <c r="H6" i="4"/>
  <c r="C10" i="6"/>
  <c r="D19" i="4"/>
  <c r="B45" i="6"/>
  <c r="N19" i="2"/>
  <c r="L21" i="7"/>
  <c r="P21" i="7" s="1"/>
  <c r="K21" i="7"/>
  <c r="O21" i="7" s="1"/>
  <c r="N16" i="8"/>
  <c r="M16" i="8"/>
  <c r="B59" i="9" s="1"/>
  <c r="G16" i="8"/>
  <c r="D42" i="9" s="1"/>
  <c r="F16" i="8"/>
  <c r="C42" i="9" s="1"/>
  <c r="P16" i="8"/>
  <c r="E59" i="9" s="1"/>
  <c r="O16" i="8"/>
  <c r="D59" i="9" s="1"/>
  <c r="H16" i="8"/>
  <c r="E42" i="9" s="1"/>
  <c r="H25" i="4"/>
  <c r="C51" i="6"/>
  <c r="O25" i="2"/>
  <c r="P24" i="8"/>
  <c r="P10" i="8"/>
  <c r="H14" i="3"/>
  <c r="F14" i="3"/>
  <c r="Q23" i="4"/>
  <c r="Q23" i="3"/>
  <c r="M15" i="3"/>
  <c r="Q4" i="4"/>
  <c r="Q4" i="3"/>
  <c r="C18" i="6"/>
  <c r="O14" i="2"/>
  <c r="H14" i="4"/>
  <c r="H3" i="8"/>
  <c r="E7" i="9" s="1"/>
  <c r="G3" i="8"/>
  <c r="D7" i="9" s="1"/>
  <c r="F3" i="8"/>
  <c r="C7" i="9" s="1"/>
  <c r="E3" i="8"/>
  <c r="B7" i="9" s="1"/>
  <c r="P9" i="8"/>
  <c r="J15" i="3"/>
  <c r="B52" i="6"/>
  <c r="D26" i="4"/>
  <c r="N26" i="2"/>
  <c r="K14" i="7"/>
  <c r="O14" i="7" s="1"/>
  <c r="D34" i="6"/>
  <c r="G23" i="8"/>
  <c r="D49" i="9" s="1"/>
  <c r="E12" i="8"/>
  <c r="B16" i="9" s="1"/>
  <c r="N17" i="8"/>
  <c r="C60" i="9" s="1"/>
  <c r="L27" i="8"/>
  <c r="T27" i="8"/>
  <c r="E18" i="8"/>
  <c r="B44" i="9" s="1"/>
  <c r="D52" i="6"/>
  <c r="L26" i="4"/>
  <c r="P26" i="2"/>
  <c r="C49" i="6"/>
  <c r="H23" i="4"/>
  <c r="O23" i="2"/>
  <c r="AB9" i="8"/>
  <c r="P4" i="8"/>
  <c r="O4" i="8"/>
  <c r="D25" i="9" s="1"/>
  <c r="M4" i="8"/>
  <c r="B25" i="9" s="1"/>
  <c r="H4" i="8"/>
  <c r="G4" i="8"/>
  <c r="D8" i="9" s="1"/>
  <c r="E4" i="8"/>
  <c r="B8" i="9" s="1"/>
  <c r="X4" i="8"/>
  <c r="N4" i="8"/>
  <c r="C25" i="9" s="1"/>
  <c r="L15" i="3"/>
  <c r="F10" i="3"/>
  <c r="H10" i="3"/>
  <c r="F11" i="3"/>
  <c r="H11" i="3"/>
  <c r="G16" i="2"/>
  <c r="I7" i="6"/>
  <c r="Q3" i="4"/>
  <c r="Q3" i="3"/>
  <c r="I24" i="6" s="1"/>
  <c r="L23" i="8"/>
  <c r="T23" i="8"/>
  <c r="L27" i="7"/>
  <c r="P27" i="7" s="1"/>
  <c r="X24" i="8"/>
  <c r="C53" i="6"/>
  <c r="O27" i="2"/>
  <c r="H27" i="4"/>
  <c r="F6" i="3"/>
  <c r="H6" i="3"/>
  <c r="N18" i="2"/>
  <c r="D18" i="4"/>
  <c r="B44" i="6"/>
  <c r="B43" i="6"/>
  <c r="N17" i="2"/>
  <c r="D17" i="4"/>
  <c r="D9" i="6"/>
  <c r="P5" i="2"/>
  <c r="L5" i="4"/>
  <c r="C45" i="6"/>
  <c r="O19" i="2"/>
  <c r="H19" i="4"/>
  <c r="E16" i="8"/>
  <c r="B42" i="9" s="1"/>
  <c r="X9" i="8"/>
  <c r="M12" i="8"/>
  <c r="P14" i="4"/>
  <c r="R14" i="4" s="1"/>
  <c r="S14" i="4" s="1"/>
  <c r="Q14" i="2"/>
  <c r="B46" i="6"/>
  <c r="D20" i="4"/>
  <c r="N20" i="2"/>
  <c r="P27" i="4"/>
  <c r="R27" i="4" s="1"/>
  <c r="S27" i="4" s="1"/>
  <c r="Q27" i="2"/>
  <c r="C50" i="6"/>
  <c r="O24" i="2"/>
  <c r="H24" i="4"/>
  <c r="G12" i="8"/>
  <c r="D16" i="9" s="1"/>
  <c r="M3" i="8"/>
  <c r="K27" i="7"/>
  <c r="O27" i="7" s="1"/>
  <c r="S27" i="7" s="1"/>
  <c r="N27" i="8" s="1"/>
  <c r="H13" i="8"/>
  <c r="N13" i="8"/>
  <c r="E10" i="8"/>
  <c r="B14" i="9" s="1"/>
  <c r="P26" i="8"/>
  <c r="H26" i="8"/>
  <c r="E26" i="8"/>
  <c r="B52" i="9" s="1"/>
  <c r="X26" i="8"/>
  <c r="N26" i="8"/>
  <c r="C69" i="9" s="1"/>
  <c r="X25" i="8"/>
  <c r="AB25" i="8"/>
  <c r="H25" i="8"/>
  <c r="F25" i="8"/>
  <c r="C51" i="9" s="1"/>
  <c r="G25" i="8"/>
  <c r="D51" i="9" s="1"/>
  <c r="E25" i="8"/>
  <c r="B51" i="9" s="1"/>
  <c r="B14" i="6"/>
  <c r="N10" i="2"/>
  <c r="D10" i="4"/>
  <c r="Q26" i="4"/>
  <c r="Q26" i="3"/>
  <c r="I21" i="2"/>
  <c r="C65" i="6"/>
  <c r="K18" i="2"/>
  <c r="AB23" i="8"/>
  <c r="Q18" i="2"/>
  <c r="P18" i="4"/>
  <c r="R18" i="4" s="1"/>
  <c r="S18" i="4" s="1"/>
  <c r="R24" i="7"/>
  <c r="D65" i="6"/>
  <c r="D13" i="5"/>
  <c r="N27" i="2"/>
  <c r="B53" i="6"/>
  <c r="D27" i="4"/>
  <c r="Q10" i="4"/>
  <c r="Q10" i="3"/>
  <c r="AB13" i="8"/>
  <c r="H20" i="8"/>
  <c r="AB20" i="8"/>
  <c r="P20" i="8"/>
  <c r="O20" i="8"/>
  <c r="N20" i="8"/>
  <c r="C63" i="9" s="1"/>
  <c r="M20" i="8"/>
  <c r="B63" i="9" s="1"/>
  <c r="F20" i="8"/>
  <c r="C46" i="9" s="1"/>
  <c r="H10" i="8"/>
  <c r="D49" i="6"/>
  <c r="P23" i="2"/>
  <c r="L23" i="4"/>
  <c r="H4" i="4"/>
  <c r="C8" i="6"/>
  <c r="O4" i="2"/>
  <c r="H9" i="8"/>
  <c r="B12" i="6"/>
  <c r="D8" i="4"/>
  <c r="N8" i="2"/>
  <c r="D27" i="6"/>
  <c r="P3" i="8"/>
  <c r="E24" i="9" s="1"/>
  <c r="K8" i="7"/>
  <c r="O8" i="7" s="1"/>
  <c r="F10" i="8"/>
  <c r="C14" i="9" s="1"/>
  <c r="P11" i="4"/>
  <c r="R11" i="4" s="1"/>
  <c r="S11" i="4" s="1"/>
  <c r="Q11" i="2"/>
  <c r="C52" i="6"/>
  <c r="H26" i="4"/>
  <c r="O26" i="2"/>
  <c r="D12" i="5"/>
  <c r="B18" i="6"/>
  <c r="N14" i="2"/>
  <c r="D14" i="4"/>
  <c r="I2" i="2"/>
  <c r="B9" i="6"/>
  <c r="N5" i="2"/>
  <c r="D5" i="4"/>
  <c r="D13" i="6"/>
  <c r="L9" i="4"/>
  <c r="P9" i="2"/>
  <c r="B13" i="6"/>
  <c r="D9" i="4"/>
  <c r="N9" i="2"/>
  <c r="AB12" i="8"/>
  <c r="L17" i="4"/>
  <c r="D43" i="6"/>
  <c r="P17" i="2"/>
  <c r="Q24" i="4"/>
  <c r="Q24" i="3"/>
  <c r="I18" i="2"/>
  <c r="D15" i="6"/>
  <c r="P11" i="2"/>
  <c r="L11" i="4"/>
  <c r="L19" i="8"/>
  <c r="T19" i="8"/>
  <c r="Q25" i="3"/>
  <c r="Q25" i="4"/>
  <c r="H16" i="3"/>
  <c r="F16" i="3"/>
  <c r="L20" i="4"/>
  <c r="D46" i="6"/>
  <c r="P20" i="2"/>
  <c r="J27" i="7"/>
  <c r="N27" i="7" s="1"/>
  <c r="L8" i="4"/>
  <c r="D12" i="6"/>
  <c r="P8" i="2"/>
  <c r="E17" i="8"/>
  <c r="B43" i="9" s="1"/>
  <c r="L8" i="8"/>
  <c r="T8" i="8"/>
  <c r="AB10" i="8"/>
  <c r="P17" i="4"/>
  <c r="E43" i="6"/>
  <c r="Q17" i="2"/>
  <c r="E60" i="6" s="1"/>
  <c r="AB24" i="8"/>
  <c r="J21" i="7"/>
  <c r="N21" i="7" s="1"/>
  <c r="B17" i="6"/>
  <c r="D13" i="4"/>
  <c r="N13" i="2"/>
  <c r="F22" i="3"/>
  <c r="H22" i="3"/>
  <c r="D41" i="6"/>
  <c r="L15" i="4"/>
  <c r="P15" i="2"/>
  <c r="I12" i="2"/>
  <c r="B49" i="6"/>
  <c r="D23" i="4"/>
  <c r="N23" i="2"/>
  <c r="C34" i="6"/>
  <c r="P23" i="8"/>
  <c r="O23" i="8"/>
  <c r="D66" i="9" s="1"/>
  <c r="N23" i="8"/>
  <c r="C66" i="9" s="1"/>
  <c r="J19" i="7"/>
  <c r="N19" i="7" s="1"/>
  <c r="R19" i="7" s="1"/>
  <c r="X10" i="8"/>
  <c r="H3" i="4"/>
  <c r="C7" i="6"/>
  <c r="O3" i="2"/>
  <c r="J14" i="7"/>
  <c r="N14" i="7" s="1"/>
  <c r="D18" i="6"/>
  <c r="E12" i="5"/>
  <c r="L14" i="4"/>
  <c r="P14" i="2"/>
  <c r="K2" i="2"/>
  <c r="M24" i="8"/>
  <c r="B67" i="9" s="1"/>
  <c r="G24" i="8"/>
  <c r="D50" i="9" s="1"/>
  <c r="G7" i="2"/>
  <c r="I7" i="2"/>
  <c r="D14" i="6"/>
  <c r="L10" i="4"/>
  <c r="P10" i="2"/>
  <c r="G21" i="2"/>
  <c r="H20" i="3"/>
  <c r="F20" i="3"/>
  <c r="C41" i="6"/>
  <c r="H15" i="4"/>
  <c r="O15" i="2"/>
  <c r="Q12" i="2"/>
  <c r="P12" i="4"/>
  <c r="R12" i="4" s="1"/>
  <c r="S12" i="4" s="1"/>
  <c r="Q2" i="4"/>
  <c r="Q2" i="3"/>
  <c r="I6" i="6"/>
  <c r="H11" i="4"/>
  <c r="C15" i="6"/>
  <c r="O11" i="2"/>
  <c r="P16" i="2"/>
  <c r="D42" i="6"/>
  <c r="L16" i="4"/>
  <c r="N10" i="8"/>
  <c r="C31" i="9" s="1"/>
  <c r="Q2" i="2"/>
  <c r="E23" i="6" s="1"/>
  <c r="E6" i="6"/>
  <c r="P2" i="4"/>
  <c r="T9" i="8"/>
  <c r="E13" i="5"/>
  <c r="L27" i="4"/>
  <c r="D53" i="6"/>
  <c r="P27" i="2"/>
  <c r="Q22" i="4"/>
  <c r="Q22" i="3"/>
  <c r="H20" i="4"/>
  <c r="C46" i="6"/>
  <c r="O20" i="2"/>
  <c r="H24" i="8"/>
  <c r="T3" i="8"/>
  <c r="I24" i="9" s="1"/>
  <c r="P26" i="4"/>
  <c r="R26" i="4" s="1"/>
  <c r="S26" i="4" s="1"/>
  <c r="Q26" i="2"/>
  <c r="Q8" i="2"/>
  <c r="P8" i="4"/>
  <c r="R8" i="4" s="1"/>
  <c r="S8" i="4" s="1"/>
  <c r="D15" i="4"/>
  <c r="B41" i="6"/>
  <c r="N15" i="2"/>
  <c r="G12" i="2"/>
  <c r="P2" i="3"/>
  <c r="K2" i="8"/>
  <c r="H6" i="9" s="1"/>
  <c r="H6" i="6"/>
  <c r="L3" i="3"/>
  <c r="M2" i="4"/>
  <c r="P19" i="8"/>
  <c r="O19" i="8"/>
  <c r="D62" i="9" s="1"/>
  <c r="M19" i="8"/>
  <c r="B62" i="9" s="1"/>
  <c r="H19" i="8"/>
  <c r="G19" i="8"/>
  <c r="D45" i="9" s="1"/>
  <c r="AB19" i="8"/>
  <c r="F19" i="8"/>
  <c r="C45" i="9" s="1"/>
  <c r="E19" i="8"/>
  <c r="B45" i="9" s="1"/>
  <c r="X19" i="8"/>
  <c r="X12" i="8"/>
  <c r="B50" i="6"/>
  <c r="D24" i="4"/>
  <c r="N24" i="2"/>
  <c r="AB26" i="8"/>
  <c r="G18" i="8"/>
  <c r="D44" i="9" s="1"/>
  <c r="S26" i="7"/>
  <c r="L12" i="8"/>
  <c r="T12" i="8"/>
  <c r="B8" i="6"/>
  <c r="D4" i="4"/>
  <c r="N4" i="2"/>
  <c r="Q11" i="4"/>
  <c r="Q11" i="3"/>
  <c r="L25" i="4"/>
  <c r="D51" i="6"/>
  <c r="P25" i="2"/>
  <c r="K12" i="2"/>
  <c r="J2" i="8"/>
  <c r="G6" i="9" s="1"/>
  <c r="G6" i="6"/>
  <c r="I2" i="4"/>
  <c r="K3" i="3"/>
  <c r="O2" i="3"/>
  <c r="B68" i="6"/>
  <c r="B7" i="6"/>
  <c r="D3" i="4"/>
  <c r="N3" i="2"/>
  <c r="N5" i="8"/>
  <c r="M5" i="8"/>
  <c r="B26" i="9" s="1"/>
  <c r="G5" i="8"/>
  <c r="D9" i="9" s="1"/>
  <c r="AB5" i="8"/>
  <c r="F5" i="8"/>
  <c r="C9" i="9" s="1"/>
  <c r="X5" i="8"/>
  <c r="P5" i="8"/>
  <c r="O5" i="8"/>
  <c r="H5" i="8"/>
  <c r="H18" i="8"/>
  <c r="H2" i="8"/>
  <c r="E6" i="9" s="1"/>
  <c r="G11" i="2"/>
  <c r="J9" i="7"/>
  <c r="N9" i="7" s="1"/>
  <c r="Q24" i="2"/>
  <c r="P24" i="4"/>
  <c r="R24" i="4" s="1"/>
  <c r="S24" i="4" s="1"/>
  <c r="H24" i="3"/>
  <c r="F24" i="3"/>
  <c r="D8" i="6"/>
  <c r="L4" i="4"/>
  <c r="P4" i="2"/>
  <c r="M15" i="2"/>
  <c r="P17" i="8"/>
  <c r="E60" i="9" s="1"/>
  <c r="C14" i="6"/>
  <c r="O10" i="2"/>
  <c r="H10" i="4"/>
  <c r="F12" i="8"/>
  <c r="C16" i="9" s="1"/>
  <c r="D6" i="4"/>
  <c r="B10" i="6"/>
  <c r="N6" i="2"/>
  <c r="K19" i="7"/>
  <c r="O19" i="7" s="1"/>
  <c r="S19" i="7" s="1"/>
  <c r="N19" i="8" s="1"/>
  <c r="H8" i="4"/>
  <c r="C12" i="6"/>
  <c r="O8" i="2"/>
  <c r="H23" i="8"/>
  <c r="AB27" i="8"/>
  <c r="X27" i="8"/>
  <c r="P27" i="8"/>
  <c r="H27" i="8"/>
  <c r="C9" i="6"/>
  <c r="O5" i="2"/>
  <c r="H5" i="4"/>
  <c r="S9" i="7"/>
  <c r="N9" i="8" s="1"/>
  <c r="F9" i="8"/>
  <c r="C13" i="9" s="1"/>
  <c r="L3" i="4"/>
  <c r="D7" i="6"/>
  <c r="P3" i="2"/>
  <c r="P9" i="4"/>
  <c r="R9" i="4" s="1"/>
  <c r="S9" i="4" s="1"/>
  <c r="Q9" i="2"/>
  <c r="B65" i="6"/>
  <c r="F6" i="8"/>
  <c r="C10" i="9" s="1"/>
  <c r="G16" i="3"/>
  <c r="E7" i="6"/>
  <c r="P3" i="4"/>
  <c r="Q3" i="2"/>
  <c r="E24" i="6" s="1"/>
  <c r="L8" i="7"/>
  <c r="P8" i="7" s="1"/>
  <c r="M17" i="8"/>
  <c r="B60" i="9" s="1"/>
  <c r="J8" i="7"/>
  <c r="N8" i="7" s="1"/>
  <c r="X23" i="8"/>
  <c r="P8" i="8"/>
  <c r="P13" i="8"/>
  <c r="F18" i="8"/>
  <c r="C44" i="9" s="1"/>
  <c r="M18" i="8"/>
  <c r="X8" i="8"/>
  <c r="G2" i="2"/>
  <c r="L9" i="7"/>
  <c r="P9" i="7" s="1"/>
  <c r="Q21" i="2"/>
  <c r="P21" i="4"/>
  <c r="R21" i="4" s="1"/>
  <c r="S21" i="4" s="1"/>
  <c r="E22" i="8"/>
  <c r="B48" i="9" s="1"/>
  <c r="G14" i="3"/>
  <c r="I9" i="2"/>
  <c r="I2" i="8"/>
  <c r="F6" i="9" s="1"/>
  <c r="E2" i="4"/>
  <c r="F6" i="6"/>
  <c r="J3" i="3"/>
  <c r="N2" i="3"/>
  <c r="C67" i="9" l="1"/>
  <c r="C62" i="9"/>
  <c r="C70" i="9"/>
  <c r="R14" i="7"/>
  <c r="M14" i="8" s="1"/>
  <c r="E14" i="8"/>
  <c r="B18" i="9" s="1"/>
  <c r="R15" i="8"/>
  <c r="G58" i="6"/>
  <c r="B32" i="9"/>
  <c r="J16" i="8"/>
  <c r="G42" i="9" s="1"/>
  <c r="I16" i="4"/>
  <c r="K17" i="3"/>
  <c r="G42" i="6"/>
  <c r="O16" i="3"/>
  <c r="B29" i="6"/>
  <c r="K15" i="8"/>
  <c r="H41" i="9" s="1"/>
  <c r="H41" i="6"/>
  <c r="P15" i="3"/>
  <c r="M15" i="4"/>
  <c r="L16" i="3"/>
  <c r="F27" i="8"/>
  <c r="C53" i="9" s="1"/>
  <c r="D25" i="6"/>
  <c r="C58" i="6"/>
  <c r="J15" i="4"/>
  <c r="E21" i="8"/>
  <c r="B47" i="9" s="1"/>
  <c r="R21" i="7"/>
  <c r="M21" i="8" s="1"/>
  <c r="O2" i="2"/>
  <c r="C6" i="6"/>
  <c r="H2" i="4"/>
  <c r="B70" i="6"/>
  <c r="B23" i="9"/>
  <c r="U2" i="8"/>
  <c r="C63" i="6"/>
  <c r="C24" i="6"/>
  <c r="J3" i="4"/>
  <c r="C35" i="6"/>
  <c r="B24" i="6"/>
  <c r="C25" i="6"/>
  <c r="B61" i="6"/>
  <c r="D35" i="6"/>
  <c r="D30" i="6"/>
  <c r="I23" i="6"/>
  <c r="T2" i="8"/>
  <c r="C26" i="9"/>
  <c r="D32" i="6"/>
  <c r="I41" i="6"/>
  <c r="Q15" i="3"/>
  <c r="Q15" i="4"/>
  <c r="L15" i="8"/>
  <c r="I41" i="9" s="1"/>
  <c r="C59" i="9"/>
  <c r="I42" i="6"/>
  <c r="Q16" i="3"/>
  <c r="Q16" i="4"/>
  <c r="L16" i="8"/>
  <c r="I42" i="9" s="1"/>
  <c r="D32" i="9"/>
  <c r="B6" i="6"/>
  <c r="D2" i="4"/>
  <c r="N2" i="2"/>
  <c r="S21" i="7"/>
  <c r="N21" i="8" s="1"/>
  <c r="F21" i="8"/>
  <c r="C47" i="9" s="1"/>
  <c r="H18" i="4"/>
  <c r="O18" i="2"/>
  <c r="C44" i="6"/>
  <c r="D66" i="6"/>
  <c r="C70" i="6"/>
  <c r="T21" i="7"/>
  <c r="O21" i="8" s="1"/>
  <c r="G21" i="8"/>
  <c r="D47" i="9" s="1"/>
  <c r="D35" i="9"/>
  <c r="C31" i="6"/>
  <c r="X3" i="8"/>
  <c r="C13" i="6"/>
  <c r="O9" i="2"/>
  <c r="H9" i="4"/>
  <c r="T9" i="7"/>
  <c r="O9" i="8" s="1"/>
  <c r="G9" i="8"/>
  <c r="D13" i="9" s="1"/>
  <c r="B35" i="6"/>
  <c r="D31" i="6"/>
  <c r="C69" i="6"/>
  <c r="B62" i="6"/>
  <c r="C67" i="6"/>
  <c r="D70" i="6"/>
  <c r="B63" i="6"/>
  <c r="B61" i="9"/>
  <c r="C29" i="6"/>
  <c r="B42" i="6"/>
  <c r="D16" i="4"/>
  <c r="N16" i="2"/>
  <c r="B34" i="6"/>
  <c r="K3" i="8"/>
  <c r="H7" i="9" s="1"/>
  <c r="H7" i="6"/>
  <c r="P3" i="3"/>
  <c r="N3" i="4" s="1"/>
  <c r="L4" i="3"/>
  <c r="M3" i="4"/>
  <c r="B47" i="6"/>
  <c r="D21" i="4"/>
  <c r="N21" i="2"/>
  <c r="R2" i="8"/>
  <c r="G23" i="9" s="1"/>
  <c r="G23" i="6"/>
  <c r="R9" i="7"/>
  <c r="M9" i="8" s="1"/>
  <c r="E9" i="8"/>
  <c r="B13" i="9" s="1"/>
  <c r="J3" i="8"/>
  <c r="G7" i="9" s="1"/>
  <c r="G7" i="6"/>
  <c r="O3" i="3"/>
  <c r="K4" i="3"/>
  <c r="I3" i="4"/>
  <c r="B67" i="6"/>
  <c r="R2" i="4"/>
  <c r="B33" i="9"/>
  <c r="F14" i="8"/>
  <c r="C18" i="9" s="1"/>
  <c r="S14" i="7"/>
  <c r="N14" i="8" s="1"/>
  <c r="D24" i="6"/>
  <c r="D11" i="4"/>
  <c r="B15" i="6"/>
  <c r="N11" i="2"/>
  <c r="S2" i="8"/>
  <c r="H23" i="9" s="1"/>
  <c r="H23" i="6"/>
  <c r="D60" i="6"/>
  <c r="L18" i="4"/>
  <c r="D44" i="6"/>
  <c r="P18" i="2"/>
  <c r="B69" i="6"/>
  <c r="D23" i="9"/>
  <c r="W2" i="8"/>
  <c r="B16" i="6"/>
  <c r="D12" i="4"/>
  <c r="N12" i="2"/>
  <c r="H7" i="4"/>
  <c r="C11" i="6"/>
  <c r="O7" i="2"/>
  <c r="B66" i="6"/>
  <c r="D29" i="6"/>
  <c r="G27" i="8"/>
  <c r="D53" i="9" s="1"/>
  <c r="T27" i="7"/>
  <c r="O27" i="8" s="1"/>
  <c r="B25" i="6"/>
  <c r="B24" i="9"/>
  <c r="T8" i="7"/>
  <c r="O8" i="8" s="1"/>
  <c r="G8" i="8"/>
  <c r="D12" i="9" s="1"/>
  <c r="B58" i="6"/>
  <c r="B11" i="6"/>
  <c r="D7" i="4"/>
  <c r="N7" i="2"/>
  <c r="D67" i="6"/>
  <c r="C23" i="9"/>
  <c r="V2" i="8"/>
  <c r="D69" i="6"/>
  <c r="D16" i="6"/>
  <c r="P12" i="2"/>
  <c r="L12" i="4"/>
  <c r="C47" i="6"/>
  <c r="O21" i="2"/>
  <c r="H21" i="4"/>
  <c r="C62" i="6"/>
  <c r="I15" i="8"/>
  <c r="F41" i="9" s="1"/>
  <c r="F41" i="6"/>
  <c r="N15" i="3"/>
  <c r="F15" i="4" s="1"/>
  <c r="E15" i="4"/>
  <c r="J16" i="3"/>
  <c r="C27" i="6"/>
  <c r="D64" i="6"/>
  <c r="C16" i="6"/>
  <c r="O12" i="2"/>
  <c r="H12" i="4"/>
  <c r="E27" i="8"/>
  <c r="B53" i="9" s="1"/>
  <c r="R27" i="7"/>
  <c r="M27" i="8" s="1"/>
  <c r="D63" i="9"/>
  <c r="C34" i="9"/>
  <c r="C68" i="6"/>
  <c r="C32" i="9"/>
  <c r="D28" i="6"/>
  <c r="B60" i="6"/>
  <c r="D58" i="6"/>
  <c r="N15" i="4"/>
  <c r="B30" i="6"/>
  <c r="C66" i="6"/>
  <c r="R16" i="4"/>
  <c r="E41" i="6"/>
  <c r="Q15" i="2"/>
  <c r="E58" i="6" s="1"/>
  <c r="P15" i="4"/>
  <c r="R15" i="4" s="1"/>
  <c r="C30" i="9"/>
  <c r="B27" i="6"/>
  <c r="D68" i="6"/>
  <c r="D26" i="9"/>
  <c r="M17" i="3"/>
  <c r="D63" i="6"/>
  <c r="S8" i="7"/>
  <c r="N8" i="8" s="1"/>
  <c r="F8" i="8"/>
  <c r="C12" i="9" s="1"/>
  <c r="D26" i="6"/>
  <c r="D62" i="6"/>
  <c r="J16" i="4"/>
  <c r="C59" i="6"/>
  <c r="B26" i="6"/>
  <c r="R3" i="4"/>
  <c r="R8" i="7"/>
  <c r="M8" i="8" s="1"/>
  <c r="E8" i="8"/>
  <c r="B12" i="9" s="1"/>
  <c r="D59" i="6"/>
  <c r="Q2" i="8"/>
  <c r="F23" i="9" s="1"/>
  <c r="F23" i="6"/>
  <c r="C26" i="6"/>
  <c r="C32" i="6"/>
  <c r="I3" i="8"/>
  <c r="F7" i="9" s="1"/>
  <c r="F7" i="6"/>
  <c r="E3" i="4"/>
  <c r="N3" i="3"/>
  <c r="J4" i="3"/>
  <c r="P2" i="2"/>
  <c r="D6" i="6"/>
  <c r="L2" i="4"/>
  <c r="B31" i="6"/>
  <c r="J41" i="6" l="1"/>
  <c r="G15" i="4"/>
  <c r="J58" i="6" s="1"/>
  <c r="O3" i="4"/>
  <c r="L24" i="6" s="1"/>
  <c r="L7" i="6"/>
  <c r="B70" i="9"/>
  <c r="B32" i="6"/>
  <c r="K16" i="4"/>
  <c r="K59" i="6" s="1"/>
  <c r="K42" i="6"/>
  <c r="G59" i="6"/>
  <c r="R16" i="8"/>
  <c r="K23" i="9"/>
  <c r="Z2" i="8"/>
  <c r="K6" i="9" s="1"/>
  <c r="J23" i="9"/>
  <c r="Y2" i="8"/>
  <c r="J6" i="9" s="1"/>
  <c r="I4" i="8"/>
  <c r="F8" i="9" s="1"/>
  <c r="J5" i="3"/>
  <c r="E4" i="4"/>
  <c r="N4" i="3"/>
  <c r="F8" i="6"/>
  <c r="C64" i="9"/>
  <c r="G43" i="6"/>
  <c r="I17" i="4"/>
  <c r="J17" i="8"/>
  <c r="G43" i="9" s="1"/>
  <c r="O17" i="3"/>
  <c r="K18" i="3"/>
  <c r="C33" i="6"/>
  <c r="Q3" i="8"/>
  <c r="F24" i="6"/>
  <c r="I23" i="9"/>
  <c r="X2" i="8"/>
  <c r="M6" i="6"/>
  <c r="S2" i="4"/>
  <c r="M23" i="6" s="1"/>
  <c r="B59" i="6"/>
  <c r="F16" i="4"/>
  <c r="B23" i="6"/>
  <c r="F2" i="4"/>
  <c r="C29" i="9"/>
  <c r="L41" i="6"/>
  <c r="O15" i="4"/>
  <c r="L58" i="6" s="1"/>
  <c r="B28" i="6"/>
  <c r="D23" i="6"/>
  <c r="N2" i="4"/>
  <c r="M42" i="6"/>
  <c r="S16" i="4"/>
  <c r="M59" i="6" s="1"/>
  <c r="C28" i="6"/>
  <c r="B33" i="6"/>
  <c r="D30" i="9"/>
  <c r="L23" i="9"/>
  <c r="AA2" i="8"/>
  <c r="L6" i="9" s="1"/>
  <c r="C30" i="6"/>
  <c r="C23" i="6"/>
  <c r="J2" i="4"/>
  <c r="B64" i="9"/>
  <c r="G58" i="9"/>
  <c r="V15" i="8"/>
  <c r="K4" i="8"/>
  <c r="H8" i="9" s="1"/>
  <c r="M4" i="4"/>
  <c r="H8" i="6"/>
  <c r="P4" i="3"/>
  <c r="L5" i="3"/>
  <c r="I43" i="6"/>
  <c r="Q17" i="4"/>
  <c r="Q17" i="3"/>
  <c r="L17" i="8"/>
  <c r="I43" i="9" s="1"/>
  <c r="J4" i="8"/>
  <c r="G8" i="9" s="1"/>
  <c r="I4" i="4"/>
  <c r="G8" i="6"/>
  <c r="O4" i="3"/>
  <c r="K5" i="3"/>
  <c r="M24" i="9"/>
  <c r="AB3" i="8"/>
  <c r="M7" i="9" s="1"/>
  <c r="R3" i="8"/>
  <c r="G24" i="6"/>
  <c r="K41" i="6"/>
  <c r="K15" i="4"/>
  <c r="K58" i="6" s="1"/>
  <c r="B35" i="9"/>
  <c r="M41" i="6"/>
  <c r="S15" i="4"/>
  <c r="M58" i="6" s="1"/>
  <c r="K7" i="6"/>
  <c r="K3" i="4"/>
  <c r="K24" i="6" s="1"/>
  <c r="S3" i="8"/>
  <c r="H24" i="6"/>
  <c r="I59" i="6"/>
  <c r="T16" i="8"/>
  <c r="C35" i="9"/>
  <c r="B30" i="9"/>
  <c r="K16" i="8"/>
  <c r="H42" i="9" s="1"/>
  <c r="H42" i="6"/>
  <c r="L17" i="3"/>
  <c r="M16" i="4"/>
  <c r="P16" i="3"/>
  <c r="C61" i="6"/>
  <c r="D64" i="9"/>
  <c r="F3" i="4"/>
  <c r="B29" i="9"/>
  <c r="C64" i="6"/>
  <c r="I58" i="6"/>
  <c r="T15" i="8"/>
  <c r="D33" i="6"/>
  <c r="I16" i="8"/>
  <c r="F42" i="9" s="1"/>
  <c r="E16" i="4"/>
  <c r="F42" i="6"/>
  <c r="J17" i="3"/>
  <c r="N16" i="3"/>
  <c r="Q15" i="8"/>
  <c r="F58" i="6"/>
  <c r="D61" i="6"/>
  <c r="D29" i="9"/>
  <c r="S3" i="4"/>
  <c r="M24" i="6" s="1"/>
  <c r="M7" i="6"/>
  <c r="D70" i="9"/>
  <c r="B64" i="6"/>
  <c r="S15" i="8"/>
  <c r="H58" i="6"/>
  <c r="H43" i="6" l="1"/>
  <c r="P17" i="3"/>
  <c r="M17" i="4"/>
  <c r="K17" i="8"/>
  <c r="H43" i="9" s="1"/>
  <c r="L18" i="3"/>
  <c r="J7" i="6"/>
  <c r="G3" i="4"/>
  <c r="J24" i="6" s="1"/>
  <c r="K6" i="6"/>
  <c r="K2" i="4"/>
  <c r="K23" i="6" s="1"/>
  <c r="G2" i="4"/>
  <c r="J23" i="6" s="1"/>
  <c r="J6" i="6"/>
  <c r="F24" i="9"/>
  <c r="U3" i="8"/>
  <c r="G25" i="6"/>
  <c r="R4" i="8"/>
  <c r="J4" i="4"/>
  <c r="I59" i="9"/>
  <c r="X16" i="8"/>
  <c r="J18" i="8"/>
  <c r="G44" i="9" s="1"/>
  <c r="K19" i="3"/>
  <c r="I18" i="4"/>
  <c r="O18" i="3"/>
  <c r="G44" i="6"/>
  <c r="H24" i="9"/>
  <c r="W3" i="8"/>
  <c r="R17" i="8"/>
  <c r="G60" i="6"/>
  <c r="J17" i="4"/>
  <c r="S16" i="8"/>
  <c r="H59" i="6"/>
  <c r="N16" i="4"/>
  <c r="G59" i="9"/>
  <c r="V16" i="8"/>
  <c r="Q4" i="8"/>
  <c r="F25" i="6"/>
  <c r="F4" i="4"/>
  <c r="I5" i="8"/>
  <c r="F9" i="9" s="1"/>
  <c r="F9" i="6"/>
  <c r="E5" i="4"/>
  <c r="J6" i="3"/>
  <c r="N5" i="3"/>
  <c r="F59" i="6"/>
  <c r="Q16" i="8"/>
  <c r="K58" i="9"/>
  <c r="Z15" i="8"/>
  <c r="K41" i="9" s="1"/>
  <c r="G24" i="9"/>
  <c r="V3" i="8"/>
  <c r="G16" i="4"/>
  <c r="J59" i="6" s="1"/>
  <c r="J42" i="6"/>
  <c r="M23" i="9"/>
  <c r="AB2" i="8"/>
  <c r="M6" i="9" s="1"/>
  <c r="I60" i="6"/>
  <c r="T17" i="8"/>
  <c r="R17" i="4"/>
  <c r="H58" i="9"/>
  <c r="W15" i="8"/>
  <c r="L6" i="6"/>
  <c r="O2" i="4"/>
  <c r="L23" i="6" s="1"/>
  <c r="F58" i="9"/>
  <c r="U15" i="8"/>
  <c r="J5" i="8"/>
  <c r="G9" i="9" s="1"/>
  <c r="G9" i="6"/>
  <c r="O5" i="3"/>
  <c r="K6" i="3"/>
  <c r="I5" i="4"/>
  <c r="F43" i="6"/>
  <c r="N17" i="3"/>
  <c r="E17" i="4"/>
  <c r="I17" i="8"/>
  <c r="F43" i="9" s="1"/>
  <c r="J18" i="3"/>
  <c r="I58" i="9"/>
  <c r="X15" i="8"/>
  <c r="K5" i="8"/>
  <c r="H9" i="9" s="1"/>
  <c r="H9" i="6"/>
  <c r="M5" i="4"/>
  <c r="P5" i="3"/>
  <c r="L6" i="3"/>
  <c r="S4" i="8"/>
  <c r="H25" i="6"/>
  <c r="N4" i="4"/>
  <c r="J19" i="8" l="1"/>
  <c r="G45" i="9" s="1"/>
  <c r="G45" i="6"/>
  <c r="O19" i="3"/>
  <c r="I19" i="4"/>
  <c r="K20" i="3"/>
  <c r="M59" i="9"/>
  <c r="AB16" i="8"/>
  <c r="M42" i="9" s="1"/>
  <c r="F59" i="9"/>
  <c r="U16" i="8"/>
  <c r="G26" i="6"/>
  <c r="R5" i="8"/>
  <c r="J5" i="4"/>
  <c r="F26" i="6"/>
  <c r="Q5" i="8"/>
  <c r="F5" i="4"/>
  <c r="E6" i="4"/>
  <c r="J7" i="3"/>
  <c r="N6" i="3"/>
  <c r="F10" i="6"/>
  <c r="I6" i="8"/>
  <c r="F10" i="9" s="1"/>
  <c r="G25" i="9"/>
  <c r="V4" i="8"/>
  <c r="O6" i="3"/>
  <c r="G10" i="6"/>
  <c r="J6" i="8"/>
  <c r="G10" i="9" s="1"/>
  <c r="I6" i="4"/>
  <c r="K7" i="3"/>
  <c r="J58" i="9"/>
  <c r="Y15" i="8"/>
  <c r="J41" i="9" s="1"/>
  <c r="J24" i="9"/>
  <c r="Y3" i="8"/>
  <c r="J7" i="9" s="1"/>
  <c r="J8" i="6"/>
  <c r="G4" i="4"/>
  <c r="J25" i="6" s="1"/>
  <c r="K8" i="6"/>
  <c r="K4" i="4"/>
  <c r="K25" i="6" s="1"/>
  <c r="F25" i="9"/>
  <c r="U4" i="8"/>
  <c r="I60" i="9"/>
  <c r="X17" i="8"/>
  <c r="M58" i="9"/>
  <c r="AB15" i="8"/>
  <c r="M41" i="9" s="1"/>
  <c r="K43" i="6"/>
  <c r="K17" i="4"/>
  <c r="K60" i="6" s="1"/>
  <c r="K18" i="8"/>
  <c r="H44" i="9" s="1"/>
  <c r="M18" i="4"/>
  <c r="P18" i="3"/>
  <c r="H44" i="6"/>
  <c r="L19" i="3"/>
  <c r="R18" i="8"/>
  <c r="G61" i="6"/>
  <c r="J18" i="4"/>
  <c r="S5" i="8"/>
  <c r="H26" i="6"/>
  <c r="N5" i="4"/>
  <c r="L42" i="6"/>
  <c r="O16" i="4"/>
  <c r="L59" i="6" s="1"/>
  <c r="H59" i="9"/>
  <c r="W16" i="8"/>
  <c r="G60" i="9"/>
  <c r="V17" i="8"/>
  <c r="O4" i="4"/>
  <c r="L25" i="6" s="1"/>
  <c r="L8" i="6"/>
  <c r="H25" i="9"/>
  <c r="W4" i="8"/>
  <c r="K59" i="9"/>
  <c r="Z16" i="8"/>
  <c r="K42" i="9" s="1"/>
  <c r="S17" i="4"/>
  <c r="M60" i="6" s="1"/>
  <c r="M43" i="6"/>
  <c r="I18" i="8"/>
  <c r="F44" i="9" s="1"/>
  <c r="N18" i="3"/>
  <c r="E18" i="4"/>
  <c r="J19" i="3"/>
  <c r="F44" i="6"/>
  <c r="K24" i="9"/>
  <c r="Z3" i="8"/>
  <c r="K7" i="9" s="1"/>
  <c r="L24" i="9"/>
  <c r="AA3" i="8"/>
  <c r="L7" i="9" s="1"/>
  <c r="S17" i="8"/>
  <c r="H60" i="6"/>
  <c r="N17" i="4"/>
  <c r="L58" i="9"/>
  <c r="AA15" i="8"/>
  <c r="L41" i="9" s="1"/>
  <c r="L7" i="3"/>
  <c r="P6" i="3"/>
  <c r="H10" i="6"/>
  <c r="M6" i="4"/>
  <c r="K6" i="8"/>
  <c r="H10" i="9" s="1"/>
  <c r="Q17" i="8"/>
  <c r="F60" i="6"/>
  <c r="F17" i="4"/>
  <c r="L25" i="9" l="1"/>
  <c r="AA4" i="8"/>
  <c r="L8" i="9" s="1"/>
  <c r="S6" i="8"/>
  <c r="H27" i="6"/>
  <c r="N6" i="4"/>
  <c r="M60" i="9"/>
  <c r="AB17" i="8"/>
  <c r="M43" i="9" s="1"/>
  <c r="I7" i="8"/>
  <c r="F11" i="9" s="1"/>
  <c r="F11" i="6"/>
  <c r="J8" i="3"/>
  <c r="E7" i="4"/>
  <c r="N7" i="3"/>
  <c r="F60" i="9"/>
  <c r="U17" i="8"/>
  <c r="J9" i="6"/>
  <c r="G5" i="4"/>
  <c r="J26" i="6" s="1"/>
  <c r="J25" i="9"/>
  <c r="Y4" i="8"/>
  <c r="J8" i="9" s="1"/>
  <c r="K9" i="6"/>
  <c r="K5" i="4"/>
  <c r="K26" i="6" s="1"/>
  <c r="Q6" i="8"/>
  <c r="F27" i="6"/>
  <c r="F6" i="4"/>
  <c r="L43" i="6"/>
  <c r="O17" i="4"/>
  <c r="L60" i="6" s="1"/>
  <c r="G26" i="9"/>
  <c r="V5" i="8"/>
  <c r="L9" i="6"/>
  <c r="O5" i="4"/>
  <c r="L26" i="6" s="1"/>
  <c r="J59" i="9"/>
  <c r="Y16" i="8"/>
  <c r="J42" i="9" s="1"/>
  <c r="H60" i="9"/>
  <c r="W17" i="8"/>
  <c r="H26" i="9"/>
  <c r="W5" i="8"/>
  <c r="K7" i="8"/>
  <c r="H11" i="9" s="1"/>
  <c r="H11" i="6"/>
  <c r="L8" i="3"/>
  <c r="P7" i="3"/>
  <c r="M7" i="4"/>
  <c r="K60" i="9"/>
  <c r="Z17" i="8"/>
  <c r="K43" i="9" s="1"/>
  <c r="K44" i="6"/>
  <c r="K18" i="4"/>
  <c r="K61" i="6" s="1"/>
  <c r="I19" i="8"/>
  <c r="F45" i="9" s="1"/>
  <c r="F45" i="6"/>
  <c r="J20" i="3"/>
  <c r="N19" i="3"/>
  <c r="E19" i="4"/>
  <c r="L59" i="9"/>
  <c r="AA16" i="8"/>
  <c r="L42" i="9" s="1"/>
  <c r="G61" i="9"/>
  <c r="V18" i="8"/>
  <c r="J7" i="8"/>
  <c r="G11" i="9" s="1"/>
  <c r="G11" i="6"/>
  <c r="K8" i="3"/>
  <c r="O7" i="3"/>
  <c r="I7" i="4"/>
  <c r="J20" i="8"/>
  <c r="G46" i="9" s="1"/>
  <c r="I20" i="4"/>
  <c r="O20" i="3"/>
  <c r="K21" i="3"/>
  <c r="G46" i="6"/>
  <c r="K19" i="8"/>
  <c r="H45" i="9" s="1"/>
  <c r="H45" i="6"/>
  <c r="M19" i="4"/>
  <c r="P19" i="3"/>
  <c r="L20" i="3"/>
  <c r="K25" i="9"/>
  <c r="Z4" i="8"/>
  <c r="K8" i="9" s="1"/>
  <c r="R19" i="8"/>
  <c r="G62" i="6"/>
  <c r="J19" i="4"/>
  <c r="F26" i="9"/>
  <c r="U5" i="8"/>
  <c r="J43" i="6"/>
  <c r="G17" i="4"/>
  <c r="J60" i="6" s="1"/>
  <c r="S18" i="8"/>
  <c r="H61" i="6"/>
  <c r="N18" i="4"/>
  <c r="Q18" i="8"/>
  <c r="F61" i="6"/>
  <c r="F18" i="4"/>
  <c r="R6" i="8"/>
  <c r="G27" i="6"/>
  <c r="J6" i="4"/>
  <c r="K8" i="8" l="1"/>
  <c r="H12" i="9" s="1"/>
  <c r="M8" i="4"/>
  <c r="L9" i="3"/>
  <c r="P8" i="3"/>
  <c r="H12" i="6"/>
  <c r="S7" i="8"/>
  <c r="H28" i="6"/>
  <c r="N7" i="4"/>
  <c r="J60" i="9"/>
  <c r="Y17" i="8"/>
  <c r="J43" i="9" s="1"/>
  <c r="L26" i="9"/>
  <c r="AA5" i="8"/>
  <c r="L9" i="9" s="1"/>
  <c r="G28" i="6"/>
  <c r="R7" i="8"/>
  <c r="J7" i="4"/>
  <c r="H61" i="9"/>
  <c r="W18" i="8"/>
  <c r="J8" i="8"/>
  <c r="G12" i="9" s="1"/>
  <c r="I8" i="4"/>
  <c r="O8" i="3"/>
  <c r="K9" i="3"/>
  <c r="G12" i="6"/>
  <c r="Q7" i="8"/>
  <c r="F28" i="6"/>
  <c r="F7" i="4"/>
  <c r="I8" i="8"/>
  <c r="F12" i="9" s="1"/>
  <c r="N8" i="3"/>
  <c r="E8" i="4"/>
  <c r="F12" i="6"/>
  <c r="J9" i="3"/>
  <c r="R20" i="8"/>
  <c r="G63" i="6"/>
  <c r="J20" i="4"/>
  <c r="F61" i="9"/>
  <c r="U18" i="8"/>
  <c r="L60" i="9"/>
  <c r="AA17" i="8"/>
  <c r="L43" i="9" s="1"/>
  <c r="K61" i="9"/>
  <c r="Z18" i="8"/>
  <c r="K44" i="9" s="1"/>
  <c r="K10" i="6"/>
  <c r="K6" i="4"/>
  <c r="K27" i="6" s="1"/>
  <c r="L44" i="6"/>
  <c r="O18" i="4"/>
  <c r="L61" i="6" s="1"/>
  <c r="J26" i="9"/>
  <c r="Y5" i="8"/>
  <c r="J9" i="9" s="1"/>
  <c r="K45" i="6"/>
  <c r="K19" i="4"/>
  <c r="K62" i="6" s="1"/>
  <c r="G27" i="9"/>
  <c r="V6" i="8"/>
  <c r="J44" i="6"/>
  <c r="G18" i="4"/>
  <c r="J61" i="6" s="1"/>
  <c r="J21" i="8"/>
  <c r="G47" i="9" s="1"/>
  <c r="G47" i="6"/>
  <c r="I21" i="4"/>
  <c r="O21" i="3"/>
  <c r="K22" i="3"/>
  <c r="K26" i="9"/>
  <c r="Z5" i="8"/>
  <c r="K9" i="9" s="1"/>
  <c r="L10" i="6"/>
  <c r="O6" i="4"/>
  <c r="L27" i="6" s="1"/>
  <c r="G62" i="9"/>
  <c r="V19" i="8"/>
  <c r="Q19" i="8"/>
  <c r="F62" i="6"/>
  <c r="F19" i="4"/>
  <c r="I20" i="8"/>
  <c r="F46" i="9" s="1"/>
  <c r="E20" i="4"/>
  <c r="J21" i="3"/>
  <c r="F46" i="6"/>
  <c r="N20" i="3"/>
  <c r="H27" i="9"/>
  <c r="W6" i="8"/>
  <c r="F27" i="9"/>
  <c r="U6" i="8"/>
  <c r="K20" i="8"/>
  <c r="H46" i="9" s="1"/>
  <c r="L21" i="3"/>
  <c r="H46" i="6"/>
  <c r="M20" i="4"/>
  <c r="P20" i="3"/>
  <c r="H62" i="6"/>
  <c r="S19" i="8"/>
  <c r="N19" i="4"/>
  <c r="J10" i="6"/>
  <c r="G6" i="4"/>
  <c r="J27" i="6" s="1"/>
  <c r="K11" i="6" l="1"/>
  <c r="K7" i="4"/>
  <c r="K28" i="6" s="1"/>
  <c r="J22" i="8"/>
  <c r="G48" i="9" s="1"/>
  <c r="I22" i="4"/>
  <c r="G48" i="6"/>
  <c r="K23" i="3"/>
  <c r="O22" i="3"/>
  <c r="R8" i="8"/>
  <c r="G29" i="6"/>
  <c r="J8" i="4"/>
  <c r="K10" i="3"/>
  <c r="G13" i="6"/>
  <c r="I9" i="4"/>
  <c r="J9" i="8"/>
  <c r="G13" i="9" s="1"/>
  <c r="O9" i="3"/>
  <c r="F62" i="9"/>
  <c r="U19" i="8"/>
  <c r="L61" i="9"/>
  <c r="AA18" i="8"/>
  <c r="L44" i="9" s="1"/>
  <c r="H62" i="9"/>
  <c r="W19" i="8"/>
  <c r="K21" i="8"/>
  <c r="H47" i="9" s="1"/>
  <c r="M21" i="4"/>
  <c r="H47" i="6"/>
  <c r="P21" i="3"/>
  <c r="L22" i="3"/>
  <c r="J45" i="6"/>
  <c r="G19" i="4"/>
  <c r="J62" i="6" s="1"/>
  <c r="K46" i="6"/>
  <c r="K20" i="4"/>
  <c r="K63" i="6" s="1"/>
  <c r="I9" i="8"/>
  <c r="F13" i="9" s="1"/>
  <c r="F13" i="6"/>
  <c r="E9" i="4"/>
  <c r="J10" i="3"/>
  <c r="N9" i="3"/>
  <c r="H28" i="9"/>
  <c r="W7" i="8"/>
  <c r="K62" i="9"/>
  <c r="Z19" i="8"/>
  <c r="K45" i="9" s="1"/>
  <c r="L45" i="6"/>
  <c r="O19" i="4"/>
  <c r="L62" i="6" s="1"/>
  <c r="S20" i="8"/>
  <c r="H63" i="6"/>
  <c r="N20" i="4"/>
  <c r="L11" i="6"/>
  <c r="O7" i="4"/>
  <c r="L28" i="6" s="1"/>
  <c r="J27" i="9"/>
  <c r="Y6" i="8"/>
  <c r="J10" i="9" s="1"/>
  <c r="Q20" i="8"/>
  <c r="F63" i="6"/>
  <c r="F20" i="4"/>
  <c r="S8" i="8"/>
  <c r="H29" i="6"/>
  <c r="N8" i="4"/>
  <c r="R21" i="8"/>
  <c r="G64" i="6"/>
  <c r="J21" i="4"/>
  <c r="L27" i="9"/>
  <c r="AA6" i="8"/>
  <c r="L10" i="9" s="1"/>
  <c r="K9" i="8"/>
  <c r="H13" i="9" s="1"/>
  <c r="H13" i="6"/>
  <c r="M9" i="4"/>
  <c r="L10" i="3"/>
  <c r="P9" i="3"/>
  <c r="Q8" i="8"/>
  <c r="F29" i="6"/>
  <c r="F8" i="4"/>
  <c r="G28" i="9"/>
  <c r="V7" i="8"/>
  <c r="J61" i="9"/>
  <c r="Y18" i="8"/>
  <c r="J44" i="9" s="1"/>
  <c r="G63" i="9"/>
  <c r="V20" i="8"/>
  <c r="K27" i="9"/>
  <c r="Z6" i="8"/>
  <c r="K10" i="9" s="1"/>
  <c r="J11" i="6"/>
  <c r="G7" i="4"/>
  <c r="J28" i="6" s="1"/>
  <c r="I21" i="8"/>
  <c r="F47" i="9" s="1"/>
  <c r="F47" i="6"/>
  <c r="E21" i="4"/>
  <c r="N21" i="3"/>
  <c r="J22" i="3"/>
  <c r="F28" i="9"/>
  <c r="U7" i="8"/>
  <c r="L46" i="6" l="1"/>
  <c r="O20" i="4"/>
  <c r="L63" i="6" s="1"/>
  <c r="Q21" i="8"/>
  <c r="F64" i="6"/>
  <c r="F21" i="4"/>
  <c r="L28" i="9"/>
  <c r="AA7" i="8"/>
  <c r="L11" i="9" s="1"/>
  <c r="R9" i="8"/>
  <c r="G30" i="6"/>
  <c r="J9" i="4"/>
  <c r="L62" i="9"/>
  <c r="AA19" i="8"/>
  <c r="L45" i="9" s="1"/>
  <c r="K10" i="8"/>
  <c r="H14" i="9" s="1"/>
  <c r="P10" i="3"/>
  <c r="M10" i="4"/>
  <c r="L11" i="3"/>
  <c r="H14" i="6"/>
  <c r="Q9" i="8"/>
  <c r="F30" i="6"/>
  <c r="F9" i="4"/>
  <c r="J62" i="9"/>
  <c r="Y19" i="8"/>
  <c r="J45" i="9" s="1"/>
  <c r="J10" i="8"/>
  <c r="G14" i="9" s="1"/>
  <c r="K11" i="3"/>
  <c r="O10" i="3"/>
  <c r="I10" i="4"/>
  <c r="G14" i="6"/>
  <c r="S9" i="8"/>
  <c r="H30" i="6"/>
  <c r="N9" i="4"/>
  <c r="K8" i="4"/>
  <c r="K29" i="6" s="1"/>
  <c r="K12" i="6"/>
  <c r="F29" i="9"/>
  <c r="U8" i="8"/>
  <c r="H63" i="9"/>
  <c r="W20" i="8"/>
  <c r="I10" i="8"/>
  <c r="F14" i="9" s="1"/>
  <c r="N10" i="3"/>
  <c r="J11" i="3"/>
  <c r="E10" i="4"/>
  <c r="F14" i="6"/>
  <c r="O8" i="4"/>
  <c r="L29" i="6" s="1"/>
  <c r="L12" i="6"/>
  <c r="G29" i="9"/>
  <c r="V8" i="8"/>
  <c r="J28" i="9"/>
  <c r="Y7" i="8"/>
  <c r="J11" i="9" s="1"/>
  <c r="I22" i="8"/>
  <c r="F48" i="9" s="1"/>
  <c r="F48" i="6"/>
  <c r="E22" i="4"/>
  <c r="J23" i="3"/>
  <c r="N22" i="3"/>
  <c r="K63" i="9"/>
  <c r="Z20" i="8"/>
  <c r="K46" i="9" s="1"/>
  <c r="G20" i="4"/>
  <c r="J63" i="6" s="1"/>
  <c r="J46" i="6"/>
  <c r="R22" i="8"/>
  <c r="G65" i="6"/>
  <c r="J22" i="4"/>
  <c r="G49" i="6"/>
  <c r="J23" i="8"/>
  <c r="G49" i="9" s="1"/>
  <c r="K24" i="3"/>
  <c r="I23" i="4"/>
  <c r="O23" i="3"/>
  <c r="F63" i="9"/>
  <c r="U20" i="8"/>
  <c r="K47" i="6"/>
  <c r="K21" i="4"/>
  <c r="K64" i="6" s="1"/>
  <c r="H29" i="9"/>
  <c r="W8" i="8"/>
  <c r="K22" i="8"/>
  <c r="H48" i="9" s="1"/>
  <c r="L23" i="3"/>
  <c r="M22" i="4"/>
  <c r="H48" i="6"/>
  <c r="P22" i="3"/>
  <c r="K28" i="9"/>
  <c r="Z7" i="8"/>
  <c r="K11" i="9" s="1"/>
  <c r="S21" i="8"/>
  <c r="H64" i="6"/>
  <c r="N21" i="4"/>
  <c r="G64" i="9"/>
  <c r="V21" i="8"/>
  <c r="G8" i="4"/>
  <c r="J29" i="6" s="1"/>
  <c r="J12" i="6"/>
  <c r="I11" i="8" l="1"/>
  <c r="F15" i="9" s="1"/>
  <c r="E11" i="4"/>
  <c r="F15" i="6"/>
  <c r="J12" i="3"/>
  <c r="N11" i="3"/>
  <c r="J63" i="9"/>
  <c r="Y20" i="8"/>
  <c r="J46" i="9" s="1"/>
  <c r="K11" i="8"/>
  <c r="H15" i="9" s="1"/>
  <c r="P11" i="3"/>
  <c r="H15" i="6"/>
  <c r="L12" i="3"/>
  <c r="M11" i="4"/>
  <c r="J24" i="8"/>
  <c r="G50" i="9" s="1"/>
  <c r="G50" i="6"/>
  <c r="K25" i="3"/>
  <c r="O24" i="3"/>
  <c r="I24" i="4"/>
  <c r="Q10" i="8"/>
  <c r="F31" i="6"/>
  <c r="F10" i="4"/>
  <c r="K22" i="4"/>
  <c r="K65" i="6" s="1"/>
  <c r="K48" i="6"/>
  <c r="L63" i="9"/>
  <c r="AA20" i="8"/>
  <c r="L46" i="9" s="1"/>
  <c r="S10" i="8"/>
  <c r="H31" i="6"/>
  <c r="N10" i="4"/>
  <c r="G65" i="9"/>
  <c r="V22" i="8"/>
  <c r="K64" i="9"/>
  <c r="Z21" i="8"/>
  <c r="K47" i="9" s="1"/>
  <c r="J29" i="9"/>
  <c r="Y8" i="8"/>
  <c r="J12" i="9" s="1"/>
  <c r="H64" i="9"/>
  <c r="W21" i="8"/>
  <c r="K13" i="6"/>
  <c r="K9" i="4"/>
  <c r="K30" i="6" s="1"/>
  <c r="J13" i="6"/>
  <c r="G9" i="4"/>
  <c r="J30" i="6" s="1"/>
  <c r="F30" i="9"/>
  <c r="U9" i="8"/>
  <c r="S22" i="8"/>
  <c r="H65" i="6"/>
  <c r="N22" i="4"/>
  <c r="G30" i="9"/>
  <c r="V9" i="8"/>
  <c r="I23" i="8"/>
  <c r="F49" i="9" s="1"/>
  <c r="E23" i="4"/>
  <c r="N23" i="3"/>
  <c r="F49" i="6"/>
  <c r="J24" i="3"/>
  <c r="H30" i="9"/>
  <c r="W9" i="8"/>
  <c r="L47" i="6"/>
  <c r="O21" i="4"/>
  <c r="L64" i="6" s="1"/>
  <c r="J47" i="6"/>
  <c r="G21" i="4"/>
  <c r="J64" i="6" s="1"/>
  <c r="Q22" i="8"/>
  <c r="F65" i="6"/>
  <c r="F22" i="4"/>
  <c r="L13" i="6"/>
  <c r="O9" i="4"/>
  <c r="L30" i="6" s="1"/>
  <c r="K23" i="8"/>
  <c r="H49" i="9" s="1"/>
  <c r="H49" i="6"/>
  <c r="M23" i="4"/>
  <c r="L24" i="3"/>
  <c r="P23" i="3"/>
  <c r="L29" i="9"/>
  <c r="AA8" i="8"/>
  <c r="L12" i="9" s="1"/>
  <c r="R23" i="8"/>
  <c r="G66" i="6"/>
  <c r="J23" i="4"/>
  <c r="R10" i="8"/>
  <c r="G31" i="6"/>
  <c r="J10" i="4"/>
  <c r="F64" i="9"/>
  <c r="U21" i="8"/>
  <c r="J11" i="8"/>
  <c r="G15" i="9" s="1"/>
  <c r="G15" i="6"/>
  <c r="K12" i="3"/>
  <c r="I11" i="4"/>
  <c r="O11" i="3"/>
  <c r="K29" i="9"/>
  <c r="Z8" i="8"/>
  <c r="K12" i="9" s="1"/>
  <c r="O22" i="4" l="1"/>
  <c r="L65" i="6" s="1"/>
  <c r="L48" i="6"/>
  <c r="J14" i="6"/>
  <c r="G10" i="4"/>
  <c r="J31" i="6" s="1"/>
  <c r="G22" i="4"/>
  <c r="J65" i="6" s="1"/>
  <c r="J48" i="6"/>
  <c r="G67" i="6"/>
  <c r="R24" i="8"/>
  <c r="J24" i="4"/>
  <c r="F65" i="9"/>
  <c r="U22" i="8"/>
  <c r="K24" i="8"/>
  <c r="H50" i="9" s="1"/>
  <c r="P24" i="3"/>
  <c r="L25" i="3"/>
  <c r="M24" i="4"/>
  <c r="H50" i="6"/>
  <c r="G16" i="6"/>
  <c r="I12" i="4"/>
  <c r="J12" i="8"/>
  <c r="G16" i="9" s="1"/>
  <c r="K13" i="3"/>
  <c r="O12" i="3"/>
  <c r="J30" i="9"/>
  <c r="Y9" i="8"/>
  <c r="J13" i="9" s="1"/>
  <c r="K12" i="8"/>
  <c r="H16" i="9" s="1"/>
  <c r="M12" i="4"/>
  <c r="P12" i="3"/>
  <c r="L13" i="3"/>
  <c r="H16" i="6"/>
  <c r="R11" i="8"/>
  <c r="G32" i="6"/>
  <c r="J11" i="4"/>
  <c r="J25" i="8"/>
  <c r="G51" i="9" s="1"/>
  <c r="I25" i="4"/>
  <c r="K26" i="3"/>
  <c r="G51" i="6"/>
  <c r="O25" i="3"/>
  <c r="L64" i="9"/>
  <c r="AA21" i="8"/>
  <c r="L47" i="9" s="1"/>
  <c r="H65" i="9"/>
  <c r="W22" i="8"/>
  <c r="L30" i="9"/>
  <c r="AA9" i="8"/>
  <c r="L13" i="9" s="1"/>
  <c r="S11" i="8"/>
  <c r="H32" i="6"/>
  <c r="N11" i="4"/>
  <c r="J64" i="9"/>
  <c r="Y21" i="8"/>
  <c r="J47" i="9" s="1"/>
  <c r="I24" i="8"/>
  <c r="F50" i="9" s="1"/>
  <c r="F50" i="6"/>
  <c r="E24" i="4"/>
  <c r="N24" i="3"/>
  <c r="J25" i="3"/>
  <c r="K49" i="6"/>
  <c r="K23" i="4"/>
  <c r="K66" i="6" s="1"/>
  <c r="O10" i="4"/>
  <c r="L31" i="6" s="1"/>
  <c r="L14" i="6"/>
  <c r="Q11" i="8"/>
  <c r="F32" i="6"/>
  <c r="F11" i="4"/>
  <c r="I12" i="8"/>
  <c r="F16" i="9" s="1"/>
  <c r="F16" i="6"/>
  <c r="J13" i="3"/>
  <c r="E12" i="4"/>
  <c r="N12" i="3"/>
  <c r="G31" i="9"/>
  <c r="V10" i="8"/>
  <c r="F31" i="9"/>
  <c r="U10" i="8"/>
  <c r="K10" i="4"/>
  <c r="K31" i="6" s="1"/>
  <c r="K14" i="6"/>
  <c r="K65" i="9"/>
  <c r="Z22" i="8"/>
  <c r="K48" i="9" s="1"/>
  <c r="Q23" i="8"/>
  <c r="F66" i="6"/>
  <c r="F23" i="4"/>
  <c r="G66" i="9"/>
  <c r="V23" i="8"/>
  <c r="H31" i="9"/>
  <c r="W10" i="8"/>
  <c r="K30" i="9"/>
  <c r="Z9" i="8"/>
  <c r="K13" i="9" s="1"/>
  <c r="S23" i="8"/>
  <c r="H66" i="6"/>
  <c r="N23" i="4"/>
  <c r="K31" i="9" l="1"/>
  <c r="Z10" i="8"/>
  <c r="K14" i="9" s="1"/>
  <c r="J13" i="8"/>
  <c r="G17" i="9" s="1"/>
  <c r="G17" i="6"/>
  <c r="I13" i="4"/>
  <c r="O13" i="3"/>
  <c r="K14" i="3"/>
  <c r="J15" i="6"/>
  <c r="G11" i="4"/>
  <c r="J32" i="6" s="1"/>
  <c r="H66" i="9"/>
  <c r="W23" i="8"/>
  <c r="J26" i="8"/>
  <c r="G52" i="9" s="1"/>
  <c r="G52" i="6"/>
  <c r="O26" i="3"/>
  <c r="I26" i="4"/>
  <c r="K27" i="3"/>
  <c r="R25" i="8"/>
  <c r="G68" i="6"/>
  <c r="J25" i="4"/>
  <c r="J65" i="9"/>
  <c r="Y22" i="8"/>
  <c r="J48" i="9" s="1"/>
  <c r="R12" i="8"/>
  <c r="G33" i="6"/>
  <c r="J12" i="4"/>
  <c r="I13" i="8"/>
  <c r="F17" i="9" s="1"/>
  <c r="J14" i="3"/>
  <c r="F17" i="6"/>
  <c r="E13" i="4"/>
  <c r="N13" i="3"/>
  <c r="L65" i="9"/>
  <c r="AA22" i="8"/>
  <c r="L48" i="9" s="1"/>
  <c r="L31" i="9"/>
  <c r="AA10" i="8"/>
  <c r="L14" i="9" s="1"/>
  <c r="K66" i="9"/>
  <c r="Z23" i="8"/>
  <c r="K49" i="9" s="1"/>
  <c r="J49" i="6"/>
  <c r="G23" i="4"/>
  <c r="J66" i="6" s="1"/>
  <c r="K15" i="6"/>
  <c r="K11" i="4"/>
  <c r="K32" i="6" s="1"/>
  <c r="K50" i="6"/>
  <c r="K24" i="4"/>
  <c r="K67" i="6" s="1"/>
  <c r="I25" i="8"/>
  <c r="F51" i="9" s="1"/>
  <c r="E25" i="4"/>
  <c r="F51" i="6"/>
  <c r="J26" i="3"/>
  <c r="N25" i="3"/>
  <c r="G67" i="9"/>
  <c r="V24" i="8"/>
  <c r="F66" i="9"/>
  <c r="U23" i="8"/>
  <c r="Q24" i="8"/>
  <c r="F67" i="6"/>
  <c r="F24" i="4"/>
  <c r="G32" i="9"/>
  <c r="V11" i="8"/>
  <c r="H32" i="9"/>
  <c r="W11" i="8"/>
  <c r="Q12" i="8"/>
  <c r="F33" i="6"/>
  <c r="F12" i="4"/>
  <c r="S12" i="8"/>
  <c r="H33" i="6"/>
  <c r="N12" i="4"/>
  <c r="K25" i="8"/>
  <c r="H51" i="9" s="1"/>
  <c r="H51" i="6"/>
  <c r="P25" i="3"/>
  <c r="M25" i="4"/>
  <c r="L26" i="3"/>
  <c r="F32" i="9"/>
  <c r="U11" i="8"/>
  <c r="L49" i="6"/>
  <c r="O23" i="4"/>
  <c r="L66" i="6" s="1"/>
  <c r="K13" i="8"/>
  <c r="H17" i="9" s="1"/>
  <c r="L14" i="3"/>
  <c r="H17" i="6"/>
  <c r="P13" i="3"/>
  <c r="M13" i="4"/>
  <c r="J31" i="9"/>
  <c r="Y10" i="8"/>
  <c r="J14" i="9" s="1"/>
  <c r="H67" i="6"/>
  <c r="S24" i="8"/>
  <c r="N24" i="4"/>
  <c r="L15" i="6"/>
  <c r="O11" i="4"/>
  <c r="L32" i="6" s="1"/>
  <c r="G68" i="9" l="1"/>
  <c r="V25" i="8"/>
  <c r="J27" i="8"/>
  <c r="G53" i="9" s="1"/>
  <c r="O27" i="3"/>
  <c r="G53" i="6"/>
  <c r="I27" i="4"/>
  <c r="G33" i="9"/>
  <c r="V12" i="8"/>
  <c r="O24" i="4"/>
  <c r="L67" i="6" s="1"/>
  <c r="L50" i="6"/>
  <c r="K25" i="4"/>
  <c r="K68" i="6" s="1"/>
  <c r="K51" i="6"/>
  <c r="L66" i="9"/>
  <c r="AA23" i="8"/>
  <c r="L49" i="9" s="1"/>
  <c r="S25" i="8"/>
  <c r="H68" i="6"/>
  <c r="N25" i="4"/>
  <c r="L16" i="6"/>
  <c r="O12" i="4"/>
  <c r="L33" i="6" s="1"/>
  <c r="L32" i="9"/>
  <c r="AA11" i="8"/>
  <c r="L15" i="9" s="1"/>
  <c r="F33" i="9"/>
  <c r="U12" i="8"/>
  <c r="K14" i="8"/>
  <c r="H18" i="9" s="1"/>
  <c r="H18" i="6"/>
  <c r="M14" i="4"/>
  <c r="P14" i="3"/>
  <c r="R26" i="8"/>
  <c r="G69" i="6"/>
  <c r="J26" i="4"/>
  <c r="G24" i="4"/>
  <c r="J67" i="6" s="1"/>
  <c r="J50" i="6"/>
  <c r="F67" i="9"/>
  <c r="U24" i="8"/>
  <c r="Q13" i="8"/>
  <c r="F34" i="6"/>
  <c r="F13" i="4"/>
  <c r="J14" i="8"/>
  <c r="G18" i="9" s="1"/>
  <c r="G18" i="6"/>
  <c r="O14" i="3"/>
  <c r="I14" i="4"/>
  <c r="R13" i="8"/>
  <c r="G34" i="6"/>
  <c r="J13" i="4"/>
  <c r="J66" i="9"/>
  <c r="Y23" i="8"/>
  <c r="J49" i="9" s="1"/>
  <c r="J32" i="9"/>
  <c r="Y11" i="8"/>
  <c r="J15" i="9" s="1"/>
  <c r="K67" i="9"/>
  <c r="Z24" i="8"/>
  <c r="K50" i="9" s="1"/>
  <c r="I14" i="8"/>
  <c r="F18" i="9" s="1"/>
  <c r="F18" i="6"/>
  <c r="E14" i="4"/>
  <c r="N14" i="3"/>
  <c r="H33" i="9"/>
  <c r="W12" i="8"/>
  <c r="Q25" i="8"/>
  <c r="F68" i="6"/>
  <c r="F25" i="4"/>
  <c r="G12" i="4"/>
  <c r="J33" i="6" s="1"/>
  <c r="J16" i="6"/>
  <c r="H67" i="9"/>
  <c r="W24" i="8"/>
  <c r="K32" i="9"/>
  <c r="Z11" i="8"/>
  <c r="K15" i="9" s="1"/>
  <c r="S13" i="8"/>
  <c r="H34" i="6"/>
  <c r="N13" i="4"/>
  <c r="K26" i="8"/>
  <c r="H52" i="9" s="1"/>
  <c r="H52" i="6"/>
  <c r="M26" i="4"/>
  <c r="P26" i="3"/>
  <c r="L27" i="3"/>
  <c r="K12" i="4"/>
  <c r="K33" i="6" s="1"/>
  <c r="K16" i="6"/>
  <c r="I26" i="8"/>
  <c r="F52" i="9" s="1"/>
  <c r="F52" i="6"/>
  <c r="J27" i="3"/>
  <c r="N26" i="3"/>
  <c r="E26" i="4"/>
  <c r="R14" i="8" l="1"/>
  <c r="G35" i="6"/>
  <c r="J14" i="4"/>
  <c r="O25" i="4"/>
  <c r="L68" i="6" s="1"/>
  <c r="L51" i="6"/>
  <c r="H68" i="9"/>
  <c r="W25" i="8"/>
  <c r="L33" i="9"/>
  <c r="AA12" i="8"/>
  <c r="L16" i="9" s="1"/>
  <c r="K17" i="6"/>
  <c r="K13" i="4"/>
  <c r="K34" i="6" s="1"/>
  <c r="I27" i="8"/>
  <c r="F53" i="9" s="1"/>
  <c r="F53" i="6"/>
  <c r="E27" i="4"/>
  <c r="N27" i="3"/>
  <c r="K33" i="9"/>
  <c r="Z12" i="8"/>
  <c r="K16" i="9" s="1"/>
  <c r="H34" i="9"/>
  <c r="W13" i="8"/>
  <c r="G34" i="9"/>
  <c r="V13" i="8"/>
  <c r="L67" i="9"/>
  <c r="AA24" i="8"/>
  <c r="L50" i="9" s="1"/>
  <c r="G25" i="4"/>
  <c r="J68" i="6" s="1"/>
  <c r="J51" i="6"/>
  <c r="Q26" i="8"/>
  <c r="F69" i="6"/>
  <c r="F26" i="4"/>
  <c r="F68" i="9"/>
  <c r="U25" i="8"/>
  <c r="J67" i="9"/>
  <c r="Y24" i="8"/>
  <c r="J50" i="9" s="1"/>
  <c r="S26" i="8"/>
  <c r="H69" i="6"/>
  <c r="N26" i="4"/>
  <c r="K26" i="4"/>
  <c r="K69" i="6" s="1"/>
  <c r="K52" i="6"/>
  <c r="S14" i="8"/>
  <c r="H35" i="6"/>
  <c r="N14" i="4"/>
  <c r="F34" i="9"/>
  <c r="U13" i="8"/>
  <c r="G70" i="6"/>
  <c r="R27" i="8"/>
  <c r="J27" i="4"/>
  <c r="Q14" i="8"/>
  <c r="F35" i="6"/>
  <c r="F14" i="4"/>
  <c r="K27" i="8"/>
  <c r="H53" i="9" s="1"/>
  <c r="M27" i="4"/>
  <c r="H53" i="6"/>
  <c r="P27" i="3"/>
  <c r="G69" i="9"/>
  <c r="V26" i="8"/>
  <c r="J17" i="6"/>
  <c r="G13" i="4"/>
  <c r="J34" i="6" s="1"/>
  <c r="O13" i="4"/>
  <c r="L34" i="6" s="1"/>
  <c r="L17" i="6"/>
  <c r="K68" i="9"/>
  <c r="Z25" i="8"/>
  <c r="K51" i="9" s="1"/>
  <c r="J33" i="9"/>
  <c r="Y12" i="8"/>
  <c r="J16" i="9" s="1"/>
  <c r="K34" i="9" l="1"/>
  <c r="Z13" i="8"/>
  <c r="K17" i="9" s="1"/>
  <c r="G70" i="9"/>
  <c r="V27" i="8"/>
  <c r="Q27" i="8"/>
  <c r="F70" i="6"/>
  <c r="F27" i="4"/>
  <c r="J34" i="9"/>
  <c r="Y13" i="8"/>
  <c r="J17" i="9" s="1"/>
  <c r="H69" i="9"/>
  <c r="W26" i="8"/>
  <c r="S27" i="8"/>
  <c r="H70" i="6"/>
  <c r="N27" i="4"/>
  <c r="O14" i="4"/>
  <c r="L35" i="6" s="1"/>
  <c r="L18" i="6"/>
  <c r="L34" i="9"/>
  <c r="AA13" i="8"/>
  <c r="L17" i="9" s="1"/>
  <c r="H35" i="9"/>
  <c r="W14" i="8"/>
  <c r="K69" i="9"/>
  <c r="Z26" i="8"/>
  <c r="K52" i="9" s="1"/>
  <c r="J68" i="9"/>
  <c r="Y25" i="8"/>
  <c r="J51" i="9" s="1"/>
  <c r="K14" i="4"/>
  <c r="K35" i="6" s="1"/>
  <c r="K18" i="6"/>
  <c r="O26" i="4"/>
  <c r="L69" i="6" s="1"/>
  <c r="L52" i="6"/>
  <c r="J18" i="6"/>
  <c r="G14" i="4"/>
  <c r="J35" i="6" s="1"/>
  <c r="F69" i="9"/>
  <c r="U26" i="8"/>
  <c r="F35" i="9"/>
  <c r="U14" i="8"/>
  <c r="L68" i="9"/>
  <c r="AA25" i="8"/>
  <c r="L51" i="9" s="1"/>
  <c r="J52" i="6"/>
  <c r="G26" i="4"/>
  <c r="J69" i="6" s="1"/>
  <c r="K53" i="6"/>
  <c r="K27" i="4"/>
  <c r="K70" i="6" s="1"/>
  <c r="G35" i="9"/>
  <c r="V14" i="8"/>
  <c r="L35" i="9" l="1"/>
  <c r="AA14" i="8"/>
  <c r="L18" i="9" s="1"/>
  <c r="L53" i="6"/>
  <c r="O27" i="4"/>
  <c r="L70" i="6" s="1"/>
  <c r="J53" i="6"/>
  <c r="G27" i="4"/>
  <c r="J70" i="6" s="1"/>
  <c r="J35" i="9"/>
  <c r="Y14" i="8"/>
  <c r="J18" i="9" s="1"/>
  <c r="H70" i="9"/>
  <c r="W27" i="8"/>
  <c r="L69" i="9"/>
  <c r="AA26" i="8"/>
  <c r="L52" i="9" s="1"/>
  <c r="J69" i="9"/>
  <c r="Y26" i="8"/>
  <c r="J52" i="9" s="1"/>
  <c r="F70" i="9"/>
  <c r="U27" i="8"/>
  <c r="K35" i="9"/>
  <c r="Z14" i="8"/>
  <c r="K18" i="9" s="1"/>
  <c r="K70" i="9"/>
  <c r="Z27" i="8"/>
  <c r="K53" i="9" s="1"/>
  <c r="L70" i="9" l="1"/>
  <c r="AA27" i="8"/>
  <c r="L53" i="9" s="1"/>
  <c r="J70" i="9"/>
  <c r="Y27" i="8"/>
  <c r="J53" i="9" s="1"/>
</calcChain>
</file>

<file path=xl/sharedStrings.xml><?xml version="1.0" encoding="utf-8"?>
<sst xmlns="http://schemas.openxmlformats.org/spreadsheetml/2006/main" count="280" uniqueCount="169">
  <si>
    <t>Spell Scoring Probability Model Inputs</t>
  </si>
  <si>
    <t>Parameter</t>
  </si>
  <si>
    <t>Value</t>
  </si>
  <si>
    <t>Meaning</t>
  </si>
  <si>
    <t>Editable?</t>
  </si>
  <si>
    <t>Ranks per energy</t>
  </si>
  <si>
    <t>Ranks are 1–15; no wraparound</t>
  </si>
  <si>
    <t>Yes</t>
  </si>
  <si>
    <t>Deck 1 energies</t>
  </si>
  <si>
    <t>Deck 1 = 4×15 = 60 cards, no wilds</t>
  </si>
  <si>
    <t>Deck 2 energies</t>
  </si>
  <si>
    <t>Deck 2 = 5×15 = 75 cards, no wilds</t>
  </si>
  <si>
    <t>Raw weight alpha</t>
  </si>
  <si>
    <t>Combined model weight on raw final-state rarity</t>
  </si>
  <si>
    <t>Marginal weight</t>
  </si>
  <si>
    <t>Weight on incremental build-path probability</t>
  </si>
  <si>
    <t>Formula</t>
  </si>
  <si>
    <t>Opportunity cards (m)</t>
  </si>
  <si>
    <t>Fixed-opportunity window; default 15 so the full 3–15 scoring table is comparable</t>
  </si>
  <si>
    <t>Model notes</t>
  </si>
  <si>
    <t>Raw model: counts valid exact n-card final subsets and divides by all n-card subsets: valid_count / COMBIN(total_cards,n).</t>
  </si>
  <si>
    <t>Marginal model: starts with the raw probability of a valid 3-card spell, then multiplies by realistic conditional extension probabilities from size k to k+1.</t>
  </si>
  <si>
    <t>Combined model: log-space blend. Combined probability = EXP(-(alpha×raw_difficulty + (1-alpha)×marginal_difficulty)).</t>
  </si>
  <si>
    <t>Difficulty is always -LN(probability). No integer rounding or score scaling is applied in this workbook.</t>
  </si>
  <si>
    <t>Fixed-opportunity model: expected valid size-n spell opportunities inside an m-card window. Uses valid_count × COMBIN(total_cards-n,m-n) / COMBIN(total_cards,m).</t>
  </si>
  <si>
    <t>Bounded P≥1 estimate: 1 - EXP(-expected opportunities). This gives a comparable probability-like value for -LN difficulty.</t>
  </si>
  <si>
    <t>Combined fixed model: log-space blend. Combined difficulty = alpha×fixed-opportunity difficulty + (1-alpha)×marginal-build difficulty.</t>
  </si>
  <si>
    <t>Use Final_Fixed_Tables for current comparisons. Final_Tables preserves the older exact-size raw model for reference.</t>
  </si>
  <si>
    <t>Deck</t>
  </si>
  <si>
    <t>Energies E</t>
  </si>
  <si>
    <t>Size n</t>
  </si>
  <si>
    <t>Total cards N</t>
  </si>
  <si>
    <t>All n-card subsets</t>
  </si>
  <si>
    <t>Conj count</t>
  </si>
  <si>
    <t>Conj prob</t>
  </si>
  <si>
    <t>Trans count</t>
  </si>
  <si>
    <t>Trans prob</t>
  </si>
  <si>
    <t>PT count</t>
  </si>
  <si>
    <t>PT prob</t>
  </si>
  <si>
    <t>Ench count</t>
  </si>
  <si>
    <t>Ench prob</t>
  </si>
  <si>
    <t>Conj diff</t>
  </si>
  <si>
    <t>Trans diff</t>
  </si>
  <si>
    <t>PT diff</t>
  </si>
  <si>
    <t>Ench diff</t>
  </si>
  <si>
    <t>Final size n</t>
  </si>
  <si>
    <t>Prev size k</t>
  </si>
  <si>
    <t>Ext prob C</t>
  </si>
  <si>
    <t>Ext prob T</t>
  </si>
  <si>
    <t>Ext prob PT</t>
  </si>
  <si>
    <t>Ext prob Ench</t>
  </si>
  <si>
    <t>Build prob C</t>
  </si>
  <si>
    <t>Build prob T</t>
  </si>
  <si>
    <t>Build prob PT</t>
  </si>
  <si>
    <t>Build prob Ench</t>
  </si>
  <si>
    <t>Build diff C</t>
  </si>
  <si>
    <t>Build diff T</t>
  </si>
  <si>
    <t>Build diff PT</t>
  </si>
  <si>
    <t>Build diff Ench</t>
  </si>
  <si>
    <t>C raw prob</t>
  </si>
  <si>
    <t>C marginal prob</t>
  </si>
  <si>
    <t>C combined prob</t>
  </si>
  <si>
    <t>C combined diff</t>
  </si>
  <si>
    <t>T raw prob</t>
  </si>
  <si>
    <t>T marginal prob</t>
  </si>
  <si>
    <t>T combined prob</t>
  </si>
  <si>
    <t>T combined diff</t>
  </si>
  <si>
    <t>PT raw prob</t>
  </si>
  <si>
    <t>PT marginal prob</t>
  </si>
  <si>
    <t>PT combined prob</t>
  </si>
  <si>
    <t>PT combined diff</t>
  </si>
  <si>
    <t>Ench raw prob</t>
  </si>
  <si>
    <t>Ench marginal prob</t>
  </si>
  <si>
    <t>Ench combined prob</t>
  </si>
  <si>
    <t>Ench combined diff</t>
  </si>
  <si>
    <t>Archmage Scoring Probability Workbook</t>
  </si>
  <si>
    <t>Sheet</t>
  </si>
  <si>
    <t>Purpose</t>
  </si>
  <si>
    <t>Inputs</t>
  </si>
  <si>
    <t>Change ranks, deck energies, and alpha. Current defaults: ranks=15, Deck 1 E=4, Deck 2 E=5, alpha=0.80.</t>
  </si>
  <si>
    <t>Raw_Model</t>
  </si>
  <si>
    <t>Pure final-state probability: valid exact n-card spell subsets / all n-card subsets.</t>
  </si>
  <si>
    <t>Marginal_Model</t>
  </si>
  <si>
    <t>Pure incremental build-path probability: raw 3-card base probability multiplied by realistic extension probabilities.</t>
  </si>
  <si>
    <t>Combined_Model</t>
  </si>
  <si>
    <t>Log-space blend of raw and marginal difficulty. Combined probability = geometric blend of the two probabilities.</t>
  </si>
  <si>
    <t>No rounding</t>
  </si>
  <si>
    <t>The workbook outputs probabilities and -LN(probability) difficulties only; no integer score scaling is applied.</t>
  </si>
  <si>
    <t>Final_Tables</t>
  </si>
  <si>
    <t>Side-by-side unrounded tables for Raw, Marginal, and Combined probabilities and -LN(probability) difficulties.</t>
  </si>
  <si>
    <t>Cross-check</t>
  </si>
  <si>
    <t>Size</t>
  </si>
  <si>
    <t>Conj raw prob</t>
  </si>
  <si>
    <t>15C = 15PT</t>
  </si>
  <si>
    <t>Fixed-opportunity implementation</t>
  </si>
  <si>
    <t>Fixed_Opportunity uses the same opportunity denominator C(deck,m) across all spell sizes. The editable m value is Inputs!B9.</t>
  </si>
  <si>
    <t>The sheet computes expected opportunities: valid_count × COMBIN(N-n,m-n) / COMBIN(N,m).</t>
  </si>
  <si>
    <t>It then gives a bounded P&gt;=1 estimate via 1-EXP(-expected opportunities). This is not an exact inclusion-exclusion union over overlapping spells, but it is the stable same-denominator comparison layer for scoring.</t>
  </si>
  <si>
    <t>Combined_Fixed_Model replaces the old exact-size raw layer with fixed-opportunity difficulty, then blends with marginal-build difficulty using alpha.</t>
  </si>
  <si>
    <t>Use Final_Fixed_Tables for the current comparison tables.</t>
  </si>
  <si>
    <t>Final unrounded comparison tables</t>
  </si>
  <si>
    <t>All values are formula-linked to Raw_Model, Marginal_Model, and Combined_Model. No rounding or score scaling is applied. Probabilities use scientific notation; difficulty tables use -LN(probability).</t>
  </si>
  <si>
    <t>Deck 1 — probabilities</t>
  </si>
  <si>
    <t>Raw C</t>
  </si>
  <si>
    <t>Raw T</t>
  </si>
  <si>
    <t>Raw PT</t>
  </si>
  <si>
    <t>Raw Ench</t>
  </si>
  <si>
    <t>Marginal C</t>
  </si>
  <si>
    <t>Marginal T</t>
  </si>
  <si>
    <t>Marginal PT</t>
  </si>
  <si>
    <t>Marginal Ench</t>
  </si>
  <si>
    <t>Combined C</t>
  </si>
  <si>
    <t>Combined T</t>
  </si>
  <si>
    <t>Combined PT</t>
  </si>
  <si>
    <t>Combined Ench</t>
  </si>
  <si>
    <t>Deck 1 — -LN(probability) difficulties</t>
  </si>
  <si>
    <t>Deck 2 — probabilities</t>
  </si>
  <si>
    <t>Deck 2 — -LN(probability) difficulties</t>
  </si>
  <si>
    <t>Note</t>
  </si>
  <si>
    <t>This sheet uses the older exact-size raw model. For same-denominator cross-size comparison, use Final_Fixed_Tables.</t>
  </si>
  <si>
    <t>Opportunity m</t>
  </si>
  <si>
    <t>Valid C</t>
  </si>
  <si>
    <t>Valid T</t>
  </si>
  <si>
    <t>Valid PT</t>
  </si>
  <si>
    <t>Valid Ench</t>
  </si>
  <si>
    <t>Expected C</t>
  </si>
  <si>
    <t>Expected T</t>
  </si>
  <si>
    <t>Expected PT</t>
  </si>
  <si>
    <t>Expected Ench</t>
  </si>
  <si>
    <t>Approx P&gt;=1 C</t>
  </si>
  <si>
    <t>Approx P&gt;=1 T</t>
  </si>
  <si>
    <t>Approx P&gt;=1 PT</t>
  </si>
  <si>
    <t>Approx P&gt;=1 Ench</t>
  </si>
  <si>
    <t>Diff C</t>
  </si>
  <si>
    <t>Diff T</t>
  </si>
  <si>
    <t>Diff PT</t>
  </si>
  <si>
    <t>Diff Ench</t>
  </si>
  <si>
    <t>Fixed P C</t>
  </si>
  <si>
    <t>Fixed P T</t>
  </si>
  <si>
    <t>Fixed P PT</t>
  </si>
  <si>
    <t>Fixed P Ench</t>
  </si>
  <si>
    <t>Marginal P C</t>
  </si>
  <si>
    <t>Marginal P T</t>
  </si>
  <si>
    <t>Marginal P PT</t>
  </si>
  <si>
    <t>Marginal P Ench</t>
  </si>
  <si>
    <t>Fixed diff C</t>
  </si>
  <si>
    <t>Fixed diff T</t>
  </si>
  <si>
    <t>Fixed diff PT</t>
  </si>
  <si>
    <t>Fixed diff Ench</t>
  </si>
  <si>
    <t>Marginal diff C</t>
  </si>
  <si>
    <t>Marginal diff T</t>
  </si>
  <si>
    <t>Marginal diff PT</t>
  </si>
  <si>
    <t>Marginal diff Ench</t>
  </si>
  <si>
    <t>Combined diff C</t>
  </si>
  <si>
    <t>Combined diff T</t>
  </si>
  <si>
    <t>Combined diff PT</t>
  </si>
  <si>
    <t>Combined diff Ench</t>
  </si>
  <si>
    <t>Combined P C</t>
  </si>
  <si>
    <t>Combined P T</t>
  </si>
  <si>
    <t>Combined P PT</t>
  </si>
  <si>
    <t>Combined P Ench</t>
  </si>
  <si>
    <t>Final comparison tables — fixed-opportunity model</t>
  </si>
  <si>
    <t>Uses opportunity window m from Inputs!B9; default m=15 so sizes 3–15 are all comparable. Fixed layer is bounded P&gt;=1 estimate from expected opportunities; Combined = alpha fixed + (1-alpha) marginal in log difficulty space.</t>
  </si>
  <si>
    <t>Deck 1 — probabilities / bounded P&gt;=1</t>
  </si>
  <si>
    <t>Fixed C</t>
  </si>
  <si>
    <t>Fixed T</t>
  </si>
  <si>
    <t>Fixed PT</t>
  </si>
  <si>
    <t>Fixed Ench</t>
  </si>
  <si>
    <t>Deck 2 — probabilities / bounded P&gt;=1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</si>
</sst>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"/>
    <numFmt numFmtId="165" formatCode="0.0000"/>
    <numFmt numFmtId="166" formatCode="0.000000000000E+00"/>
    <numFmt numFmtId="167" formatCode="0.000000"/>
    <numFmt numFmtId="168" formatCode="0.000"/>
  </numFmts>
  <fonts count="1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666666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2"/>
      <color rgb="FFFFFFFF"/>
      <name val="Carlito"/>
    </font>
    <font>
      <b/>
      <sz val="11"/>
      <color rgb="FF111827"/>
      <name val="Carlito"/>
    </font>
    <font>
      <b/>
      <sz val="14"/>
      <name val="Carlito"/>
    </font>
    <font>
      <i/>
      <sz val="1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0F766E"/>
      </patternFill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DCFCE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7030A0"/>
      </patternFill>
    </fill>
    <fill>
      <patternFill patternType="solid">
        <fgColor rgb="FFD9EAD3"/>
      </patternFill>
    </fill>
    <fill>
      <patternFill patternType="solid">
        <fgColor rgb="FF38761D"/>
      </patternFill>
    </fill>
    <fill>
      <patternFill patternType="solid">
        <fgColor rgb="FF6AA84F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0" xfId="0" applyFont="1" applyFill="1" applyAlignment="1">
      <alignment horizontal="center" wrapText="1"/>
    </xf>
    <xf numFmtId="0" fontId="3" fillId="4" borderId="0" xfId="0" applyFont="1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8" fillId="8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9" borderId="0" xfId="0" applyFill="1"/>
    <xf numFmtId="0" fontId="2" fillId="10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2" fontId="0" fillId="0" borderId="0" xfId="0" applyNumberFormat="1" applyAlignment="1">
      <alignment wrapText="1"/>
    </xf>
    <xf numFmtId="0" fontId="2" fillId="10" borderId="0" xfId="0" applyFont="1" applyFill="1"/>
    <xf numFmtId="1" fontId="2" fillId="10" borderId="0" xfId="0" applyNumberFormat="1" applyFont="1" applyFill="1" applyAlignment="1">
      <alignment horizontal="center" wrapText="1"/>
    </xf>
    <xf numFmtId="164" fontId="2" fillId="10" borderId="0" xfId="0" applyNumberFormat="1" applyFont="1" applyFill="1" applyAlignment="1">
      <alignment horizontal="center" wrapText="1"/>
    </xf>
    <xf numFmtId="168" fontId="2" fillId="10" borderId="0" xfId="0" applyNumberFormat="1" applyFont="1" applyFill="1" applyAlignment="1">
      <alignment horizontal="center" wrapText="1"/>
    </xf>
    <xf numFmtId="0" fontId="2" fillId="12" borderId="0" xfId="0" applyFont="1" applyFill="1" applyAlignment="1">
      <alignment horizontal="center" wrapText="1"/>
    </xf>
    <xf numFmtId="164" fontId="2" fillId="12" borderId="0" xfId="0" applyNumberFormat="1" applyFont="1" applyFill="1" applyAlignment="1">
      <alignment horizontal="center" wrapText="1"/>
    </xf>
    <xf numFmtId="168" fontId="2" fillId="12" borderId="0" xfId="0" applyNumberFormat="1" applyFont="1" applyFill="1" applyAlignment="1">
      <alignment horizontal="center" wrapText="1"/>
    </xf>
    <xf numFmtId="0" fontId="9" fillId="13" borderId="0" xfId="0" applyFont="1" applyFill="1"/>
    <xf numFmtId="0" fontId="10" fillId="0" borderId="0" xfId="0" applyFont="1" applyAlignment="1">
      <alignment wrapText="1"/>
    </xf>
    <xf numFmtId="0" fontId="2" fillId="14" borderId="0" xfId="0" applyFont="1" applyFill="1"/>
    <xf numFmtId="0" fontId="2" fillId="15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0" fontId="3" fillId="16" borderId="0" xfId="0" applyFont="1" applyFill="1"/>
    <xf numFmtId="0" fontId="5" fillId="11" borderId="0" xfId="0" applyFont="1" applyFill="1" applyAlignment="1">
      <alignment horizontal="center"/>
    </xf>
    <xf numFmtId="0" fontId="2" fillId="5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5" fillId="6" borderId="0" xfId="0" applyFont="1" applyFill="1"/>
    <xf numFmtId="0" fontId="6" fillId="0" borderId="0" xfId="0" applyFont="1" applyAlignment="1">
      <alignment wrapText="1"/>
    </xf>
    <xf numFmtId="0" fontId="7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odelTable" displayName="RawModelTable" ref="A1:Q27">
  <tableColumns count="17">
    <tableColumn id="1" xr3:uid="{00000000-0010-0000-0000-000001000000}" name="Deck"/>
    <tableColumn id="2" xr3:uid="{00000000-0010-0000-0000-000002000000}" name="Energies E"/>
    <tableColumn id="3" xr3:uid="{00000000-0010-0000-0000-000003000000}" name="Size n"/>
    <tableColumn id="4" xr3:uid="{00000000-0010-0000-0000-000004000000}" name="Total cards N"/>
    <tableColumn id="5" xr3:uid="{00000000-0010-0000-0000-000005000000}" name="All n-card subsets"/>
    <tableColumn id="6" xr3:uid="{00000000-0010-0000-0000-000006000000}" name="Conj count"/>
    <tableColumn id="7" xr3:uid="{00000000-0010-0000-0000-000007000000}" name="Conj prob"/>
    <tableColumn id="8" xr3:uid="{00000000-0010-0000-0000-000008000000}" name="Trans count"/>
    <tableColumn id="9" xr3:uid="{00000000-0010-0000-0000-000009000000}" name="Trans prob"/>
    <tableColumn id="10" xr3:uid="{00000000-0010-0000-0000-00000A000000}" name="PT count"/>
    <tableColumn id="11" xr3:uid="{00000000-0010-0000-0000-00000B000000}" name="PT prob"/>
    <tableColumn id="12" xr3:uid="{00000000-0010-0000-0000-00000C000000}" name="Ench count"/>
    <tableColumn id="13" xr3:uid="{00000000-0010-0000-0000-00000D000000}" name="Ench prob"/>
    <tableColumn id="14" xr3:uid="{00000000-0010-0000-0000-00000E000000}" name="Conj diff"/>
    <tableColumn id="15" xr3:uid="{00000000-0010-0000-0000-00000F000000}" name="Trans diff"/>
    <tableColumn id="16" xr3:uid="{00000000-0010-0000-0000-000010000000}" name="PT diff"/>
    <tableColumn id="17" xr3:uid="{00000000-0010-0000-0000-000011000000}" name="Ench dif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ginalModelTable" displayName="MarginalModelTable" ref="A1:Q27">
  <tableColumns count="17">
    <tableColumn id="1" xr3:uid="{00000000-0010-0000-0100-000001000000}" name="Deck"/>
    <tableColumn id="2" xr3:uid="{00000000-0010-0000-0100-000002000000}" name="Energies E"/>
    <tableColumn id="3" xr3:uid="{00000000-0010-0000-0100-000003000000}" name="Final size n"/>
    <tableColumn id="4" xr3:uid="{00000000-0010-0000-0100-000004000000}" name="Total cards N"/>
    <tableColumn id="5" xr3:uid="{00000000-0010-0000-0100-000005000000}" name="Prev size k"/>
    <tableColumn id="6" xr3:uid="{00000000-0010-0000-0100-000006000000}" name="Ext prob C"/>
    <tableColumn id="7" xr3:uid="{00000000-0010-0000-0100-000007000000}" name="Ext prob T"/>
    <tableColumn id="8" xr3:uid="{00000000-0010-0000-0100-000008000000}" name="Ext prob PT"/>
    <tableColumn id="9" xr3:uid="{00000000-0010-0000-0100-000009000000}" name="Ext prob Ench"/>
    <tableColumn id="10" xr3:uid="{00000000-0010-0000-0100-00000A000000}" name="Build prob C"/>
    <tableColumn id="11" xr3:uid="{00000000-0010-0000-0100-00000B000000}" name="Build prob T"/>
    <tableColumn id="12" xr3:uid="{00000000-0010-0000-0100-00000C000000}" name="Build prob PT"/>
    <tableColumn id="13" xr3:uid="{00000000-0010-0000-0100-00000D000000}" name="Build prob Ench"/>
    <tableColumn id="14" xr3:uid="{00000000-0010-0000-0100-00000E000000}" name="Build diff C"/>
    <tableColumn id="15" xr3:uid="{00000000-0010-0000-0100-00000F000000}" name="Build diff T"/>
    <tableColumn id="16" xr3:uid="{00000000-0010-0000-0100-000010000000}" name="Build diff PT"/>
    <tableColumn id="17" xr3:uid="{00000000-0010-0000-0100-000011000000}" name="Build diff En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inedModelTable" displayName="CombinedModelTable" ref="A1:S27">
  <tableColumns count="19">
    <tableColumn id="1" xr3:uid="{00000000-0010-0000-0200-000001000000}" name="Deck"/>
    <tableColumn id="2" xr3:uid="{00000000-0010-0000-0200-000002000000}" name="Energies E"/>
    <tableColumn id="3" xr3:uid="{00000000-0010-0000-0200-000003000000}" name="Size n"/>
    <tableColumn id="4" xr3:uid="{00000000-0010-0000-0200-000004000000}" name="C raw prob"/>
    <tableColumn id="5" xr3:uid="{00000000-0010-0000-0200-000005000000}" name="C marginal prob"/>
    <tableColumn id="6" xr3:uid="{00000000-0010-0000-0200-000006000000}" name="C combined prob"/>
    <tableColumn id="7" xr3:uid="{00000000-0010-0000-0200-000007000000}" name="C combined diff"/>
    <tableColumn id="8" xr3:uid="{00000000-0010-0000-0200-000008000000}" name="T raw prob"/>
    <tableColumn id="9" xr3:uid="{00000000-0010-0000-0200-000009000000}" name="T marginal prob"/>
    <tableColumn id="10" xr3:uid="{00000000-0010-0000-0200-00000A000000}" name="T combined prob"/>
    <tableColumn id="11" xr3:uid="{00000000-0010-0000-0200-00000B000000}" name="T combined diff"/>
    <tableColumn id="12" xr3:uid="{00000000-0010-0000-0200-00000C000000}" name="PT raw prob"/>
    <tableColumn id="13" xr3:uid="{00000000-0010-0000-0200-00000D000000}" name="PT marginal prob"/>
    <tableColumn id="14" xr3:uid="{00000000-0010-0000-0200-00000E000000}" name="PT combined prob"/>
    <tableColumn id="15" xr3:uid="{00000000-0010-0000-0200-00000F000000}" name="PT combined diff"/>
    <tableColumn id="16" xr3:uid="{00000000-0010-0000-0200-000010000000}" name="Ench raw prob"/>
    <tableColumn id="17" xr3:uid="{00000000-0010-0000-0200-000011000000}" name="Ench marginal prob"/>
    <tableColumn id="18" xr3:uid="{00000000-0010-0000-0200-000012000000}" name="Ench combined prob"/>
    <tableColumn id="19" xr3:uid="{00000000-0010-0000-0200-000013000000}" name="Ench combined di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sqref="A1:D1"/>
    </sheetView>
  </sheetViews>
  <sheetFormatPr defaultRowHeight="14.15"/>
  <cols>
    <col min="1" max="1" width="124.2109375" customWidth="1"/>
    <col min="2" max="2" width="4.7109375" customWidth="1"/>
    <col min="3" max="3" width="51.140625" customWidth="1"/>
    <col min="4" max="4" width="7.640625" customWidth="1"/>
  </cols>
  <sheetData>
    <row r="1" spans="1:4" ht="16" customHeight="1">
      <c r="A1" s="29" t="s">
        <v>0</v>
      </c>
      <c r="B1" s="29"/>
      <c r="C1" s="29"/>
      <c r="D1" s="29"/>
    </row>
    <row r="3" spans="1:4" ht="28.3">
      <c r="A3" s="12" t="s">
        <v>1</v>
      </c>
      <c r="B3" s="12" t="s">
        <v>2</v>
      </c>
      <c r="C3" s="12" t="s">
        <v>3</v>
      </c>
      <c r="D3" s="12" t="s">
        <v>4</v>
      </c>
    </row>
    <row r="4" spans="1:4">
      <c r="A4" s="13" t="s">
        <v>5</v>
      </c>
      <c r="B4" s="14">
        <v>15</v>
      </c>
      <c r="C4" s="3" t="s">
        <v>6</v>
      </c>
      <c r="D4" s="3" t="s">
        <v>7</v>
      </c>
    </row>
    <row r="5" spans="1:4">
      <c r="A5" s="13" t="s">
        <v>8</v>
      </c>
      <c r="B5" s="14">
        <v>4</v>
      </c>
      <c r="C5" s="3" t="s">
        <v>9</v>
      </c>
      <c r="D5" s="3" t="s">
        <v>7</v>
      </c>
    </row>
    <row r="6" spans="1:4">
      <c r="A6" s="13" t="s">
        <v>10</v>
      </c>
      <c r="B6" s="14">
        <v>5</v>
      </c>
      <c r="C6" s="3" t="s">
        <v>11</v>
      </c>
      <c r="D6" s="3" t="s">
        <v>7</v>
      </c>
    </row>
    <row r="7" spans="1:4">
      <c r="A7" s="13" t="s">
        <v>12</v>
      </c>
      <c r="B7" s="14">
        <v>0.8</v>
      </c>
      <c r="C7" s="3" t="s">
        <v>13</v>
      </c>
      <c r="D7" s="3" t="s">
        <v>7</v>
      </c>
    </row>
    <row r="8" spans="1:4">
      <c r="A8" s="13" t="s">
        <v>14</v>
      </c>
      <c r="B8" s="14">
        <f>1-B7</f>
        <v>0.19999999999999996</v>
      </c>
      <c r="C8" s="3" t="s">
        <v>15</v>
      </c>
      <c r="D8" s="3" t="s">
        <v>16</v>
      </c>
    </row>
    <row r="9" spans="1:4" ht="28.3">
      <c r="A9" s="3" t="s">
        <v>17</v>
      </c>
      <c r="B9" s="3">
        <v>15</v>
      </c>
      <c r="C9" s="3" t="s">
        <v>18</v>
      </c>
      <c r="D9" s="3" t="s">
        <v>7</v>
      </c>
    </row>
    <row r="11" spans="1:4">
      <c r="A11" s="30" t="s">
        <v>19</v>
      </c>
      <c r="B11" s="31"/>
      <c r="C11" s="31"/>
      <c r="D11" s="31"/>
    </row>
    <row r="12" spans="1:4">
      <c r="A12" s="4" t="s">
        <v>20</v>
      </c>
      <c r="B12" s="4"/>
      <c r="C12" s="4"/>
      <c r="D12" s="4"/>
    </row>
    <row r="13" spans="1:4" ht="28.3">
      <c r="A13" s="4" t="s">
        <v>21</v>
      </c>
      <c r="B13" s="4"/>
      <c r="C13" s="4"/>
      <c r="D13" s="4"/>
    </row>
    <row r="14" spans="1:4">
      <c r="A14" s="4" t="s">
        <v>22</v>
      </c>
      <c r="B14" s="4"/>
      <c r="C14" s="4"/>
      <c r="D14" s="4"/>
    </row>
    <row r="15" spans="1:4">
      <c r="A15" s="4" t="s">
        <v>23</v>
      </c>
      <c r="B15" s="4"/>
      <c r="C15" s="4"/>
      <c r="D15" s="4"/>
    </row>
    <row r="17" spans="1:1" ht="28.3">
      <c r="A17" s="3" t="s">
        <v>24</v>
      </c>
    </row>
    <row r="18" spans="1:1">
      <c r="A18" s="3" t="s">
        <v>25</v>
      </c>
    </row>
    <row r="19" spans="1:1">
      <c r="A19" s="3" t="s">
        <v>26</v>
      </c>
    </row>
    <row r="20" spans="1:1">
      <c r="A20" s="3" t="s">
        <v>27</v>
      </c>
    </row>
  </sheetData>
  <mergeCells count="2">
    <mergeCell ref="A1:D1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/>
  </sheetViews>
  <sheetFormatPr defaultRowHeight="14.15"/>
  <cols>
    <col min="1" max="4" width="13" customWidth="1"/>
    <col min="5" max="5" width="18" customWidth="1"/>
    <col min="6" max="17" width="13" customWidth="1"/>
  </cols>
  <sheetData>
    <row r="1" spans="1:17" ht="16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</row>
    <row r="2" spans="1:17">
      <c r="A2">
        <v>1</v>
      </c>
      <c r="B2">
        <f>Inputs!$B$5</f>
        <v>4</v>
      </c>
      <c r="C2">
        <v>3</v>
      </c>
      <c r="D2">
        <f>B2*Inputs!$B$4</f>
        <v>60</v>
      </c>
      <c r="E2">
        <f t="shared" ref="E2:E27" si="0">COMBIN(D2,C2)</f>
        <v>34220</v>
      </c>
      <c r="F2">
        <f>B2*COMBIN(Inputs!$B$4,C2)</f>
        <v>1820.0000000000002</v>
      </c>
      <c r="G2" s="5">
        <f t="shared" ref="G2:G27" si="1">F2/E2</f>
        <v>5.3185271770894223E-2</v>
      </c>
      <c r="H2">
        <f>(Inputs!$B$4-C2+1)*POWER(B2,C2)</f>
        <v>832</v>
      </c>
      <c r="I2" s="5">
        <f t="shared" ref="I2:I27" si="2">H2/E2</f>
        <v>2.4313267095265927E-2</v>
      </c>
      <c r="J2">
        <f>B2*(Inputs!$B$4-C2+1)</f>
        <v>52</v>
      </c>
      <c r="K2" s="5">
        <f t="shared" ref="K2:K27" si="3">J2/E2</f>
        <v>1.5195791934541204E-3</v>
      </c>
      <c r="L2">
        <f>IF(C2&lt;=B2,Inputs!$B$4*COMBIN(B2,C2),"")</f>
        <v>60</v>
      </c>
      <c r="M2" s="5">
        <f t="shared" ref="M2:M27" si="4">IF(L2="","",L2/E2)</f>
        <v>1.7533606078316774E-3</v>
      </c>
      <c r="N2" s="6">
        <f t="shared" ref="N2:N27" si="5">-LN(G2)</f>
        <v>2.9339737673753432</v>
      </c>
      <c r="O2" s="6">
        <f t="shared" ref="O2:O27" si="6">-LN(I2)</f>
        <v>3.716733106624976</v>
      </c>
      <c r="P2" s="6">
        <f t="shared" ref="P2:P27" si="7">-LN(K2)</f>
        <v>6.4893218288647567</v>
      </c>
      <c r="Q2" s="6">
        <f t="shared" ref="Q2:Q27" si="8">IF(M2="","",-LN(M2))</f>
        <v>6.3462209852240834</v>
      </c>
    </row>
    <row r="3" spans="1:17">
      <c r="A3">
        <v>1</v>
      </c>
      <c r="B3">
        <f>Inputs!$B$5</f>
        <v>4</v>
      </c>
      <c r="C3">
        <v>4</v>
      </c>
      <c r="D3">
        <f>B3*Inputs!$B$4</f>
        <v>60</v>
      </c>
      <c r="E3">
        <f t="shared" si="0"/>
        <v>487635</v>
      </c>
      <c r="F3">
        <f>B3*COMBIN(Inputs!$B$4,C3)</f>
        <v>5460</v>
      </c>
      <c r="G3" s="5">
        <f t="shared" si="1"/>
        <v>1.1196899320188256E-2</v>
      </c>
      <c r="H3">
        <f>(Inputs!$B$4-C3+1)*POWER(B3,C3)</f>
        <v>3072</v>
      </c>
      <c r="I3" s="5">
        <f t="shared" si="2"/>
        <v>6.2997939032267986E-3</v>
      </c>
      <c r="J3">
        <f>B3*(Inputs!$B$4-C3+1)</f>
        <v>48</v>
      </c>
      <c r="K3" s="5">
        <f t="shared" si="3"/>
        <v>9.8434279737918728E-5</v>
      </c>
      <c r="L3">
        <f>IF(C3&lt;=B3,Inputs!$B$4*COMBIN(B3,C3),"")</f>
        <v>15</v>
      </c>
      <c r="M3" s="5">
        <f t="shared" si="4"/>
        <v>3.0760712418099601E-5</v>
      </c>
      <c r="N3" s="6">
        <f t="shared" si="5"/>
        <v>4.4921183854218931</v>
      </c>
      <c r="O3" s="6">
        <f t="shared" si="6"/>
        <v>5.0672383598932811</v>
      </c>
      <c r="P3" s="6">
        <f t="shared" si="7"/>
        <v>9.2261214432529535</v>
      </c>
      <c r="Q3" s="6">
        <f t="shared" si="8"/>
        <v>10.389272253058634</v>
      </c>
    </row>
    <row r="4" spans="1:17">
      <c r="A4">
        <v>1</v>
      </c>
      <c r="B4">
        <f>Inputs!$B$5</f>
        <v>4</v>
      </c>
      <c r="C4">
        <v>5</v>
      </c>
      <c r="D4">
        <f>B4*Inputs!$B$4</f>
        <v>60</v>
      </c>
      <c r="E4">
        <f t="shared" si="0"/>
        <v>5461512.0000000009</v>
      </c>
      <c r="F4">
        <f>B4*COMBIN(Inputs!$B$4,C4)</f>
        <v>12012</v>
      </c>
      <c r="G4" s="5">
        <f t="shared" si="1"/>
        <v>2.1993909378941212E-3</v>
      </c>
      <c r="H4">
        <f>(Inputs!$B$4-C4+1)*POWER(B4,C4)</f>
        <v>11264</v>
      </c>
      <c r="I4" s="5">
        <f t="shared" si="2"/>
        <v>2.0624325278421063E-3</v>
      </c>
      <c r="J4">
        <f>B4*(Inputs!$B$4-C4+1)</f>
        <v>44</v>
      </c>
      <c r="K4" s="5">
        <f t="shared" si="3"/>
        <v>8.0563770618832277E-6</v>
      </c>
      <c r="L4" t="str">
        <f>IF(C4&lt;=B4,Inputs!$B$4*COMBIN(B4,C4),"")</f>
        <v/>
      </c>
      <c r="M4" s="5" t="str">
        <f t="shared" si="4"/>
        <v/>
      </c>
      <c r="N4" s="6">
        <f t="shared" si="5"/>
        <v>6.1195748033586721</v>
      </c>
      <c r="O4" s="6">
        <f t="shared" si="6"/>
        <v>6.1838691540640696</v>
      </c>
      <c r="P4" s="6">
        <f t="shared" si="7"/>
        <v>11.729046598543633</v>
      </c>
      <c r="Q4" s="6" t="str">
        <f t="shared" si="8"/>
        <v/>
      </c>
    </row>
    <row r="5" spans="1:17">
      <c r="A5">
        <v>1</v>
      </c>
      <c r="B5">
        <f>Inputs!$B$5</f>
        <v>4</v>
      </c>
      <c r="C5">
        <v>6</v>
      </c>
      <c r="D5">
        <f>B5*Inputs!$B$4</f>
        <v>60</v>
      </c>
      <c r="E5">
        <f t="shared" si="0"/>
        <v>50063860.000000015</v>
      </c>
      <c r="F5">
        <f>B5*COMBIN(Inputs!$B$4,C5)</f>
        <v>20020</v>
      </c>
      <c r="G5" s="5">
        <f t="shared" si="1"/>
        <v>3.998892614352947E-4</v>
      </c>
      <c r="H5">
        <f>(Inputs!$B$4-C5+1)*POWER(B5,C5)</f>
        <v>40960</v>
      </c>
      <c r="I5" s="5">
        <f t="shared" si="2"/>
        <v>8.1815505236711649E-4</v>
      </c>
      <c r="J5">
        <f>B5*(Inputs!$B$4-C5+1)</f>
        <v>40</v>
      </c>
      <c r="K5" s="5">
        <f t="shared" si="3"/>
        <v>7.989795433272622E-7</v>
      </c>
      <c r="L5" t="str">
        <f>IF(C5&lt;=B5,Inputs!$B$4*COMBIN(B5,C5),"")</f>
        <v/>
      </c>
      <c r="M5" s="5" t="str">
        <f t="shared" si="4"/>
        <v/>
      </c>
      <c r="N5" s="6">
        <f t="shared" si="5"/>
        <v>7.8243228955970974</v>
      </c>
      <c r="O5" s="6">
        <f t="shared" si="6"/>
        <v>7.1084586887529193</v>
      </c>
      <c r="P5" s="6">
        <f t="shared" si="7"/>
        <v>14.039930494352372</v>
      </c>
      <c r="Q5" s="6" t="str">
        <f t="shared" si="8"/>
        <v/>
      </c>
    </row>
    <row r="6" spans="1:17">
      <c r="A6">
        <v>1</v>
      </c>
      <c r="B6">
        <f>Inputs!$B$5</f>
        <v>4</v>
      </c>
      <c r="C6">
        <v>7</v>
      </c>
      <c r="D6">
        <f>B6*Inputs!$B$4</f>
        <v>60</v>
      </c>
      <c r="E6">
        <f t="shared" si="0"/>
        <v>386206919.99999988</v>
      </c>
      <c r="F6">
        <f>B6*COMBIN(Inputs!$B$4,C6)</f>
        <v>25739.999999999996</v>
      </c>
      <c r="G6" s="5">
        <f t="shared" si="1"/>
        <v>6.6648210239215824E-5</v>
      </c>
      <c r="H6">
        <f>(Inputs!$B$4-C6+1)*POWER(B6,C6)</f>
        <v>147456</v>
      </c>
      <c r="I6" s="5">
        <f t="shared" si="2"/>
        <v>3.818056911046546E-4</v>
      </c>
      <c r="J6">
        <f>B6*(Inputs!$B$4-C6+1)</f>
        <v>36</v>
      </c>
      <c r="K6" s="5">
        <f t="shared" si="3"/>
        <v>9.3214280054847316E-8</v>
      </c>
      <c r="L6" t="str">
        <f>IF(C6&lt;=B6,Inputs!$B$4*COMBIN(B6,C6),"")</f>
        <v/>
      </c>
      <c r="M6" s="5" t="str">
        <f t="shared" si="4"/>
        <v/>
      </c>
      <c r="N6" s="6">
        <f t="shared" si="5"/>
        <v>9.6160823648251519</v>
      </c>
      <c r="O6" s="6">
        <f t="shared" si="6"/>
        <v>7.8705987407998155</v>
      </c>
      <c r="P6" s="6">
        <f t="shared" si="7"/>
        <v>16.188364907519158</v>
      </c>
      <c r="Q6" s="6" t="str">
        <f t="shared" si="8"/>
        <v/>
      </c>
    </row>
    <row r="7" spans="1:17">
      <c r="A7">
        <v>1</v>
      </c>
      <c r="B7">
        <f>Inputs!$B$5</f>
        <v>4</v>
      </c>
      <c r="C7">
        <v>8</v>
      </c>
      <c r="D7">
        <f>B7*Inputs!$B$4</f>
        <v>60</v>
      </c>
      <c r="E7">
        <f t="shared" si="0"/>
        <v>2558620845.0000005</v>
      </c>
      <c r="F7">
        <f>B7*COMBIN(Inputs!$B$4,C7)</f>
        <v>25739.999999999996</v>
      </c>
      <c r="G7" s="5">
        <f t="shared" si="1"/>
        <v>1.0060107205919364E-5</v>
      </c>
      <c r="H7">
        <f>(Inputs!$B$4-C7+1)*POWER(B7,C7)</f>
        <v>524288</v>
      </c>
      <c r="I7" s="5">
        <f t="shared" si="2"/>
        <v>2.0491039187168036E-4</v>
      </c>
      <c r="J7">
        <f>B7*(Inputs!$B$4-C7+1)</f>
        <v>32</v>
      </c>
      <c r="K7" s="5">
        <f t="shared" si="3"/>
        <v>1.2506737785136741E-8</v>
      </c>
      <c r="L7" t="str">
        <f>IF(C7&lt;=B7,Inputs!$B$4*COMBIN(B7,C7),"")</f>
        <v/>
      </c>
      <c r="M7" s="5" t="str">
        <f t="shared" si="4"/>
        <v/>
      </c>
      <c r="N7" s="6">
        <f t="shared" si="5"/>
        <v>11.506932736697438</v>
      </c>
      <c r="O7" s="6">
        <f t="shared" si="6"/>
        <v>8.4929377872085947</v>
      </c>
      <c r="P7" s="6">
        <f t="shared" si="7"/>
        <v>18.196998315047828</v>
      </c>
      <c r="Q7" s="6" t="str">
        <f t="shared" si="8"/>
        <v/>
      </c>
    </row>
    <row r="8" spans="1:17">
      <c r="A8">
        <v>1</v>
      </c>
      <c r="B8">
        <f>Inputs!$B$5</f>
        <v>4</v>
      </c>
      <c r="C8">
        <v>9</v>
      </c>
      <c r="D8">
        <f>B8*Inputs!$B$4</f>
        <v>60</v>
      </c>
      <c r="E8">
        <f t="shared" si="0"/>
        <v>14783142660.000006</v>
      </c>
      <c r="F8">
        <f>B8*COMBIN(Inputs!$B$4,C8)</f>
        <v>20020</v>
      </c>
      <c r="G8" s="5">
        <f t="shared" si="1"/>
        <v>1.3542452007968373E-6</v>
      </c>
      <c r="H8">
        <f>(Inputs!$B$4-C8+1)*POWER(B8,C8)</f>
        <v>1835008</v>
      </c>
      <c r="I8" s="5">
        <f t="shared" si="2"/>
        <v>1.2412841046072941E-4</v>
      </c>
      <c r="J8">
        <f>B8*(Inputs!$B$4-C8+1)</f>
        <v>28</v>
      </c>
      <c r="K8" s="5">
        <f t="shared" si="3"/>
        <v>1.8940492318836885E-9</v>
      </c>
      <c r="L8" t="str">
        <f>IF(C8&lt;=B8,Inputs!$B$4*COMBIN(B8,C8),"")</f>
        <v/>
      </c>
      <c r="M8" s="5" t="str">
        <f t="shared" si="4"/>
        <v/>
      </c>
      <c r="N8" s="6">
        <f t="shared" si="5"/>
        <v>13.512266306223552</v>
      </c>
      <c r="O8" s="6">
        <f t="shared" si="6"/>
        <v>8.9941939599584355</v>
      </c>
      <c r="P8" s="6">
        <f t="shared" si="7"/>
        <v>20.08454884891756</v>
      </c>
      <c r="Q8" s="6" t="str">
        <f t="shared" si="8"/>
        <v/>
      </c>
    </row>
    <row r="9" spans="1:17">
      <c r="A9">
        <v>1</v>
      </c>
      <c r="B9">
        <f>Inputs!$B$5</f>
        <v>4</v>
      </c>
      <c r="C9">
        <v>10</v>
      </c>
      <c r="D9">
        <f>B9*Inputs!$B$4</f>
        <v>60</v>
      </c>
      <c r="E9">
        <f t="shared" si="0"/>
        <v>75394027566</v>
      </c>
      <c r="F9">
        <f>B9*COMBIN(Inputs!$B$4,C9)</f>
        <v>12012</v>
      </c>
      <c r="G9" s="5">
        <f t="shared" si="1"/>
        <v>1.5932296479962799E-7</v>
      </c>
      <c r="H9">
        <f>(Inputs!$B$4-C9+1)*POWER(B9,C9)</f>
        <v>6291456</v>
      </c>
      <c r="I9" s="5">
        <f t="shared" si="2"/>
        <v>8.3447670897969384E-5</v>
      </c>
      <c r="J9">
        <f>B9*(Inputs!$B$4-C9+1)</f>
        <v>24</v>
      </c>
      <c r="K9" s="5">
        <f t="shared" si="3"/>
        <v>3.183276019972587E-10</v>
      </c>
      <c r="L9" t="str">
        <f>IF(C9&lt;=B9,Inputs!$B$4*COMBIN(B9,C9),"")</f>
        <v/>
      </c>
      <c r="M9" s="5" t="str">
        <f t="shared" si="4"/>
        <v/>
      </c>
      <c r="N9" s="6">
        <f t="shared" si="5"/>
        <v>15.652332469719823</v>
      </c>
      <c r="O9" s="6">
        <f t="shared" si="6"/>
        <v>9.391290818396083</v>
      </c>
      <c r="P9" s="6">
        <f t="shared" si="7"/>
        <v>21.867940068475097</v>
      </c>
      <c r="Q9" s="6" t="str">
        <f t="shared" si="8"/>
        <v/>
      </c>
    </row>
    <row r="10" spans="1:17">
      <c r="A10">
        <v>1</v>
      </c>
      <c r="B10">
        <f>Inputs!$B$5</f>
        <v>4</v>
      </c>
      <c r="C10">
        <v>11</v>
      </c>
      <c r="D10">
        <f>B10*Inputs!$B$4</f>
        <v>60</v>
      </c>
      <c r="E10">
        <f t="shared" si="0"/>
        <v>342700125300</v>
      </c>
      <c r="F10">
        <f>B10*COMBIN(Inputs!$B$4,C10)</f>
        <v>5460</v>
      </c>
      <c r="G10" s="5">
        <f t="shared" si="1"/>
        <v>1.5932296479962797E-8</v>
      </c>
      <c r="H10">
        <f>(Inputs!$B$4-C10+1)*POWER(B10,C10)</f>
        <v>20971520</v>
      </c>
      <c r="I10" s="5">
        <f t="shared" si="2"/>
        <v>6.1194958658510889E-5</v>
      </c>
      <c r="J10">
        <f>B10*(Inputs!$B$4-C10+1)</f>
        <v>20</v>
      </c>
      <c r="K10" s="5">
        <f t="shared" si="3"/>
        <v>5.8360060366164101E-11</v>
      </c>
      <c r="L10" t="str">
        <f>IF(C10&lt;=B10,Inputs!$B$4*COMBIN(B10,C10),"")</f>
        <v/>
      </c>
      <c r="M10" s="5" t="str">
        <f t="shared" si="4"/>
        <v/>
      </c>
      <c r="N10" s="6">
        <f t="shared" si="5"/>
        <v>17.95491756271387</v>
      </c>
      <c r="O10" s="6">
        <f t="shared" si="6"/>
        <v>9.7014457466999229</v>
      </c>
      <c r="P10" s="6">
        <f t="shared" si="7"/>
        <v>23.564389357898829</v>
      </c>
      <c r="Q10" s="6" t="str">
        <f t="shared" si="8"/>
        <v/>
      </c>
    </row>
    <row r="11" spans="1:17">
      <c r="A11">
        <v>1</v>
      </c>
      <c r="B11">
        <f>Inputs!$B$5</f>
        <v>4</v>
      </c>
      <c r="C11">
        <v>12</v>
      </c>
      <c r="D11">
        <f>B11*Inputs!$B$4</f>
        <v>60</v>
      </c>
      <c r="E11">
        <f t="shared" si="0"/>
        <v>1399358844975.0007</v>
      </c>
      <c r="F11">
        <f>B11*COMBIN(Inputs!$B$4,C11)</f>
        <v>1820.0000000000002</v>
      </c>
      <c r="G11" s="5">
        <f t="shared" si="1"/>
        <v>1.3005956310173707E-9</v>
      </c>
      <c r="H11">
        <f>(Inputs!$B$4-C11+1)*POWER(B11,C11)</f>
        <v>67108864</v>
      </c>
      <c r="I11" s="5">
        <f t="shared" si="2"/>
        <v>4.7956865560955442E-5</v>
      </c>
      <c r="J11">
        <f>B11*(Inputs!$B$4-C11+1)</f>
        <v>16</v>
      </c>
      <c r="K11" s="5">
        <f t="shared" si="3"/>
        <v>1.1433807745207654E-11</v>
      </c>
      <c r="L11" t="str">
        <f>IF(C11&lt;=B11,Inputs!$B$4*COMBIN(B11,C11),"")</f>
        <v/>
      </c>
      <c r="M11" s="5" t="str">
        <f t="shared" si="4"/>
        <v/>
      </c>
      <c r="N11" s="6">
        <f t="shared" si="5"/>
        <v>20.460443499704606</v>
      </c>
      <c r="O11" s="6">
        <f t="shared" si="6"/>
        <v>9.9452085852168679</v>
      </c>
      <c r="P11" s="6">
        <f t="shared" si="7"/>
        <v>25.194446557535667</v>
      </c>
      <c r="Q11" s="6" t="str">
        <f t="shared" si="8"/>
        <v/>
      </c>
    </row>
    <row r="12" spans="1:17">
      <c r="A12">
        <v>1</v>
      </c>
      <c r="B12">
        <f>Inputs!$B$5</f>
        <v>4</v>
      </c>
      <c r="C12">
        <v>13</v>
      </c>
      <c r="D12">
        <f>B12*Inputs!$B$4</f>
        <v>60</v>
      </c>
      <c r="E12">
        <f t="shared" si="0"/>
        <v>5166863427599.998</v>
      </c>
      <c r="F12">
        <f>B12*COMBIN(Inputs!$B$4,C12)</f>
        <v>420</v>
      </c>
      <c r="G12" s="5">
        <f t="shared" si="1"/>
        <v>8.1287226938585736E-11</v>
      </c>
      <c r="H12">
        <f>(Inputs!$B$4-C12+1)*POWER(B12,C12)</f>
        <v>201326592</v>
      </c>
      <c r="I12" s="5">
        <f t="shared" si="2"/>
        <v>3.8964953268276336E-5</v>
      </c>
      <c r="J12">
        <f>B12*(Inputs!$B$4-C12+1)</f>
        <v>12</v>
      </c>
      <c r="K12" s="5">
        <f t="shared" si="3"/>
        <v>2.322492198245307E-12</v>
      </c>
      <c r="L12" t="str">
        <f>IF(C12&lt;=B12,Inputs!$B$4*COMBIN(B12,C12),"")</f>
        <v/>
      </c>
      <c r="M12" s="5" t="str">
        <f t="shared" si="4"/>
        <v/>
      </c>
      <c r="N12" s="6">
        <f t="shared" si="5"/>
        <v>23.233032221944384</v>
      </c>
      <c r="O12" s="6">
        <f t="shared" si="6"/>
        <v>10.152847949995111</v>
      </c>
      <c r="P12" s="6">
        <f t="shared" si="7"/>
        <v>26.788380283433799</v>
      </c>
      <c r="Q12" s="6" t="str">
        <f t="shared" si="8"/>
        <v/>
      </c>
    </row>
    <row r="13" spans="1:17">
      <c r="A13">
        <v>1</v>
      </c>
      <c r="B13">
        <f>Inputs!$B$5</f>
        <v>4</v>
      </c>
      <c r="C13">
        <v>14</v>
      </c>
      <c r="D13">
        <f>B13*Inputs!$B$4</f>
        <v>60</v>
      </c>
      <c r="E13">
        <f t="shared" si="0"/>
        <v>17345898649800</v>
      </c>
      <c r="F13">
        <f>B13*COMBIN(Inputs!$B$4,C13)</f>
        <v>60</v>
      </c>
      <c r="G13" s="5">
        <f t="shared" si="1"/>
        <v>3.4590309335568387E-12</v>
      </c>
      <c r="H13">
        <f>(Inputs!$B$4-C13+1)*POWER(B13,C13)</f>
        <v>536870912</v>
      </c>
      <c r="I13" s="5">
        <f t="shared" si="2"/>
        <v>3.0950884865581192E-5</v>
      </c>
      <c r="J13">
        <f>B13*(Inputs!$B$4-C13+1)</f>
        <v>8</v>
      </c>
      <c r="K13" s="5">
        <f t="shared" si="3"/>
        <v>4.6120412447424519E-13</v>
      </c>
      <c r="L13" t="str">
        <f>IF(C13&lt;=B13,Inputs!$B$4*COMBIN(B13,C13),"")</f>
        <v/>
      </c>
      <c r="M13" s="5" t="str">
        <f t="shared" si="4"/>
        <v/>
      </c>
      <c r="N13" s="6">
        <f t="shared" si="5"/>
        <v>26.3900326430945</v>
      </c>
      <c r="O13" s="6">
        <f t="shared" si="6"/>
        <v>10.383108969078187</v>
      </c>
      <c r="P13" s="6">
        <f t="shared" si="7"/>
        <v>28.404935663636763</v>
      </c>
      <c r="Q13" s="6" t="str">
        <f t="shared" si="8"/>
        <v/>
      </c>
    </row>
    <row r="14" spans="1:17">
      <c r="A14">
        <v>1</v>
      </c>
      <c r="B14">
        <f>Inputs!$B$5</f>
        <v>4</v>
      </c>
      <c r="C14">
        <v>15</v>
      </c>
      <c r="D14">
        <f>B14*Inputs!$B$4</f>
        <v>60</v>
      </c>
      <c r="E14">
        <f t="shared" si="0"/>
        <v>53194089192720.039</v>
      </c>
      <c r="F14">
        <f>B14*COMBIN(Inputs!$B$4,C14)</f>
        <v>4</v>
      </c>
      <c r="G14" s="5">
        <f t="shared" si="1"/>
        <v>7.5196324642539908E-14</v>
      </c>
      <c r="H14">
        <f>(Inputs!$B$4-C14+1)*POWER(B14,C14)</f>
        <v>1073741824</v>
      </c>
      <c r="I14" s="5">
        <f t="shared" si="2"/>
        <v>2.0185359694944237E-5</v>
      </c>
      <c r="J14">
        <f>B14*(Inputs!$B$4-C14+1)</f>
        <v>4</v>
      </c>
      <c r="K14" s="5">
        <f t="shared" si="3"/>
        <v>7.5196324642539908E-14</v>
      </c>
      <c r="L14" t="str">
        <f>IF(C14&lt;=B14,Inputs!$B$4*COMBIN(B14,C14),"")</f>
        <v/>
      </c>
      <c r="M14" s="5" t="str">
        <f t="shared" si="4"/>
        <v/>
      </c>
      <c r="N14" s="6">
        <f t="shared" si="5"/>
        <v>30.218674039583593</v>
      </c>
      <c r="O14" s="6">
        <f t="shared" si="6"/>
        <v>10.810552983905126</v>
      </c>
      <c r="P14" s="6">
        <f t="shared" si="7"/>
        <v>30.218674039583593</v>
      </c>
      <c r="Q14" s="6" t="str">
        <f t="shared" si="8"/>
        <v/>
      </c>
    </row>
    <row r="15" spans="1:17">
      <c r="A15">
        <v>2</v>
      </c>
      <c r="B15">
        <f>Inputs!$B$6</f>
        <v>5</v>
      </c>
      <c r="C15">
        <v>3</v>
      </c>
      <c r="D15">
        <f>B15*Inputs!$B$4</f>
        <v>75</v>
      </c>
      <c r="E15">
        <f t="shared" si="0"/>
        <v>67525</v>
      </c>
      <c r="F15">
        <f>B15*COMBIN(Inputs!$B$4,C15)</f>
        <v>2275.0000000000005</v>
      </c>
      <c r="G15" s="5">
        <f t="shared" si="1"/>
        <v>3.3691225472047399E-2</v>
      </c>
      <c r="H15">
        <f>(Inputs!$B$4-C15+1)*POWER(B15,C15)</f>
        <v>1625</v>
      </c>
      <c r="I15" s="5">
        <f t="shared" si="2"/>
        <v>2.4065161051462423E-2</v>
      </c>
      <c r="J15">
        <f>B15*(Inputs!$B$4-C15+1)</f>
        <v>65</v>
      </c>
      <c r="K15" s="5">
        <f t="shared" si="3"/>
        <v>9.6260644205849687E-4</v>
      </c>
      <c r="L15">
        <f>IF(C15&lt;=B15,Inputs!$B$4*COMBIN(B15,C15),"")</f>
        <v>150</v>
      </c>
      <c r="M15" s="5">
        <f t="shared" si="4"/>
        <v>2.2213994816734544E-3</v>
      </c>
      <c r="N15" s="6">
        <f t="shared" si="5"/>
        <v>3.3905178472757651</v>
      </c>
      <c r="O15" s="6">
        <f t="shared" si="6"/>
        <v>3.7269900838969785</v>
      </c>
      <c r="P15" s="6">
        <f t="shared" si="7"/>
        <v>6.9458659087651791</v>
      </c>
      <c r="Q15" s="6">
        <f t="shared" si="8"/>
        <v>6.1096178845645603</v>
      </c>
    </row>
    <row r="16" spans="1:17">
      <c r="A16">
        <v>2</v>
      </c>
      <c r="B16">
        <f>Inputs!$B$6</f>
        <v>5</v>
      </c>
      <c r="C16">
        <v>4</v>
      </c>
      <c r="D16">
        <f>B16*Inputs!$B$4</f>
        <v>75</v>
      </c>
      <c r="E16">
        <f t="shared" si="0"/>
        <v>1215450</v>
      </c>
      <c r="F16">
        <f>B16*COMBIN(Inputs!$B$4,C16)</f>
        <v>6825</v>
      </c>
      <c r="G16" s="5">
        <f t="shared" si="1"/>
        <v>5.6152042453412312E-3</v>
      </c>
      <c r="H16">
        <f>(Inputs!$B$4-C16+1)*POWER(B16,C16)</f>
        <v>7500</v>
      </c>
      <c r="I16" s="5">
        <f t="shared" si="2"/>
        <v>6.1705541157595955E-3</v>
      </c>
      <c r="J16">
        <f>B16*(Inputs!$B$4-C16+1)</f>
        <v>60</v>
      </c>
      <c r="K16" s="5">
        <f t="shared" si="3"/>
        <v>4.936443292607676E-5</v>
      </c>
      <c r="L16">
        <f>IF(C16&lt;=B16,Inputs!$B$4*COMBIN(B16,C16),"")</f>
        <v>75</v>
      </c>
      <c r="M16" s="5">
        <f t="shared" si="4"/>
        <v>6.1705541157595955E-5</v>
      </c>
      <c r="N16" s="6">
        <f t="shared" si="5"/>
        <v>5.1822773165038205</v>
      </c>
      <c r="O16" s="6">
        <f t="shared" si="6"/>
        <v>5.0879666370325793</v>
      </c>
      <c r="P16" s="6">
        <f t="shared" si="7"/>
        <v>9.91628037433488</v>
      </c>
      <c r="Q16" s="6">
        <f t="shared" si="8"/>
        <v>9.6931368230206711</v>
      </c>
    </row>
    <row r="17" spans="1:17">
      <c r="A17">
        <v>2</v>
      </c>
      <c r="B17">
        <f>Inputs!$B$6</f>
        <v>5</v>
      </c>
      <c r="C17">
        <v>5</v>
      </c>
      <c r="D17">
        <f>B17*Inputs!$B$4</f>
        <v>75</v>
      </c>
      <c r="E17">
        <f t="shared" si="0"/>
        <v>17259390</v>
      </c>
      <c r="F17">
        <f>B17*COMBIN(Inputs!$B$4,C17)</f>
        <v>15015</v>
      </c>
      <c r="G17" s="5">
        <f t="shared" si="1"/>
        <v>8.6996122110920488E-4</v>
      </c>
      <c r="H17">
        <f>(Inputs!$B$4-C17+1)*POWER(B17,C17)</f>
        <v>34375</v>
      </c>
      <c r="I17" s="5">
        <f t="shared" si="2"/>
        <v>1.9916694622463481E-3</v>
      </c>
      <c r="J17">
        <f>B17*(Inputs!$B$4-C17+1)</f>
        <v>55</v>
      </c>
      <c r="K17" s="5">
        <f t="shared" si="3"/>
        <v>3.1866711395941571E-6</v>
      </c>
      <c r="L17">
        <f>IF(C17&lt;=B17,Inputs!$B$4*COMBIN(B17,C17),"")</f>
        <v>15</v>
      </c>
      <c r="M17" s="5">
        <f t="shared" si="4"/>
        <v>8.6909212898022464E-7</v>
      </c>
      <c r="N17" s="6">
        <f t="shared" si="5"/>
        <v>7.0470619207467653</v>
      </c>
      <c r="O17" s="6">
        <f t="shared" si="6"/>
        <v>6.2187820661953239</v>
      </c>
      <c r="P17" s="6">
        <f t="shared" si="7"/>
        <v>12.656533715931726</v>
      </c>
      <c r="Q17" s="6">
        <f t="shared" si="8"/>
        <v>13.955816700061986</v>
      </c>
    </row>
    <row r="18" spans="1:17">
      <c r="A18">
        <v>2</v>
      </c>
      <c r="B18">
        <f>Inputs!$B$6</f>
        <v>5</v>
      </c>
      <c r="C18">
        <v>6</v>
      </c>
      <c r="D18">
        <f>B18*Inputs!$B$4</f>
        <v>75</v>
      </c>
      <c r="E18">
        <f t="shared" si="0"/>
        <v>201359550</v>
      </c>
      <c r="F18">
        <f>B18*COMBIN(Inputs!$B$4,C18)</f>
        <v>25025</v>
      </c>
      <c r="G18" s="5">
        <f t="shared" si="1"/>
        <v>1.2428017444417213E-4</v>
      </c>
      <c r="H18">
        <f>(Inputs!$B$4-C18+1)*POWER(B18,C18)</f>
        <v>156250</v>
      </c>
      <c r="I18" s="5">
        <f t="shared" si="2"/>
        <v>7.7597511516091491E-4</v>
      </c>
      <c r="J18">
        <f>B18*(Inputs!$B$4-C18+1)</f>
        <v>50</v>
      </c>
      <c r="K18" s="5">
        <f t="shared" si="3"/>
        <v>2.4831203685149274E-7</v>
      </c>
      <c r="L18" t="str">
        <f>IF(C18&lt;=B18,Inputs!$B$4*COMBIN(B18,C18),"")</f>
        <v/>
      </c>
      <c r="M18" s="5" t="str">
        <f t="shared" si="4"/>
        <v/>
      </c>
      <c r="N18" s="6">
        <f t="shared" si="5"/>
        <v>8.9929720698020787</v>
      </c>
      <c r="O18" s="6">
        <f t="shared" si="6"/>
        <v>7.1613901063868521</v>
      </c>
      <c r="P18" s="6">
        <f t="shared" si="7"/>
        <v>15.208579668557354</v>
      </c>
      <c r="Q18" s="6" t="str">
        <f t="shared" si="8"/>
        <v/>
      </c>
    </row>
    <row r="19" spans="1:17">
      <c r="A19">
        <v>2</v>
      </c>
      <c r="B19">
        <f>Inputs!$B$6</f>
        <v>5</v>
      </c>
      <c r="C19">
        <v>7</v>
      </c>
      <c r="D19">
        <f>B19*Inputs!$B$4</f>
        <v>75</v>
      </c>
      <c r="E19">
        <f t="shared" si="0"/>
        <v>1984829850</v>
      </c>
      <c r="F19">
        <f>B19*COMBIN(Inputs!$B$4,C19)</f>
        <v>32174.999999999996</v>
      </c>
      <c r="G19" s="5">
        <f t="shared" si="1"/>
        <v>1.6210457536196364E-5</v>
      </c>
      <c r="H19">
        <f>(Inputs!$B$4-C19+1)*POWER(B19,C19)</f>
        <v>703125</v>
      </c>
      <c r="I19" s="5">
        <f t="shared" si="2"/>
        <v>3.542495090952003E-4</v>
      </c>
      <c r="J19">
        <f>B19*(Inputs!$B$4-C19+1)</f>
        <v>45</v>
      </c>
      <c r="K19" s="5">
        <f t="shared" si="3"/>
        <v>2.2671968582092816E-8</v>
      </c>
      <c r="L19" t="str">
        <f>IF(C19&lt;=B19,Inputs!$B$4*COMBIN(B19,C19),"")</f>
        <v/>
      </c>
      <c r="M19" s="5" t="str">
        <f t="shared" si="4"/>
        <v/>
      </c>
      <c r="N19" s="6">
        <f t="shared" si="5"/>
        <v>11.029853997063119</v>
      </c>
      <c r="O19" s="6">
        <f t="shared" si="6"/>
        <v>7.9455090651525238</v>
      </c>
      <c r="P19" s="6">
        <f t="shared" si="7"/>
        <v>17.602136539757126</v>
      </c>
      <c r="Q19" s="6" t="str">
        <f t="shared" si="8"/>
        <v/>
      </c>
    </row>
    <row r="20" spans="1:17">
      <c r="A20">
        <v>2</v>
      </c>
      <c r="B20">
        <f>Inputs!$B$6</f>
        <v>5</v>
      </c>
      <c r="C20">
        <v>8</v>
      </c>
      <c r="D20">
        <f>B20*Inputs!$B$4</f>
        <v>75</v>
      </c>
      <c r="E20">
        <f t="shared" si="0"/>
        <v>16871053725</v>
      </c>
      <c r="F20">
        <f>B20*COMBIN(Inputs!$B$4,C20)</f>
        <v>32174.999999999996</v>
      </c>
      <c r="G20" s="5">
        <f t="shared" si="1"/>
        <v>1.9071126513172191E-6</v>
      </c>
      <c r="H20">
        <f>(Inputs!$B$4-C20+1)*POWER(B20,C20)</f>
        <v>3125000</v>
      </c>
      <c r="I20" s="5">
        <f t="shared" si="2"/>
        <v>1.8522850148768643E-4</v>
      </c>
      <c r="J20">
        <f>B20*(Inputs!$B$4-C20+1)</f>
        <v>40</v>
      </c>
      <c r="K20" s="5">
        <f t="shared" si="3"/>
        <v>2.3709248190423861E-9</v>
      </c>
      <c r="L20" t="str">
        <f>IF(C20&lt;=B20,Inputs!$B$4*COMBIN(B20,C20),"")</f>
        <v/>
      </c>
      <c r="M20" s="5" t="str">
        <f t="shared" si="4"/>
        <v/>
      </c>
      <c r="N20" s="6">
        <f t="shared" si="5"/>
        <v>13.169920160559389</v>
      </c>
      <c r="O20" s="6">
        <f t="shared" si="6"/>
        <v>8.5939203518710787</v>
      </c>
      <c r="P20" s="6">
        <f t="shared" si="7"/>
        <v>19.859985738909781</v>
      </c>
      <c r="Q20" s="6" t="str">
        <f t="shared" si="8"/>
        <v/>
      </c>
    </row>
    <row r="21" spans="1:17">
      <c r="A21">
        <v>2</v>
      </c>
      <c r="B21">
        <f>Inputs!$B$6</f>
        <v>5</v>
      </c>
      <c r="C21">
        <v>9</v>
      </c>
      <c r="D21">
        <f>B21*Inputs!$B$4</f>
        <v>75</v>
      </c>
      <c r="E21">
        <f t="shared" si="0"/>
        <v>125595622175</v>
      </c>
      <c r="F21">
        <f>B21*COMBIN(Inputs!$B$4,C21)</f>
        <v>25025</v>
      </c>
      <c r="G21" s="5">
        <f t="shared" si="1"/>
        <v>1.9925057551075426E-7</v>
      </c>
      <c r="H21">
        <f>(Inputs!$B$4-C21+1)*POWER(B21,C21)</f>
        <v>13671875</v>
      </c>
      <c r="I21" s="5">
        <f t="shared" si="2"/>
        <v>1.0885630218026348E-4</v>
      </c>
      <c r="J21">
        <f>B21*(Inputs!$B$4-C21+1)</f>
        <v>35</v>
      </c>
      <c r="K21" s="5">
        <f t="shared" si="3"/>
        <v>2.7867213358147451E-10</v>
      </c>
      <c r="L21" t="str">
        <f>IF(C21&lt;=B21,Inputs!$B$4*COMBIN(B21,C21),"")</f>
        <v/>
      </c>
      <c r="M21" s="5" t="str">
        <f t="shared" si="4"/>
        <v/>
      </c>
      <c r="N21" s="6">
        <f t="shared" si="5"/>
        <v>15.428702630895042</v>
      </c>
      <c r="O21" s="6">
        <f t="shared" si="6"/>
        <v>9.1254818741162467</v>
      </c>
      <c r="P21" s="6">
        <f t="shared" si="7"/>
        <v>22.000985173589051</v>
      </c>
      <c r="Q21" s="6" t="str">
        <f t="shared" si="8"/>
        <v/>
      </c>
    </row>
    <row r="22" spans="1:17">
      <c r="A22">
        <v>2</v>
      </c>
      <c r="B22">
        <f>Inputs!$B$6</f>
        <v>5</v>
      </c>
      <c r="C22">
        <v>10</v>
      </c>
      <c r="D22">
        <f>B22*Inputs!$B$4</f>
        <v>75</v>
      </c>
      <c r="E22">
        <f t="shared" si="0"/>
        <v>828931106355</v>
      </c>
      <c r="F22">
        <f>B22*COMBIN(Inputs!$B$4,C22)</f>
        <v>15015</v>
      </c>
      <c r="G22" s="5">
        <f t="shared" si="1"/>
        <v>1.8113688682795842E-8</v>
      </c>
      <c r="H22">
        <f>(Inputs!$B$4-C22+1)*POWER(B22,C22)</f>
        <v>58593750</v>
      </c>
      <c r="I22" s="5">
        <f t="shared" si="2"/>
        <v>7.068591050666459E-5</v>
      </c>
      <c r="J22">
        <f>B22*(Inputs!$B$4-C22+1)</f>
        <v>30</v>
      </c>
      <c r="K22" s="5">
        <f t="shared" si="3"/>
        <v>3.6191186179412269E-11</v>
      </c>
      <c r="L22" t="str">
        <f>IF(C22&lt;=B22,Inputs!$B$4*COMBIN(B22,C22),"")</f>
        <v/>
      </c>
      <c r="M22" s="5" t="str">
        <f t="shared" si="4"/>
        <v/>
      </c>
      <c r="N22" s="6">
        <f t="shared" si="5"/>
        <v>17.826597903693411</v>
      </c>
      <c r="O22" s="6">
        <f t="shared" si="6"/>
        <v>9.5572642905417844</v>
      </c>
      <c r="P22" s="6">
        <f t="shared" si="7"/>
        <v>24.042205502448688</v>
      </c>
      <c r="Q22" s="6" t="str">
        <f t="shared" si="8"/>
        <v/>
      </c>
    </row>
    <row r="23" spans="1:17">
      <c r="A23">
        <v>2</v>
      </c>
      <c r="B23">
        <f>Inputs!$B$6</f>
        <v>5</v>
      </c>
      <c r="C23">
        <v>11</v>
      </c>
      <c r="D23">
        <f>B23*Inputs!$B$4</f>
        <v>75</v>
      </c>
      <c r="E23">
        <f t="shared" si="0"/>
        <v>4898229264825</v>
      </c>
      <c r="F23">
        <f>B23*COMBIN(Inputs!$B$4,C23)</f>
        <v>6825</v>
      </c>
      <c r="G23" s="5">
        <f t="shared" si="1"/>
        <v>1.3933606679073726E-9</v>
      </c>
      <c r="H23">
        <f>(Inputs!$B$4-C23+1)*POWER(B23,C23)</f>
        <v>244140625</v>
      </c>
      <c r="I23" s="5">
        <f t="shared" si="2"/>
        <v>4.9842629203417343E-5</v>
      </c>
      <c r="J23">
        <f>B23*(Inputs!$B$4-C23+1)</f>
        <v>25</v>
      </c>
      <c r="K23" s="5">
        <f t="shared" si="3"/>
        <v>5.1038852304299359E-12</v>
      </c>
      <c r="L23" t="str">
        <f>IF(C23&lt;=B23,Inputs!$B$4*COMBIN(B23,C23),"")</f>
        <v/>
      </c>
      <c r="M23" s="5" t="str">
        <f t="shared" si="4"/>
        <v/>
      </c>
      <c r="N23" s="6">
        <f t="shared" si="5"/>
        <v>20.391547261154951</v>
      </c>
      <c r="O23" s="6">
        <f t="shared" si="6"/>
        <v>9.9066399319989049</v>
      </c>
      <c r="P23" s="6">
        <f t="shared" si="7"/>
        <v>26.00101905633991</v>
      </c>
      <c r="Q23" s="6" t="str">
        <f t="shared" si="8"/>
        <v/>
      </c>
    </row>
    <row r="24" spans="1:17">
      <c r="A24">
        <v>2</v>
      </c>
      <c r="B24">
        <f>Inputs!$B$6</f>
        <v>5</v>
      </c>
      <c r="C24">
        <v>12</v>
      </c>
      <c r="D24">
        <f>B24*Inputs!$B$4</f>
        <v>75</v>
      </c>
      <c r="E24">
        <f t="shared" si="0"/>
        <v>26123889412400.008</v>
      </c>
      <c r="F24">
        <f>B24*COMBIN(Inputs!$B$4,C24)</f>
        <v>2275.0000000000005</v>
      </c>
      <c r="G24" s="5">
        <f t="shared" si="1"/>
        <v>8.7085041744210772E-11</v>
      </c>
      <c r="H24">
        <f>(Inputs!$B$4-C24+1)*POWER(B24,C24)</f>
        <v>976562500</v>
      </c>
      <c r="I24" s="5">
        <f t="shared" si="2"/>
        <v>3.7381971902562994E-5</v>
      </c>
      <c r="J24">
        <f>B24*(Inputs!$B$4-C24+1)</f>
        <v>20</v>
      </c>
      <c r="K24" s="5">
        <f t="shared" si="3"/>
        <v>7.6558278456449014E-13</v>
      </c>
      <c r="L24" t="str">
        <f>IF(C24&lt;=B24,Inputs!$B$4*COMBIN(B24,C24),"")</f>
        <v/>
      </c>
      <c r="M24" s="5" t="str">
        <f t="shared" si="4"/>
        <v/>
      </c>
      <c r="N24" s="6">
        <f t="shared" si="5"/>
        <v>23.164135983394729</v>
      </c>
      <c r="O24" s="6">
        <f t="shared" si="6"/>
        <v>10.194322004450687</v>
      </c>
      <c r="P24" s="6">
        <f t="shared" si="7"/>
        <v>27.898139041225789</v>
      </c>
      <c r="Q24" s="6" t="str">
        <f t="shared" si="8"/>
        <v/>
      </c>
    </row>
    <row r="25" spans="1:17">
      <c r="A25">
        <v>2</v>
      </c>
      <c r="B25">
        <f>Inputs!$B$6</f>
        <v>5</v>
      </c>
      <c r="C25">
        <v>13</v>
      </c>
      <c r="D25">
        <f>B25*Inputs!$B$4</f>
        <v>75</v>
      </c>
      <c r="E25">
        <f t="shared" si="0"/>
        <v>126600387152399.98</v>
      </c>
      <c r="F25">
        <f>B25*COMBIN(Inputs!$B$4,C25)</f>
        <v>525</v>
      </c>
      <c r="G25" s="5">
        <f t="shared" si="1"/>
        <v>4.146906749724323E-12</v>
      </c>
      <c r="H25">
        <f>(Inputs!$B$4-C25+1)*POWER(B25,C25)</f>
        <v>3662109375</v>
      </c>
      <c r="I25" s="5">
        <f t="shared" si="2"/>
        <v>2.8926525876983283E-5</v>
      </c>
      <c r="J25">
        <f>B25*(Inputs!$B$4-C25+1)</f>
        <v>15</v>
      </c>
      <c r="K25" s="5">
        <f t="shared" si="3"/>
        <v>1.1848304999212352E-13</v>
      </c>
      <c r="L25" t="str">
        <f>IF(C25&lt;=B25,Inputs!$B$4*COMBIN(B25,C25),"")</f>
        <v/>
      </c>
      <c r="M25" s="5" t="str">
        <f t="shared" si="4"/>
        <v/>
      </c>
      <c r="N25" s="6">
        <f t="shared" si="5"/>
        <v>26.208658421118155</v>
      </c>
      <c r="O25" s="6">
        <f t="shared" si="6"/>
        <v>10.450751533398362</v>
      </c>
      <c r="P25" s="6">
        <f t="shared" si="7"/>
        <v>29.764006482607567</v>
      </c>
      <c r="Q25" s="6" t="str">
        <f t="shared" si="8"/>
        <v/>
      </c>
    </row>
    <row r="26" spans="1:17">
      <c r="A26">
        <v>2</v>
      </c>
      <c r="B26">
        <f>Inputs!$B$6</f>
        <v>5</v>
      </c>
      <c r="C26">
        <v>14</v>
      </c>
      <c r="D26">
        <f>B26*Inputs!$B$4</f>
        <v>75</v>
      </c>
      <c r="E26">
        <f t="shared" si="0"/>
        <v>560658857389200</v>
      </c>
      <c r="F26">
        <f>B26*COMBIN(Inputs!$B$4,C26)</f>
        <v>75</v>
      </c>
      <c r="G26" s="5">
        <f t="shared" si="1"/>
        <v>1.3377118547497815E-13</v>
      </c>
      <c r="H26">
        <f>(Inputs!$B$4-C26+1)*POWER(B26,C26)</f>
        <v>12207031250</v>
      </c>
      <c r="I26" s="5">
        <f t="shared" si="2"/>
        <v>2.1772653885901392E-5</v>
      </c>
      <c r="J26">
        <f>B26*(Inputs!$B$4-C26+1)</f>
        <v>10</v>
      </c>
      <c r="K26" s="5">
        <f t="shared" si="3"/>
        <v>1.783615806333042E-14</v>
      </c>
      <c r="L26" t="str">
        <f>IF(C26&lt;=B26,Inputs!$B$4*COMBIN(B26,C26),"")</f>
        <v/>
      </c>
      <c r="M26" s="5" t="str">
        <f t="shared" si="4"/>
        <v/>
      </c>
      <c r="N26" s="6">
        <f t="shared" si="5"/>
        <v>29.642645625603301</v>
      </c>
      <c r="O26" s="6">
        <f t="shared" si="6"/>
        <v>10.73485578450226</v>
      </c>
      <c r="P26" s="6">
        <f t="shared" si="7"/>
        <v>31.657548646145564</v>
      </c>
      <c r="Q26" s="6" t="str">
        <f t="shared" si="8"/>
        <v/>
      </c>
    </row>
    <row r="27" spans="1:17">
      <c r="A27">
        <v>2</v>
      </c>
      <c r="B27">
        <f>Inputs!$B$6</f>
        <v>5</v>
      </c>
      <c r="C27">
        <v>15</v>
      </c>
      <c r="D27">
        <f>B27*Inputs!$B$4</f>
        <v>75</v>
      </c>
      <c r="E27">
        <f t="shared" si="0"/>
        <v>2280012686716080.5</v>
      </c>
      <c r="F27">
        <f>B27*COMBIN(Inputs!$B$4,C27)</f>
        <v>5</v>
      </c>
      <c r="G27" s="5">
        <f t="shared" si="1"/>
        <v>2.1929702536881659E-15</v>
      </c>
      <c r="H27">
        <f>(Inputs!$B$4-C27+1)*POWER(B27,C27)</f>
        <v>30517578125</v>
      </c>
      <c r="I27" s="5">
        <f t="shared" si="2"/>
        <v>1.3384828208545935E-5</v>
      </c>
      <c r="J27">
        <f>B27*(Inputs!$B$4-C27+1)</f>
        <v>5</v>
      </c>
      <c r="K27" s="5">
        <f t="shared" si="3"/>
        <v>2.1929702536881659E-15</v>
      </c>
      <c r="L27" t="str">
        <f>IF(C27&lt;=B27,Inputs!$B$4*COMBIN(B27,C27),"")</f>
        <v/>
      </c>
      <c r="M27" s="5" t="str">
        <f t="shared" si="4"/>
        <v/>
      </c>
      <c r="N27" s="6">
        <f t="shared" si="5"/>
        <v>33.753519489776615</v>
      </c>
      <c r="O27" s="6">
        <f t="shared" si="6"/>
        <v>11.221388715699206</v>
      </c>
      <c r="P27" s="6">
        <f t="shared" si="7"/>
        <v>33.753519489776615</v>
      </c>
      <c r="Q27" s="6" t="str">
        <f t="shared" si="8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workbookViewId="0"/>
  </sheetViews>
  <sheetFormatPr defaultRowHeight="14.15"/>
  <cols>
    <col min="1" max="17" width="13" customWidth="1"/>
  </cols>
  <sheetData>
    <row r="1" spans="1:17" ht="16" customHeight="1">
      <c r="A1" s="1" t="s">
        <v>28</v>
      </c>
      <c r="B1" s="1" t="s">
        <v>29</v>
      </c>
      <c r="C1" s="1" t="s">
        <v>45</v>
      </c>
      <c r="D1" s="1" t="s">
        <v>31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</row>
    <row r="2" spans="1:17">
      <c r="A2">
        <v>1</v>
      </c>
      <c r="B2">
        <f>Inputs!$B$5</f>
        <v>4</v>
      </c>
      <c r="C2">
        <v>3</v>
      </c>
      <c r="D2">
        <f>B2*Inputs!$B$4</f>
        <v>60</v>
      </c>
      <c r="E2" t="str">
        <f t="shared" ref="E2:E27" si="0">IF(C2=3,"",C2-1)</f>
        <v/>
      </c>
      <c r="F2" s="5">
        <f>IF(C2=3,1,(Inputs!$B$4-(C2-1))/(D2-(C2-1)))</f>
        <v>1</v>
      </c>
      <c r="G2" s="5">
        <f>IF(C2=3,1,((MAX(Inputs!$B$4-(C2-1)-1,0)*2*B2)+(2*B2))/((Inputs!$B$4-(C2-1)+1)*(D2-(C2-1))))</f>
        <v>1</v>
      </c>
      <c r="H2" s="5">
        <f>IF(C2=3,1,((MAX(Inputs!$B$4-(C2-1)-1,0)*2)+(2))/((Inputs!$B$4-(C2-1)+1)*(D2-(C2-1))))</f>
        <v>1</v>
      </c>
      <c r="I2" s="5">
        <f t="shared" ref="I2:I27" si="1">IF(C2=3,1,IF((C2-1)&lt;B2,(B2-(C2-1))/(D2-(C2-1)),""))</f>
        <v>1</v>
      </c>
      <c r="J2" s="5">
        <f>IF(C2=3,B2*COMBIN(Inputs!$B$4,3)/COMBIN(D2,3),J1*F2)</f>
        <v>5.3185271770894223E-2</v>
      </c>
      <c r="K2" s="5">
        <f>IF(C2=3,(Inputs!$B$4-3+1)*POWER(B2,3)/COMBIN(D2,3),K1*G2)</f>
        <v>2.4313267095265927E-2</v>
      </c>
      <c r="L2" s="5">
        <f>IF(C2=3,B2*(Inputs!$B$4-3+1)/COMBIN(D2,3),L1*H2)</f>
        <v>1.5195791934541204E-3</v>
      </c>
      <c r="M2" s="5">
        <f>IF(C2=3,IF(3&lt;=B2,Inputs!$B$4*COMBIN(B2,3)/COMBIN(D2,3),""),IF(I2="","",M1*I2))</f>
        <v>1.7533606078316774E-3</v>
      </c>
      <c r="N2" s="6">
        <f t="shared" ref="N2:N27" si="2">-LN(J2)</f>
        <v>2.9339737673753432</v>
      </c>
      <c r="O2" s="6">
        <f t="shared" ref="O2:O27" si="3">-LN(K2)</f>
        <v>3.716733106624976</v>
      </c>
      <c r="P2" s="6">
        <f t="shared" ref="P2:P27" si="4">-LN(L2)</f>
        <v>6.4893218288647567</v>
      </c>
      <c r="Q2" s="6">
        <f t="shared" ref="Q2:Q27" si="5">IF(M2="","",-LN(M2))</f>
        <v>6.3462209852240834</v>
      </c>
    </row>
    <row r="3" spans="1:17">
      <c r="A3">
        <v>1</v>
      </c>
      <c r="B3">
        <f>Inputs!$B$5</f>
        <v>4</v>
      </c>
      <c r="C3">
        <v>4</v>
      </c>
      <c r="D3">
        <f>B3*Inputs!$B$4</f>
        <v>60</v>
      </c>
      <c r="E3">
        <f t="shared" si="0"/>
        <v>3</v>
      </c>
      <c r="F3" s="5">
        <f>IF(C3=3,1,(Inputs!$B$4-(C3-1))/(D3-(C3-1)))</f>
        <v>0.21052631578947367</v>
      </c>
      <c r="G3" s="5">
        <f>IF(C3=3,1,((MAX(Inputs!$B$4-(C3-1)-1,0)*2*B3)+(2*B3))/((Inputs!$B$4-(C3-1)+1)*(D3-(C3-1))))</f>
        <v>0.12955465587044535</v>
      </c>
      <c r="H3" s="5">
        <f>IF(C3=3,1,((MAX(Inputs!$B$4-(C3-1)-1,0)*2)+(2))/((Inputs!$B$4-(C3-1)+1)*(D3-(C3-1))))</f>
        <v>3.2388663967611336E-2</v>
      </c>
      <c r="I3" s="5">
        <f t="shared" si="1"/>
        <v>1.7543859649122806E-2</v>
      </c>
      <c r="J3" s="5">
        <f>IF(C3=3,B3*COMBIN(Inputs!$B$4,3)/COMBIN(D3,3),J2*F3)</f>
        <v>1.1196899320188258E-2</v>
      </c>
      <c r="K3" s="5">
        <f>IF(C3=3,(Inputs!$B$4-3+1)*POWER(B3,3)/COMBIN(D3,3),K2*G3)</f>
        <v>3.1498969516133993E-3</v>
      </c>
      <c r="L3" s="5">
        <f>IF(C3=3,B3*(Inputs!$B$4-3+1)/COMBIN(D3,3),L2*H3)</f>
        <v>4.9217139868959364E-5</v>
      </c>
      <c r="M3" s="5">
        <f>IF(C3=3,IF(3&lt;=B3,Inputs!$B$4*COMBIN(B3,3)/COMBIN(D3,3),""),IF(I3="","",M2*I3))</f>
        <v>3.0760712418099601E-5</v>
      </c>
      <c r="N3" s="6">
        <f t="shared" si="2"/>
        <v>4.4921183854218931</v>
      </c>
      <c r="O3" s="6">
        <f t="shared" si="3"/>
        <v>5.7603855404532265</v>
      </c>
      <c r="P3" s="6">
        <f t="shared" si="4"/>
        <v>9.9192686238128989</v>
      </c>
      <c r="Q3" s="6">
        <f t="shared" si="5"/>
        <v>10.389272253058634</v>
      </c>
    </row>
    <row r="4" spans="1:17">
      <c r="A4">
        <v>1</v>
      </c>
      <c r="B4">
        <f>Inputs!$B$5</f>
        <v>4</v>
      </c>
      <c r="C4">
        <v>5</v>
      </c>
      <c r="D4">
        <f>B4*Inputs!$B$4</f>
        <v>60</v>
      </c>
      <c r="E4">
        <f t="shared" si="0"/>
        <v>4</v>
      </c>
      <c r="F4" s="5">
        <f>IF(C4=3,1,(Inputs!$B$4-(C4-1))/(D4-(C4-1)))</f>
        <v>0.19642857142857142</v>
      </c>
      <c r="G4" s="5">
        <f>IF(C4=3,1,((MAX(Inputs!$B$4-(C4-1)-1,0)*2*B4)+(2*B4))/((Inputs!$B$4-(C4-1)+1)*(D4-(C4-1))))</f>
        <v>0.13095238095238096</v>
      </c>
      <c r="H4" s="5">
        <f>IF(C4=3,1,((MAX(Inputs!$B$4-(C4-1)-1,0)*2)+(2))/((Inputs!$B$4-(C4-1)+1)*(D4-(C4-1))))</f>
        <v>3.273809523809524E-2</v>
      </c>
      <c r="I4" s="5" t="str">
        <f t="shared" si="1"/>
        <v/>
      </c>
      <c r="J4" s="5">
        <f>IF(C4=3,B4*COMBIN(Inputs!$B$4,3)/COMBIN(D4,3),J3*F4)</f>
        <v>2.199390937894122E-3</v>
      </c>
      <c r="K4" s="5">
        <f>IF(C4=3,(Inputs!$B$4-3+1)*POWER(B4,3)/COMBIN(D4,3),K3*G4)</f>
        <v>4.1248650556842138E-4</v>
      </c>
      <c r="L4" s="5">
        <f>IF(C4=3,B4*(Inputs!$B$4-3+1)/COMBIN(D4,3),L3*H4)</f>
        <v>1.611275412376646E-6</v>
      </c>
      <c r="M4" s="5" t="str">
        <f>IF(C4=3,IF(3&lt;=B4,Inputs!$B$4*COMBIN(B4,3)/COMBIN(D4,3),""),IF(I4="","",M3*I4))</f>
        <v/>
      </c>
      <c r="N4" s="6">
        <f t="shared" si="2"/>
        <v>6.1195748033586721</v>
      </c>
      <c r="O4" s="6">
        <f t="shared" si="3"/>
        <v>7.7933070664981692</v>
      </c>
      <c r="P4" s="6">
        <f t="shared" si="4"/>
        <v>13.338484510977732</v>
      </c>
      <c r="Q4" s="6" t="str">
        <f t="shared" si="5"/>
        <v/>
      </c>
    </row>
    <row r="5" spans="1:17">
      <c r="A5">
        <v>1</v>
      </c>
      <c r="B5">
        <f>Inputs!$B$5</f>
        <v>4</v>
      </c>
      <c r="C5">
        <v>6</v>
      </c>
      <c r="D5">
        <f>B5*Inputs!$B$4</f>
        <v>60</v>
      </c>
      <c r="E5">
        <f t="shared" si="0"/>
        <v>5</v>
      </c>
      <c r="F5" s="5">
        <f>IF(C5=3,1,(Inputs!$B$4-(C5-1))/(D5-(C5-1)))</f>
        <v>0.18181818181818182</v>
      </c>
      <c r="G5" s="5">
        <f>IF(C5=3,1,((MAX(Inputs!$B$4-(C5-1)-1,0)*2*B5)+(2*B5))/((Inputs!$B$4-(C5-1)+1)*(D5-(C5-1))))</f>
        <v>0.13223140495867769</v>
      </c>
      <c r="H5" s="5">
        <f>IF(C5=3,1,((MAX(Inputs!$B$4-(C5-1)-1,0)*2)+(2))/((Inputs!$B$4-(C5-1)+1)*(D5-(C5-1))))</f>
        <v>3.3057851239669422E-2</v>
      </c>
      <c r="I5" s="5" t="str">
        <f t="shared" si="1"/>
        <v/>
      </c>
      <c r="J5" s="5">
        <f>IF(C5=3,B5*COMBIN(Inputs!$B$4,3)/COMBIN(D5,3),J4*F5)</f>
        <v>3.9988926143529491E-4</v>
      </c>
      <c r="K5" s="5">
        <f>IF(C5=3,(Inputs!$B$4-3+1)*POWER(B5,3)/COMBIN(D5,3),K4*G5)</f>
        <v>5.454367015780779E-5</v>
      </c>
      <c r="L5" s="5">
        <f>IF(C5=3,B5*(Inputs!$B$4-3+1)/COMBIN(D5,3),L4*H5)</f>
        <v>5.326530288848417E-8</v>
      </c>
      <c r="M5" s="5" t="str">
        <f>IF(C5=3,IF(3&lt;=B5,Inputs!$B$4*COMBIN(B5,3)/COMBIN(D5,3),""),IF(I5="","",M4*I5))</f>
        <v/>
      </c>
      <c r="N5" s="6">
        <f t="shared" si="2"/>
        <v>7.8243228955970974</v>
      </c>
      <c r="O5" s="6">
        <f t="shared" si="3"/>
        <v>9.8165088898551289</v>
      </c>
      <c r="P5" s="6">
        <f t="shared" si="4"/>
        <v>16.747980695454583</v>
      </c>
      <c r="Q5" s="6" t="str">
        <f t="shared" si="5"/>
        <v/>
      </c>
    </row>
    <row r="6" spans="1:17">
      <c r="A6">
        <v>1</v>
      </c>
      <c r="B6">
        <f>Inputs!$B$5</f>
        <v>4</v>
      </c>
      <c r="C6">
        <v>7</v>
      </c>
      <c r="D6">
        <f>B6*Inputs!$B$4</f>
        <v>60</v>
      </c>
      <c r="E6">
        <f t="shared" si="0"/>
        <v>6</v>
      </c>
      <c r="F6" s="5">
        <f>IF(C6=3,1,(Inputs!$B$4-(C6-1))/(D6-(C6-1)))</f>
        <v>0.16666666666666666</v>
      </c>
      <c r="G6" s="5">
        <f>IF(C6=3,1,((MAX(Inputs!$B$4-(C6-1)-1,0)*2*B6)+(2*B6))/((Inputs!$B$4-(C6-1)+1)*(D6-(C6-1))))</f>
        <v>0.13333333333333333</v>
      </c>
      <c r="H6" s="5">
        <f>IF(C6=3,1,((MAX(Inputs!$B$4-(C6-1)-1,0)*2)+(2))/((Inputs!$B$4-(C6-1)+1)*(D6-(C6-1))))</f>
        <v>3.3333333333333333E-2</v>
      </c>
      <c r="I6" s="5" t="str">
        <f t="shared" si="1"/>
        <v/>
      </c>
      <c r="J6" s="5">
        <f>IF(C6=3,B6*COMBIN(Inputs!$B$4,3)/COMBIN(D6,3),J5*F6)</f>
        <v>6.664821023921581E-5</v>
      </c>
      <c r="K6" s="5">
        <f>IF(C6=3,(Inputs!$B$4-3+1)*POWER(B6,3)/COMBIN(D6,3),K5*G6)</f>
        <v>7.272489354374372E-6</v>
      </c>
      <c r="L6" s="5">
        <f>IF(C6=3,B6*(Inputs!$B$4-3+1)/COMBIN(D6,3),L5*H6)</f>
        <v>1.7755100962828057E-9</v>
      </c>
      <c r="M6" s="5" t="str">
        <f>IF(C6=3,IF(3&lt;=B6,Inputs!$B$4*COMBIN(B6,3)/COMBIN(D6,3),""),IF(I6="","",M5*I6))</f>
        <v/>
      </c>
      <c r="N6" s="6">
        <f t="shared" si="2"/>
        <v>9.6160823648251519</v>
      </c>
      <c r="O6" s="6">
        <f t="shared" si="3"/>
        <v>11.831411910397394</v>
      </c>
      <c r="P6" s="6">
        <f t="shared" si="4"/>
        <v>20.149178077116737</v>
      </c>
      <c r="Q6" s="6" t="str">
        <f t="shared" si="5"/>
        <v/>
      </c>
    </row>
    <row r="7" spans="1:17">
      <c r="A7">
        <v>1</v>
      </c>
      <c r="B7">
        <f>Inputs!$B$5</f>
        <v>4</v>
      </c>
      <c r="C7">
        <v>8</v>
      </c>
      <c r="D7">
        <f>B7*Inputs!$B$4</f>
        <v>60</v>
      </c>
      <c r="E7">
        <f t="shared" si="0"/>
        <v>7</v>
      </c>
      <c r="F7" s="5">
        <f>IF(C7=3,1,(Inputs!$B$4-(C7-1))/(D7-(C7-1)))</f>
        <v>0.15094339622641509</v>
      </c>
      <c r="G7" s="5">
        <f>IF(C7=3,1,((MAX(Inputs!$B$4-(C7-1)-1,0)*2*B7)+(2*B7))/((Inputs!$B$4-(C7-1)+1)*(D7-(C7-1))))</f>
        <v>0.13417190775681342</v>
      </c>
      <c r="H7" s="5">
        <f>IF(C7=3,1,((MAX(Inputs!$B$4-(C7-1)-1,0)*2)+(2))/((Inputs!$B$4-(C7-1)+1)*(D7-(C7-1))))</f>
        <v>3.3542976939203356E-2</v>
      </c>
      <c r="I7" s="5" t="str">
        <f t="shared" si="1"/>
        <v/>
      </c>
      <c r="J7" s="5">
        <f>IF(C7=3,B7*COMBIN(Inputs!$B$4,3)/COMBIN(D7,3),J6*F7)</f>
        <v>1.0060107205919367E-5</v>
      </c>
      <c r="K7" s="5">
        <f>IF(C7=3,(Inputs!$B$4-3+1)*POWER(B7,3)/COMBIN(D7,3),K6*G7)</f>
        <v>9.7576377081752583E-7</v>
      </c>
      <c r="L7" s="5">
        <f>IF(C7=3,B7*(Inputs!$B$4-3+1)/COMBIN(D7,3),L6*H7)</f>
        <v>5.9555894214936879E-11</v>
      </c>
      <c r="M7" s="5" t="str">
        <f>IF(C7=3,IF(3&lt;=B7,Inputs!$B$4*COMBIN(B7,3)/COMBIN(D7,3),""),IF(I7="","",M6*I7))</f>
        <v/>
      </c>
      <c r="N7" s="6">
        <f t="shared" si="2"/>
        <v>11.506932736697438</v>
      </c>
      <c r="O7" s="6">
        <f t="shared" si="3"/>
        <v>13.840045317926064</v>
      </c>
      <c r="P7" s="6">
        <f t="shared" si="4"/>
        <v>23.544105845765298</v>
      </c>
      <c r="Q7" s="6" t="str">
        <f t="shared" si="5"/>
        <v/>
      </c>
    </row>
    <row r="8" spans="1:17">
      <c r="A8">
        <v>1</v>
      </c>
      <c r="B8">
        <f>Inputs!$B$5</f>
        <v>4</v>
      </c>
      <c r="C8">
        <v>9</v>
      </c>
      <c r="D8">
        <f>B8*Inputs!$B$4</f>
        <v>60</v>
      </c>
      <c r="E8">
        <f t="shared" si="0"/>
        <v>8</v>
      </c>
      <c r="F8" s="5">
        <f>IF(C8=3,1,(Inputs!$B$4-(C8-1))/(D8-(C8-1)))</f>
        <v>0.13461538461538461</v>
      </c>
      <c r="G8" s="5">
        <f>IF(C8=3,1,((MAX(Inputs!$B$4-(C8-1)-1,0)*2*B8)+(2*B8))/((Inputs!$B$4-(C8-1)+1)*(D8-(C8-1))))</f>
        <v>0.13461538461538461</v>
      </c>
      <c r="H8" s="5">
        <f>IF(C8=3,1,((MAX(Inputs!$B$4-(C8-1)-1,0)*2)+(2))/((Inputs!$B$4-(C8-1)+1)*(D8-(C8-1))))</f>
        <v>3.3653846153846152E-2</v>
      </c>
      <c r="I8" s="5" t="str">
        <f t="shared" si="1"/>
        <v/>
      </c>
      <c r="J8" s="5">
        <f>IF(C8=3,B8*COMBIN(Inputs!$B$4,3)/COMBIN(D8,3),J7*F8)</f>
        <v>1.3542452007968379E-6</v>
      </c>
      <c r="K8" s="5">
        <f>IF(C8=3,(Inputs!$B$4-3+1)*POWER(B8,3)/COMBIN(D8,3),K7*G8)</f>
        <v>1.3135281530235925E-7</v>
      </c>
      <c r="L8" s="5">
        <f>IF(C8=3,B8*(Inputs!$B$4-3+1)/COMBIN(D8,3),L7*H8)</f>
        <v>2.004284901464222E-12</v>
      </c>
      <c r="M8" s="5" t="str">
        <f>IF(C8=3,IF(3&lt;=B8,Inputs!$B$4*COMBIN(B8,3)/COMBIN(D8,3),""),IF(I8="","",M7*I8))</f>
        <v/>
      </c>
      <c r="N8" s="6">
        <f t="shared" si="2"/>
        <v>13.512266306223552</v>
      </c>
      <c r="O8" s="6">
        <f t="shared" si="3"/>
        <v>15.845378887452178</v>
      </c>
      <c r="P8" s="6">
        <f t="shared" si="4"/>
        <v>26.935733776411304</v>
      </c>
      <c r="Q8" s="6" t="str">
        <f t="shared" si="5"/>
        <v/>
      </c>
    </row>
    <row r="9" spans="1:17">
      <c r="A9">
        <v>1</v>
      </c>
      <c r="B9">
        <f>Inputs!$B$5</f>
        <v>4</v>
      </c>
      <c r="C9">
        <v>10</v>
      </c>
      <c r="D9">
        <f>B9*Inputs!$B$4</f>
        <v>60</v>
      </c>
      <c r="E9">
        <f t="shared" si="0"/>
        <v>9</v>
      </c>
      <c r="F9" s="5">
        <f>IF(C9=3,1,(Inputs!$B$4-(C9-1))/(D9-(C9-1)))</f>
        <v>0.11764705882352941</v>
      </c>
      <c r="G9" s="5">
        <f>IF(C9=3,1,((MAX(Inputs!$B$4-(C9-1)-1,0)*2*B9)+(2*B9))/((Inputs!$B$4-(C9-1)+1)*(D9-(C9-1))))</f>
        <v>0.13445378151260504</v>
      </c>
      <c r="H9" s="5">
        <f>IF(C9=3,1,((MAX(Inputs!$B$4-(C9-1)-1,0)*2)+(2))/((Inputs!$B$4-(C9-1)+1)*(D9-(C9-1))))</f>
        <v>3.3613445378151259E-2</v>
      </c>
      <c r="I9" s="5" t="str">
        <f t="shared" si="1"/>
        <v/>
      </c>
      <c r="J9" s="5">
        <f>IF(C9=3,B9*COMBIN(Inputs!$B$4,3)/COMBIN(D9,3),J8*F9)</f>
        <v>1.5932296479962799E-7</v>
      </c>
      <c r="K9" s="5">
        <f>IF(C9=3,(Inputs!$B$4-3+1)*POWER(B9,3)/COMBIN(D9,3),K8*G9)</f>
        <v>1.7660882729728973E-8</v>
      </c>
      <c r="L9" s="5">
        <f>IF(C9=3,B9*(Inputs!$B$4-3+1)/COMBIN(D9,3),L8*H9)</f>
        <v>6.7370921057620899E-14</v>
      </c>
      <c r="M9" s="5" t="str">
        <f>IF(C9=3,IF(3&lt;=B9,Inputs!$B$4*COMBIN(B9,3)/COMBIN(D9,3),""),IF(I9="","",M8*I9))</f>
        <v/>
      </c>
      <c r="N9" s="6">
        <f t="shared" si="2"/>
        <v>15.652332469719823</v>
      </c>
      <c r="O9" s="6">
        <f t="shared" si="3"/>
        <v>17.851913658323927</v>
      </c>
      <c r="P9" s="6">
        <f t="shared" si="4"/>
        <v>30.32856290840294</v>
      </c>
      <c r="Q9" s="6" t="str">
        <f t="shared" si="5"/>
        <v/>
      </c>
    </row>
    <row r="10" spans="1:17">
      <c r="A10">
        <v>1</v>
      </c>
      <c r="B10">
        <f>Inputs!$B$5</f>
        <v>4</v>
      </c>
      <c r="C10">
        <v>11</v>
      </c>
      <c r="D10">
        <f>B10*Inputs!$B$4</f>
        <v>60</v>
      </c>
      <c r="E10">
        <f t="shared" si="0"/>
        <v>10</v>
      </c>
      <c r="F10" s="5">
        <f>IF(C10=3,1,(Inputs!$B$4-(C10-1))/(D10-(C10-1)))</f>
        <v>0.1</v>
      </c>
      <c r="G10" s="5">
        <f>IF(C10=3,1,((MAX(Inputs!$B$4-(C10-1)-1,0)*2*B10)+(2*B10))/((Inputs!$B$4-(C10-1)+1)*(D10-(C10-1))))</f>
        <v>0.13333333333333333</v>
      </c>
      <c r="H10" s="5">
        <f>IF(C10=3,1,((MAX(Inputs!$B$4-(C10-1)-1,0)*2)+(2))/((Inputs!$B$4-(C10-1)+1)*(D10-(C10-1))))</f>
        <v>3.3333333333333333E-2</v>
      </c>
      <c r="I10" s="5" t="str">
        <f t="shared" si="1"/>
        <v/>
      </c>
      <c r="J10" s="5">
        <f>IF(C10=3,B10*COMBIN(Inputs!$B$4,3)/COMBIN(D10,3),J9*F10)</f>
        <v>1.5932296479962801E-8</v>
      </c>
      <c r="K10" s="5">
        <f>IF(C10=3,(Inputs!$B$4-3+1)*POWER(B10,3)/COMBIN(D10,3),K9*G10)</f>
        <v>2.3547843639638631E-9</v>
      </c>
      <c r="L10" s="5">
        <f>IF(C10=3,B10*(Inputs!$B$4-3+1)/COMBIN(D10,3),L9*H10)</f>
        <v>2.2456973685873634E-15</v>
      </c>
      <c r="M10" s="5" t="str">
        <f>IF(C10=3,IF(3&lt;=B10,Inputs!$B$4*COMBIN(B10,3)/COMBIN(D10,3),""),IF(I10="","",M9*I10))</f>
        <v/>
      </c>
      <c r="N10" s="6">
        <f t="shared" si="2"/>
        <v>17.95491756271387</v>
      </c>
      <c r="O10" s="6">
        <f t="shared" si="3"/>
        <v>19.86681667886619</v>
      </c>
      <c r="P10" s="6">
        <f t="shared" si="4"/>
        <v>33.729760290065094</v>
      </c>
      <c r="Q10" s="6" t="str">
        <f t="shared" si="5"/>
        <v/>
      </c>
    </row>
    <row r="11" spans="1:17">
      <c r="A11">
        <v>1</v>
      </c>
      <c r="B11">
        <f>Inputs!$B$5</f>
        <v>4</v>
      </c>
      <c r="C11">
        <v>12</v>
      </c>
      <c r="D11">
        <f>B11*Inputs!$B$4</f>
        <v>60</v>
      </c>
      <c r="E11">
        <f t="shared" si="0"/>
        <v>11</v>
      </c>
      <c r="F11" s="5">
        <f>IF(C11=3,1,(Inputs!$B$4-(C11-1))/(D11-(C11-1)))</f>
        <v>8.1632653061224483E-2</v>
      </c>
      <c r="G11" s="5">
        <f>IF(C11=3,1,((MAX(Inputs!$B$4-(C11-1)-1,0)*2*B11)+(2*B11))/((Inputs!$B$4-(C11-1)+1)*(D11-(C11-1))))</f>
        <v>0.1306122448979592</v>
      </c>
      <c r="H11" s="5">
        <f>IF(C11=3,1,((MAX(Inputs!$B$4-(C11-1)-1,0)*2)+(2))/((Inputs!$B$4-(C11-1)+1)*(D11-(C11-1))))</f>
        <v>3.2653061224489799E-2</v>
      </c>
      <c r="I11" s="5" t="str">
        <f t="shared" si="1"/>
        <v/>
      </c>
      <c r="J11" s="5">
        <f>IF(C11=3,B11*COMBIN(Inputs!$B$4,3)/COMBIN(D11,3),J10*F11)</f>
        <v>1.3005956310173714E-9</v>
      </c>
      <c r="K11" s="5">
        <f>IF(C11=3,(Inputs!$B$4-3+1)*POWER(B11,3)/COMBIN(D11,3),K10*G11)</f>
        <v>3.0756367202793319E-10</v>
      </c>
      <c r="L11" s="5">
        <f>IF(C11=3,B11*(Inputs!$B$4-3+1)/COMBIN(D11,3),L10*H11)</f>
        <v>7.3328893668158814E-17</v>
      </c>
      <c r="M11" s="5" t="str">
        <f>IF(C11=3,IF(3&lt;=B11,Inputs!$B$4*COMBIN(B11,3)/COMBIN(D11,3),""),IF(I11="","",M10*I11))</f>
        <v/>
      </c>
      <c r="N11" s="6">
        <f t="shared" si="2"/>
        <v>20.460443499704606</v>
      </c>
      <c r="O11" s="6">
        <f t="shared" si="3"/>
        <v>21.902338986611191</v>
      </c>
      <c r="P11" s="6">
        <f t="shared" si="4"/>
        <v>37.151576958929986</v>
      </c>
      <c r="Q11" s="6" t="str">
        <f t="shared" si="5"/>
        <v/>
      </c>
    </row>
    <row r="12" spans="1:17">
      <c r="A12">
        <v>1</v>
      </c>
      <c r="B12">
        <f>Inputs!$B$5</f>
        <v>4</v>
      </c>
      <c r="C12">
        <v>13</v>
      </c>
      <c r="D12">
        <f>B12*Inputs!$B$4</f>
        <v>60</v>
      </c>
      <c r="E12">
        <f t="shared" si="0"/>
        <v>12</v>
      </c>
      <c r="F12" s="5">
        <f>IF(C12=3,1,(Inputs!$B$4-(C12-1))/(D12-(C12-1)))</f>
        <v>6.25E-2</v>
      </c>
      <c r="G12" s="5">
        <f>IF(C12=3,1,((MAX(Inputs!$B$4-(C12-1)-1,0)*2*B12)+(2*B12))/((Inputs!$B$4-(C12-1)+1)*(D12-(C12-1))))</f>
        <v>0.125</v>
      </c>
      <c r="H12" s="5">
        <f>IF(C12=3,1,((MAX(Inputs!$B$4-(C12-1)-1,0)*2)+(2))/((Inputs!$B$4-(C12-1)+1)*(D12-(C12-1))))</f>
        <v>3.125E-2</v>
      </c>
      <c r="I12" s="5" t="str">
        <f t="shared" si="1"/>
        <v/>
      </c>
      <c r="J12" s="5">
        <f>IF(C12=3,B12*COMBIN(Inputs!$B$4,3)/COMBIN(D12,3),J11*F12)</f>
        <v>8.128722693858571E-11</v>
      </c>
      <c r="K12" s="5">
        <f>IF(C12=3,(Inputs!$B$4-3+1)*POWER(B12,3)/COMBIN(D12,3),K11*G12)</f>
        <v>3.8445459003491648E-11</v>
      </c>
      <c r="L12" s="5">
        <f>IF(C12=3,B12*(Inputs!$B$4-3+1)/COMBIN(D12,3),L11*H12)</f>
        <v>2.2915279271299629E-18</v>
      </c>
      <c r="M12" s="5" t="str">
        <f>IF(C12=3,IF(3&lt;=B12,Inputs!$B$4*COMBIN(B12,3)/COMBIN(D12,3),""),IF(I12="","",M11*I12))</f>
        <v/>
      </c>
      <c r="N12" s="6">
        <f t="shared" si="2"/>
        <v>23.233032221944384</v>
      </c>
      <c r="O12" s="6">
        <f t="shared" si="3"/>
        <v>23.981780528291026</v>
      </c>
      <c r="P12" s="6">
        <f t="shared" si="4"/>
        <v>40.617312861729715</v>
      </c>
      <c r="Q12" s="6" t="str">
        <f t="shared" si="5"/>
        <v/>
      </c>
    </row>
    <row r="13" spans="1:17">
      <c r="A13">
        <v>1</v>
      </c>
      <c r="B13">
        <f>Inputs!$B$5</f>
        <v>4</v>
      </c>
      <c r="C13">
        <v>14</v>
      </c>
      <c r="D13">
        <f>B13*Inputs!$B$4</f>
        <v>60</v>
      </c>
      <c r="E13">
        <f t="shared" si="0"/>
        <v>13</v>
      </c>
      <c r="F13" s="5">
        <f>IF(C13=3,1,(Inputs!$B$4-(C13-1))/(D13-(C13-1)))</f>
        <v>4.2553191489361701E-2</v>
      </c>
      <c r="G13" s="5">
        <f>IF(C13=3,1,((MAX(Inputs!$B$4-(C13-1)-1,0)*2*B13)+(2*B13))/((Inputs!$B$4-(C13-1)+1)*(D13-(C13-1))))</f>
        <v>0.11347517730496454</v>
      </c>
      <c r="H13" s="5">
        <f>IF(C13=3,1,((MAX(Inputs!$B$4-(C13-1)-1,0)*2)+(2))/((Inputs!$B$4-(C13-1)+1)*(D13-(C13-1))))</f>
        <v>2.8368794326241134E-2</v>
      </c>
      <c r="I13" s="5" t="str">
        <f t="shared" si="1"/>
        <v/>
      </c>
      <c r="J13" s="5">
        <f>IF(C13=3,B13*COMBIN(Inputs!$B$4,3)/COMBIN(D13,3),J12*F13)</f>
        <v>3.4590309335568387E-12</v>
      </c>
      <c r="K13" s="5">
        <f>IF(C13=3,(Inputs!$B$4-3+1)*POWER(B13,3)/COMBIN(D13,3),K12*G13)</f>
        <v>4.3626052769919598E-12</v>
      </c>
      <c r="L13" s="5">
        <f>IF(C13=3,B13*(Inputs!$B$4-3+1)/COMBIN(D13,3),L12*H13)</f>
        <v>6.5007884457587597E-20</v>
      </c>
      <c r="M13" s="5" t="str">
        <f>IF(C13=3,IF(3&lt;=B13,Inputs!$B$4*COMBIN(B13,3)/COMBIN(D13,3),""),IF(I13="","",M12*I13))</f>
        <v/>
      </c>
      <c r="N13" s="6">
        <f t="shared" si="2"/>
        <v>26.3900326430945</v>
      </c>
      <c r="O13" s="6">
        <f t="shared" si="3"/>
        <v>26.157951696429414</v>
      </c>
      <c r="P13" s="6">
        <f t="shared" si="4"/>
        <v>44.179778390987991</v>
      </c>
      <c r="Q13" s="6" t="str">
        <f t="shared" si="5"/>
        <v/>
      </c>
    </row>
    <row r="14" spans="1:17">
      <c r="A14">
        <v>1</v>
      </c>
      <c r="B14">
        <f>Inputs!$B$5</f>
        <v>4</v>
      </c>
      <c r="C14">
        <v>15</v>
      </c>
      <c r="D14">
        <f>B14*Inputs!$B$4</f>
        <v>60</v>
      </c>
      <c r="E14">
        <f t="shared" si="0"/>
        <v>14</v>
      </c>
      <c r="F14" s="5">
        <f>IF(C14=3,1,(Inputs!$B$4-(C14-1))/(D14-(C14-1)))</f>
        <v>2.1739130434782608E-2</v>
      </c>
      <c r="G14" s="5">
        <f>IF(C14=3,1,((MAX(Inputs!$B$4-(C14-1)-1,0)*2*B14)+(2*B14))/((Inputs!$B$4-(C14-1)+1)*(D14-(C14-1))))</f>
        <v>8.6956521739130432E-2</v>
      </c>
      <c r="H14" s="5">
        <f>IF(C14=3,1,((MAX(Inputs!$B$4-(C14-1)-1,0)*2)+(2))/((Inputs!$B$4-(C14-1)+1)*(D14-(C14-1))))</f>
        <v>2.1739130434782608E-2</v>
      </c>
      <c r="I14" s="5" t="str">
        <f t="shared" si="1"/>
        <v/>
      </c>
      <c r="J14" s="5">
        <f>IF(C14=3,B14*COMBIN(Inputs!$B$4,3)/COMBIN(D14,3),J13*F14)</f>
        <v>7.5196324642539971E-14</v>
      </c>
      <c r="K14" s="5">
        <f>IF(C14=3,(Inputs!$B$4-3+1)*POWER(B14,3)/COMBIN(D14,3),K13*G14)</f>
        <v>3.7935698060799651E-13</v>
      </c>
      <c r="L14" s="5">
        <f>IF(C14=3,B14*(Inputs!$B$4-3+1)/COMBIN(D14,3),L13*H14)</f>
        <v>1.4132148795127738E-21</v>
      </c>
      <c r="M14" s="5" t="str">
        <f>IF(C14=3,IF(3&lt;=B14,Inputs!$B$4*COMBIN(B14,3)/COMBIN(D14,3),""),IF(I14="","",M13*I14))</f>
        <v/>
      </c>
      <c r="N14" s="6">
        <f t="shared" si="2"/>
        <v>30.218674039583593</v>
      </c>
      <c r="O14" s="6">
        <f t="shared" si="3"/>
        <v>28.600298731798617</v>
      </c>
      <c r="P14" s="6">
        <f t="shared" si="4"/>
        <v>48.008419787477088</v>
      </c>
      <c r="Q14" s="6" t="str">
        <f t="shared" si="5"/>
        <v/>
      </c>
    </row>
    <row r="15" spans="1:17">
      <c r="A15">
        <v>2</v>
      </c>
      <c r="B15">
        <f>Inputs!$B$6</f>
        <v>5</v>
      </c>
      <c r="C15">
        <v>3</v>
      </c>
      <c r="D15">
        <f>B15*Inputs!$B$4</f>
        <v>75</v>
      </c>
      <c r="E15" t="str">
        <f t="shared" si="0"/>
        <v/>
      </c>
      <c r="F15" s="5">
        <f>IF(C15=3,1,(Inputs!$B$4-(C15-1))/(D15-(C15-1)))</f>
        <v>1</v>
      </c>
      <c r="G15" s="5">
        <f>IF(C15=3,1,((MAX(Inputs!$B$4-(C15-1)-1,0)*2*B15)+(2*B15))/((Inputs!$B$4-(C15-1)+1)*(D15-(C15-1))))</f>
        <v>1</v>
      </c>
      <c r="H15" s="5">
        <f>IF(C15=3,1,((MAX(Inputs!$B$4-(C15-1)-1,0)*2)+(2))/((Inputs!$B$4-(C15-1)+1)*(D15-(C15-1))))</f>
        <v>1</v>
      </c>
      <c r="I15" s="5">
        <f t="shared" si="1"/>
        <v>1</v>
      </c>
      <c r="J15" s="5">
        <f>IF(C15=3,B15*COMBIN(Inputs!$B$4,3)/COMBIN(D15,3),J14*F15)</f>
        <v>3.3691225472047399E-2</v>
      </c>
      <c r="K15" s="5">
        <f>IF(C15=3,(Inputs!$B$4-3+1)*POWER(B15,3)/COMBIN(D15,3),K14*G15)</f>
        <v>2.4065161051462423E-2</v>
      </c>
      <c r="L15" s="5">
        <f>IF(C15=3,B15*(Inputs!$B$4-3+1)/COMBIN(D15,3),L14*H15)</f>
        <v>9.6260644205849687E-4</v>
      </c>
      <c r="M15" s="5">
        <f>IF(C15=3,IF(3&lt;=B15,Inputs!$B$4*COMBIN(B15,3)/COMBIN(D15,3),""),IF(I15="","",M14*I15))</f>
        <v>2.2213994816734544E-3</v>
      </c>
      <c r="N15" s="6">
        <f t="shared" si="2"/>
        <v>3.3905178472757651</v>
      </c>
      <c r="O15" s="6">
        <f t="shared" si="3"/>
        <v>3.7269900838969785</v>
      </c>
      <c r="P15" s="6">
        <f t="shared" si="4"/>
        <v>6.9458659087651791</v>
      </c>
      <c r="Q15" s="6">
        <f t="shared" si="5"/>
        <v>6.1096178845645603</v>
      </c>
    </row>
    <row r="16" spans="1:17">
      <c r="A16">
        <v>2</v>
      </c>
      <c r="B16">
        <f>Inputs!$B$6</f>
        <v>5</v>
      </c>
      <c r="C16">
        <v>4</v>
      </c>
      <c r="D16">
        <f>B16*Inputs!$B$4</f>
        <v>75</v>
      </c>
      <c r="E16">
        <f t="shared" si="0"/>
        <v>3</v>
      </c>
      <c r="F16" s="5">
        <f>IF(C16=3,1,(Inputs!$B$4-(C16-1))/(D16-(C16-1)))</f>
        <v>0.16666666666666666</v>
      </c>
      <c r="G16" s="5">
        <f>IF(C16=3,1,((MAX(Inputs!$B$4-(C16-1)-1,0)*2*B16)+(2*B16))/((Inputs!$B$4-(C16-1)+1)*(D16-(C16-1))))</f>
        <v>0.12820512820512819</v>
      </c>
      <c r="H16" s="5">
        <f>IF(C16=3,1,((MAX(Inputs!$B$4-(C16-1)-1,0)*2)+(2))/((Inputs!$B$4-(C16-1)+1)*(D16-(C16-1))))</f>
        <v>2.564102564102564E-2</v>
      </c>
      <c r="I16" s="5">
        <f t="shared" si="1"/>
        <v>2.7777777777777776E-2</v>
      </c>
      <c r="J16" s="5">
        <f>IF(C16=3,B16*COMBIN(Inputs!$B$4,3)/COMBIN(D16,3),J15*F16)</f>
        <v>5.6152042453412329E-3</v>
      </c>
      <c r="K16" s="5">
        <f>IF(C16=3,(Inputs!$B$4-3+1)*POWER(B16,3)/COMBIN(D16,3),K15*G16)</f>
        <v>3.0852770578797973E-3</v>
      </c>
      <c r="L16" s="5">
        <f>IF(C16=3,B16*(Inputs!$B$4-3+1)/COMBIN(D16,3),L15*H16)</f>
        <v>2.468221646303838E-5</v>
      </c>
      <c r="M16" s="5">
        <f>IF(C16=3,IF(3&lt;=B16,Inputs!$B$4*COMBIN(B16,3)/COMBIN(D16,3),""),IF(I16="","",M15*I16))</f>
        <v>6.1705541157595955E-5</v>
      </c>
      <c r="N16" s="6">
        <f t="shared" si="2"/>
        <v>5.1822773165038205</v>
      </c>
      <c r="O16" s="6">
        <f t="shared" si="3"/>
        <v>5.7811138175925247</v>
      </c>
      <c r="P16" s="6">
        <f t="shared" si="4"/>
        <v>10.609427554894825</v>
      </c>
      <c r="Q16" s="6">
        <f t="shared" si="5"/>
        <v>9.6931368230206711</v>
      </c>
    </row>
    <row r="17" spans="1:17">
      <c r="A17">
        <v>2</v>
      </c>
      <c r="B17">
        <f>Inputs!$B$6</f>
        <v>5</v>
      </c>
      <c r="C17">
        <v>5</v>
      </c>
      <c r="D17">
        <f>B17*Inputs!$B$4</f>
        <v>75</v>
      </c>
      <c r="E17">
        <f t="shared" si="0"/>
        <v>4</v>
      </c>
      <c r="F17" s="5">
        <f>IF(C17=3,1,(Inputs!$B$4-(C17-1))/(D17-(C17-1)))</f>
        <v>0.15492957746478872</v>
      </c>
      <c r="G17" s="5">
        <f>IF(C17=3,1,((MAX(Inputs!$B$4-(C17-1)-1,0)*2*B17)+(2*B17))/((Inputs!$B$4-(C17-1)+1)*(D17-(C17-1))))</f>
        <v>0.12910798122065728</v>
      </c>
      <c r="H17" s="5">
        <f>IF(C17=3,1,((MAX(Inputs!$B$4-(C17-1)-1,0)*2)+(2))/((Inputs!$B$4-(C17-1)+1)*(D17-(C17-1))))</f>
        <v>2.5821596244131457E-2</v>
      </c>
      <c r="I17" s="5">
        <f t="shared" si="1"/>
        <v>1.4084507042253521E-2</v>
      </c>
      <c r="J17" s="5">
        <f>IF(C17=3,B17*COMBIN(Inputs!$B$4,3)/COMBIN(D17,3),J16*F17)</f>
        <v>8.6996122110920499E-4</v>
      </c>
      <c r="K17" s="5">
        <f>IF(C17=3,(Inputs!$B$4-3+1)*POWER(B17,3)/COMBIN(D17,3),K16*G17)</f>
        <v>3.9833389244926961E-4</v>
      </c>
      <c r="L17" s="5">
        <f>IF(C17=3,B17*(Inputs!$B$4-3+1)/COMBIN(D17,3),L16*H17)</f>
        <v>6.3733422791883147E-7</v>
      </c>
      <c r="M17" s="5">
        <f>IF(C17=3,IF(3&lt;=B17,Inputs!$B$4*COMBIN(B17,3)/COMBIN(D17,3),""),IF(I17="","",M16*I17))</f>
        <v>8.6909212898022475E-7</v>
      </c>
      <c r="N17" s="6">
        <f t="shared" si="2"/>
        <v>7.0470619207467653</v>
      </c>
      <c r="O17" s="6">
        <f t="shared" si="3"/>
        <v>7.8282199786294244</v>
      </c>
      <c r="P17" s="6">
        <f t="shared" si="4"/>
        <v>14.265971628365826</v>
      </c>
      <c r="Q17" s="6">
        <f t="shared" si="5"/>
        <v>13.955816700061986</v>
      </c>
    </row>
    <row r="18" spans="1:17">
      <c r="A18">
        <v>2</v>
      </c>
      <c r="B18">
        <f>Inputs!$B$6</f>
        <v>5</v>
      </c>
      <c r="C18">
        <v>6</v>
      </c>
      <c r="D18">
        <f>B18*Inputs!$B$4</f>
        <v>75</v>
      </c>
      <c r="E18">
        <f t="shared" si="0"/>
        <v>5</v>
      </c>
      <c r="F18" s="5">
        <f>IF(C18=3,1,(Inputs!$B$4-(C18-1))/(D18-(C18-1)))</f>
        <v>0.14285714285714285</v>
      </c>
      <c r="G18" s="5">
        <f>IF(C18=3,1,((MAX(Inputs!$B$4-(C18-1)-1,0)*2*B18)+(2*B18))/((Inputs!$B$4-(C18-1)+1)*(D18-(C18-1))))</f>
        <v>0.12987012987012986</v>
      </c>
      <c r="H18" s="5">
        <f>IF(C18=3,1,((MAX(Inputs!$B$4-(C18-1)-1,0)*2)+(2))/((Inputs!$B$4-(C18-1)+1)*(D18-(C18-1))))</f>
        <v>2.5974025974025976E-2</v>
      </c>
      <c r="I18" s="5" t="str">
        <f t="shared" si="1"/>
        <v/>
      </c>
      <c r="J18" s="5">
        <f>IF(C18=3,B18*COMBIN(Inputs!$B$4,3)/COMBIN(D18,3),J17*F18)</f>
        <v>1.2428017444417213E-4</v>
      </c>
      <c r="K18" s="5">
        <f>IF(C18=3,(Inputs!$B$4-3+1)*POWER(B18,3)/COMBIN(D18,3),K17*G18)</f>
        <v>5.1731674344060982E-5</v>
      </c>
      <c r="L18" s="5">
        <f>IF(C18=3,B18*(Inputs!$B$4-3+1)/COMBIN(D18,3),L17*H18)</f>
        <v>1.6554135790099519E-8</v>
      </c>
      <c r="M18" s="5" t="str">
        <f>IF(C18=3,IF(3&lt;=B18,Inputs!$B$4*COMBIN(B18,3)/COMBIN(D18,3),""),IF(I18="","",M17*I18))</f>
        <v/>
      </c>
      <c r="N18" s="6">
        <f t="shared" si="2"/>
        <v>8.9929720698020787</v>
      </c>
      <c r="O18" s="6">
        <f t="shared" si="3"/>
        <v>9.8694403074890626</v>
      </c>
      <c r="P18" s="6">
        <f t="shared" si="4"/>
        <v>17.916629869659563</v>
      </c>
      <c r="Q18" s="6" t="str">
        <f t="shared" si="5"/>
        <v/>
      </c>
    </row>
    <row r="19" spans="1:17">
      <c r="A19">
        <v>2</v>
      </c>
      <c r="B19">
        <f>Inputs!$B$6</f>
        <v>5</v>
      </c>
      <c r="C19">
        <v>7</v>
      </c>
      <c r="D19">
        <f>B19*Inputs!$B$4</f>
        <v>75</v>
      </c>
      <c r="E19">
        <f t="shared" si="0"/>
        <v>6</v>
      </c>
      <c r="F19" s="5">
        <f>IF(C19=3,1,(Inputs!$B$4-(C19-1))/(D19-(C19-1)))</f>
        <v>0.13043478260869565</v>
      </c>
      <c r="G19" s="5">
        <f>IF(C19=3,1,((MAX(Inputs!$B$4-(C19-1)-1,0)*2*B19)+(2*B19))/((Inputs!$B$4-(C19-1)+1)*(D19-(C19-1))))</f>
        <v>0.13043478260869565</v>
      </c>
      <c r="H19" s="5">
        <f>IF(C19=3,1,((MAX(Inputs!$B$4-(C19-1)-1,0)*2)+(2))/((Inputs!$B$4-(C19-1)+1)*(D19-(C19-1))))</f>
        <v>2.6086956521739129E-2</v>
      </c>
      <c r="I19" s="5" t="str">
        <f t="shared" si="1"/>
        <v/>
      </c>
      <c r="J19" s="5">
        <f>IF(C19=3,B19*COMBIN(Inputs!$B$4,3)/COMBIN(D19,3),J18*F19)</f>
        <v>1.6210457536196364E-5</v>
      </c>
      <c r="K19" s="5">
        <f>IF(C19=3,(Inputs!$B$4-3+1)*POWER(B19,3)/COMBIN(D19,3),K18*G19)</f>
        <v>6.7476096970514322E-6</v>
      </c>
      <c r="L19" s="5">
        <f>IF(C19=3,B19*(Inputs!$B$4-3+1)/COMBIN(D19,3),L18*H19)</f>
        <v>4.3184702061129177E-10</v>
      </c>
      <c r="M19" s="5" t="str">
        <f>IF(C19=3,IF(3&lt;=B19,Inputs!$B$4*COMBIN(B19,3)/COMBIN(D19,3),""),IF(I19="","",M18*I19))</f>
        <v/>
      </c>
      <c r="N19" s="6">
        <f t="shared" si="2"/>
        <v>11.029853997063119</v>
      </c>
      <c r="O19" s="6">
        <f t="shared" si="3"/>
        <v>11.906322234750103</v>
      </c>
      <c r="P19" s="6">
        <f t="shared" si="4"/>
        <v>21.562949709354704</v>
      </c>
      <c r="Q19" s="6" t="str">
        <f t="shared" si="5"/>
        <v/>
      </c>
    </row>
    <row r="20" spans="1:17">
      <c r="A20">
        <v>2</v>
      </c>
      <c r="B20">
        <f>Inputs!$B$6</f>
        <v>5</v>
      </c>
      <c r="C20">
        <v>8</v>
      </c>
      <c r="D20">
        <f>B20*Inputs!$B$4</f>
        <v>75</v>
      </c>
      <c r="E20">
        <f t="shared" si="0"/>
        <v>7</v>
      </c>
      <c r="F20" s="5">
        <f>IF(C20=3,1,(Inputs!$B$4-(C20-1))/(D20-(C20-1)))</f>
        <v>0.11764705882352941</v>
      </c>
      <c r="G20" s="5">
        <f>IF(C20=3,1,((MAX(Inputs!$B$4-(C20-1)-1,0)*2*B20)+(2*B20))/((Inputs!$B$4-(C20-1)+1)*(D20-(C20-1))))</f>
        <v>0.13071895424836602</v>
      </c>
      <c r="H20" s="5">
        <f>IF(C20=3,1,((MAX(Inputs!$B$4-(C20-1)-1,0)*2)+(2))/((Inputs!$B$4-(C20-1)+1)*(D20-(C20-1))))</f>
        <v>2.6143790849673203E-2</v>
      </c>
      <c r="I20" s="5" t="str">
        <f t="shared" si="1"/>
        <v/>
      </c>
      <c r="J20" s="5">
        <f>IF(C20=3,B20*COMBIN(Inputs!$B$4,3)/COMBIN(D20,3),J19*F20)</f>
        <v>1.9071126513172193E-6</v>
      </c>
      <c r="K20" s="5">
        <f>IF(C20=3,(Inputs!$B$4-3+1)*POWER(B20,3)/COMBIN(D20,3),K19*G20)</f>
        <v>8.8204048327469711E-7</v>
      </c>
      <c r="L20" s="5">
        <f>IF(C20=3,B20*(Inputs!$B$4-3+1)/COMBIN(D20,3),L19*H20)</f>
        <v>1.1290118185916125E-11</v>
      </c>
      <c r="M20" s="5" t="str">
        <f>IF(C20=3,IF(3&lt;=B20,Inputs!$B$4*COMBIN(B20,3)/COMBIN(D20,3),""),IF(I20="","",M19*I20))</f>
        <v/>
      </c>
      <c r="N20" s="6">
        <f t="shared" si="2"/>
        <v>13.169920160559389</v>
      </c>
      <c r="O20" s="6">
        <f t="shared" si="3"/>
        <v>13.941027882588546</v>
      </c>
      <c r="P20" s="6">
        <f t="shared" si="4"/>
        <v>25.207093269627251</v>
      </c>
      <c r="Q20" s="6" t="str">
        <f t="shared" si="5"/>
        <v/>
      </c>
    </row>
    <row r="21" spans="1:17">
      <c r="A21">
        <v>2</v>
      </c>
      <c r="B21">
        <f>Inputs!$B$6</f>
        <v>5</v>
      </c>
      <c r="C21">
        <v>9</v>
      </c>
      <c r="D21">
        <f>B21*Inputs!$B$4</f>
        <v>75</v>
      </c>
      <c r="E21">
        <f t="shared" si="0"/>
        <v>8</v>
      </c>
      <c r="F21" s="5">
        <f>IF(C21=3,1,(Inputs!$B$4-(C21-1))/(D21-(C21-1)))</f>
        <v>0.1044776119402985</v>
      </c>
      <c r="G21" s="5">
        <f>IF(C21=3,1,((MAX(Inputs!$B$4-(C21-1)-1,0)*2*B21)+(2*B21))/((Inputs!$B$4-(C21-1)+1)*(D21-(C21-1))))</f>
        <v>0.13059701492537312</v>
      </c>
      <c r="H21" s="5">
        <f>IF(C21=3,1,((MAX(Inputs!$B$4-(C21-1)-1,0)*2)+(2))/((Inputs!$B$4-(C21-1)+1)*(D21-(C21-1))))</f>
        <v>2.6119402985074626E-2</v>
      </c>
      <c r="I21" s="5" t="str">
        <f t="shared" si="1"/>
        <v/>
      </c>
      <c r="J21" s="5">
        <f>IF(C21=3,B21*COMBIN(Inputs!$B$4,3)/COMBIN(D21,3),J20*F21)</f>
        <v>1.9925057551075426E-7</v>
      </c>
      <c r="K21" s="5">
        <f>IF(C21=3,(Inputs!$B$4-3+1)*POWER(B21,3)/COMBIN(D21,3),K20*G21)</f>
        <v>1.1519185415900895E-7</v>
      </c>
      <c r="L21" s="5">
        <f>IF(C21=3,B21*(Inputs!$B$4-3+1)/COMBIN(D21,3),L20*H21)</f>
        <v>2.9489114664706294E-13</v>
      </c>
      <c r="M21" s="5" t="str">
        <f>IF(C21=3,IF(3&lt;=B21,Inputs!$B$4*COMBIN(B21,3)/COMBIN(D21,3),""),IF(I21="","",M20*I21))</f>
        <v/>
      </c>
      <c r="N21" s="6">
        <f t="shared" si="2"/>
        <v>15.428702630895042</v>
      </c>
      <c r="O21" s="6">
        <f t="shared" si="3"/>
        <v>15.976666801609991</v>
      </c>
      <c r="P21" s="6">
        <f t="shared" si="4"/>
        <v>28.852170101082791</v>
      </c>
      <c r="Q21" s="6" t="str">
        <f t="shared" si="5"/>
        <v/>
      </c>
    </row>
    <row r="22" spans="1:17">
      <c r="A22">
        <v>2</v>
      </c>
      <c r="B22">
        <f>Inputs!$B$6</f>
        <v>5</v>
      </c>
      <c r="C22">
        <v>10</v>
      </c>
      <c r="D22">
        <f>B22*Inputs!$B$4</f>
        <v>75</v>
      </c>
      <c r="E22">
        <f t="shared" si="0"/>
        <v>9</v>
      </c>
      <c r="F22" s="5">
        <f>IF(C22=3,1,(Inputs!$B$4-(C22-1))/(D22-(C22-1)))</f>
        <v>9.0909090909090912E-2</v>
      </c>
      <c r="G22" s="5">
        <f>IF(C22=3,1,((MAX(Inputs!$B$4-(C22-1)-1,0)*2*B22)+(2*B22))/((Inputs!$B$4-(C22-1)+1)*(D22-(C22-1))))</f>
        <v>0.12987012987012986</v>
      </c>
      <c r="H22" s="5">
        <f>IF(C22=3,1,((MAX(Inputs!$B$4-(C22-1)-1,0)*2)+(2))/((Inputs!$B$4-(C22-1)+1)*(D22-(C22-1))))</f>
        <v>2.5974025974025976E-2</v>
      </c>
      <c r="I22" s="5" t="str">
        <f t="shared" si="1"/>
        <v/>
      </c>
      <c r="J22" s="5">
        <f>IF(C22=3,B22*COMBIN(Inputs!$B$4,3)/COMBIN(D22,3),J21*F22)</f>
        <v>1.8113688682795842E-8</v>
      </c>
      <c r="K22" s="5">
        <f>IF(C22=3,(Inputs!$B$4-3+1)*POWER(B22,3)/COMBIN(D22,3),K21*G22)</f>
        <v>1.4959981059611549E-8</v>
      </c>
      <c r="L22" s="5">
        <f>IF(C22=3,B22*(Inputs!$B$4-3+1)/COMBIN(D22,3),L21*H22)</f>
        <v>7.6595103025211163E-15</v>
      </c>
      <c r="M22" s="5" t="str">
        <f>IF(C22=3,IF(3&lt;=B22,Inputs!$B$4*COMBIN(B22,3)/COMBIN(D22,3),""),IF(I22="","",M21*I22))</f>
        <v/>
      </c>
      <c r="N22" s="6">
        <f t="shared" si="2"/>
        <v>17.826597903693411</v>
      </c>
      <c r="O22" s="6">
        <f t="shared" si="3"/>
        <v>18.017887130469628</v>
      </c>
      <c r="P22" s="6">
        <f t="shared" si="4"/>
        <v>32.502828342376532</v>
      </c>
      <c r="Q22" s="6" t="str">
        <f t="shared" si="5"/>
        <v/>
      </c>
    </row>
    <row r="23" spans="1:17">
      <c r="A23">
        <v>2</v>
      </c>
      <c r="B23">
        <f>Inputs!$B$6</f>
        <v>5</v>
      </c>
      <c r="C23">
        <v>11</v>
      </c>
      <c r="D23">
        <f>B23*Inputs!$B$4</f>
        <v>75</v>
      </c>
      <c r="E23">
        <f t="shared" si="0"/>
        <v>10</v>
      </c>
      <c r="F23" s="5">
        <f>IF(C23=3,1,(Inputs!$B$4-(C23-1))/(D23-(C23-1)))</f>
        <v>7.6923076923076927E-2</v>
      </c>
      <c r="G23" s="5">
        <f>IF(C23=3,1,((MAX(Inputs!$B$4-(C23-1)-1,0)*2*B23)+(2*B23))/((Inputs!$B$4-(C23-1)+1)*(D23-(C23-1))))</f>
        <v>0.12820512820512819</v>
      </c>
      <c r="H23" s="5">
        <f>IF(C23=3,1,((MAX(Inputs!$B$4-(C23-1)-1,0)*2)+(2))/((Inputs!$B$4-(C23-1)+1)*(D23-(C23-1))))</f>
        <v>2.564102564102564E-2</v>
      </c>
      <c r="I23" s="5" t="str">
        <f t="shared" si="1"/>
        <v/>
      </c>
      <c r="J23" s="5">
        <f>IF(C23=3,B23*COMBIN(Inputs!$B$4,3)/COMBIN(D23,3),J22*F23)</f>
        <v>1.3933606679073726E-9</v>
      </c>
      <c r="K23" s="5">
        <f>IF(C23=3,(Inputs!$B$4-3+1)*POWER(B23,3)/COMBIN(D23,3),K22*G23)</f>
        <v>1.9179462896937883E-9</v>
      </c>
      <c r="L23" s="5">
        <f>IF(C23=3,B23*(Inputs!$B$4-3+1)/COMBIN(D23,3),L22*H23)</f>
        <v>1.9639770006464401E-16</v>
      </c>
      <c r="M23" s="5" t="str">
        <f>IF(C23=3,IF(3&lt;=B23,Inputs!$B$4*COMBIN(B23,3)/COMBIN(D23,3),""),IF(I23="","",M22*I23))</f>
        <v/>
      </c>
      <c r="N23" s="6">
        <f t="shared" si="2"/>
        <v>20.391547261154951</v>
      </c>
      <c r="O23" s="6">
        <f t="shared" si="3"/>
        <v>20.072010864165176</v>
      </c>
      <c r="P23" s="6">
        <f t="shared" si="4"/>
        <v>36.166389988506175</v>
      </c>
      <c r="Q23" s="6" t="str">
        <f t="shared" si="5"/>
        <v/>
      </c>
    </row>
    <row r="24" spans="1:17">
      <c r="A24">
        <v>2</v>
      </c>
      <c r="B24">
        <f>Inputs!$B$6</f>
        <v>5</v>
      </c>
      <c r="C24">
        <v>12</v>
      </c>
      <c r="D24">
        <f>B24*Inputs!$B$4</f>
        <v>75</v>
      </c>
      <c r="E24">
        <f t="shared" si="0"/>
        <v>11</v>
      </c>
      <c r="F24" s="5">
        <f>IF(C24=3,1,(Inputs!$B$4-(C24-1))/(D24-(C24-1)))</f>
        <v>6.25E-2</v>
      </c>
      <c r="G24" s="5">
        <f>IF(C24=3,1,((MAX(Inputs!$B$4-(C24-1)-1,0)*2*B24)+(2*B24))/((Inputs!$B$4-(C24-1)+1)*(D24-(C24-1))))</f>
        <v>0.125</v>
      </c>
      <c r="H24" s="5">
        <f>IF(C24=3,1,((MAX(Inputs!$B$4-(C24-1)-1,0)*2)+(2))/((Inputs!$B$4-(C24-1)+1)*(D24-(C24-1))))</f>
        <v>2.5000000000000001E-2</v>
      </c>
      <c r="I24" s="5" t="str">
        <f t="shared" si="1"/>
        <v/>
      </c>
      <c r="J24" s="5">
        <f>IF(C24=3,B24*COMBIN(Inputs!$B$4,3)/COMBIN(D24,3),J23*F24)</f>
        <v>8.7085041744210785E-11</v>
      </c>
      <c r="K24" s="5">
        <f>IF(C24=3,(Inputs!$B$4-3+1)*POWER(B24,3)/COMBIN(D24,3),K23*G24)</f>
        <v>2.3974328621172353E-10</v>
      </c>
      <c r="L24" s="5">
        <f>IF(C24=3,B24*(Inputs!$B$4-3+1)/COMBIN(D24,3),L23*H24)</f>
        <v>4.9099425016161006E-18</v>
      </c>
      <c r="M24" s="5" t="str">
        <f>IF(C24=3,IF(3&lt;=B24,Inputs!$B$4*COMBIN(B24,3)/COMBIN(D24,3),""),IF(I24="","",M23*I24))</f>
        <v/>
      </c>
      <c r="N24" s="6">
        <f t="shared" si="2"/>
        <v>23.164135983394729</v>
      </c>
      <c r="O24" s="6">
        <f t="shared" si="3"/>
        <v>22.15145240584501</v>
      </c>
      <c r="P24" s="6">
        <f t="shared" si="4"/>
        <v>39.855269442620113</v>
      </c>
      <c r="Q24" s="6" t="str">
        <f t="shared" si="5"/>
        <v/>
      </c>
    </row>
    <row r="25" spans="1:17">
      <c r="A25">
        <v>2</v>
      </c>
      <c r="B25">
        <f>Inputs!$B$6</f>
        <v>5</v>
      </c>
      <c r="C25">
        <v>13</v>
      </c>
      <c r="D25">
        <f>B25*Inputs!$B$4</f>
        <v>75</v>
      </c>
      <c r="E25">
        <f t="shared" si="0"/>
        <v>12</v>
      </c>
      <c r="F25" s="5">
        <f>IF(C25=3,1,(Inputs!$B$4-(C25-1))/(D25-(C25-1)))</f>
        <v>4.7619047619047616E-2</v>
      </c>
      <c r="G25" s="5">
        <f>IF(C25=3,1,((MAX(Inputs!$B$4-(C25-1)-1,0)*2*B25)+(2*B25))/((Inputs!$B$4-(C25-1)+1)*(D25-(C25-1))))</f>
        <v>0.11904761904761904</v>
      </c>
      <c r="H25" s="5">
        <f>IF(C25=3,1,((MAX(Inputs!$B$4-(C25-1)-1,0)*2)+(2))/((Inputs!$B$4-(C25-1)+1)*(D25-(C25-1))))</f>
        <v>2.3809523809523808E-2</v>
      </c>
      <c r="I25" s="5" t="str">
        <f t="shared" si="1"/>
        <v/>
      </c>
      <c r="J25" s="5">
        <f>IF(C25=3,B25*COMBIN(Inputs!$B$4,3)/COMBIN(D25,3),J24*F25)</f>
        <v>4.146906749724323E-12</v>
      </c>
      <c r="K25" s="5">
        <f>IF(C25=3,(Inputs!$B$4-3+1)*POWER(B25,3)/COMBIN(D25,3),K24*G25)</f>
        <v>2.8540867406157561E-11</v>
      </c>
      <c r="L25" s="5">
        <f>IF(C25=3,B25*(Inputs!$B$4-3+1)/COMBIN(D25,3),L24*H25)</f>
        <v>1.1690339289562144E-19</v>
      </c>
      <c r="M25" s="5" t="str">
        <f>IF(C25=3,IF(3&lt;=B25,Inputs!$B$4*COMBIN(B25,3)/COMBIN(D25,3),""),IF(I25="","",M24*I25))</f>
        <v/>
      </c>
      <c r="N25" s="6">
        <f t="shared" si="2"/>
        <v>26.208658421118155</v>
      </c>
      <c r="O25" s="6">
        <f t="shared" si="3"/>
        <v>24.279684111694277</v>
      </c>
      <c r="P25" s="6">
        <f t="shared" si="4"/>
        <v>43.592939060903483</v>
      </c>
      <c r="Q25" s="6" t="str">
        <f t="shared" si="5"/>
        <v/>
      </c>
    </row>
    <row r="26" spans="1:17">
      <c r="A26">
        <v>2</v>
      </c>
      <c r="B26">
        <f>Inputs!$B$6</f>
        <v>5</v>
      </c>
      <c r="C26">
        <v>14</v>
      </c>
      <c r="D26">
        <f>B26*Inputs!$B$4</f>
        <v>75</v>
      </c>
      <c r="E26">
        <f t="shared" si="0"/>
        <v>13</v>
      </c>
      <c r="F26" s="5">
        <f>IF(C26=3,1,(Inputs!$B$4-(C26-1))/(D26-(C26-1)))</f>
        <v>3.2258064516129031E-2</v>
      </c>
      <c r="G26" s="5">
        <f>IF(C26=3,1,((MAX(Inputs!$B$4-(C26-1)-1,0)*2*B26)+(2*B26))/((Inputs!$B$4-(C26-1)+1)*(D26-(C26-1))))</f>
        <v>0.10752688172043011</v>
      </c>
      <c r="H26" s="5">
        <f>IF(C26=3,1,((MAX(Inputs!$B$4-(C26-1)-1,0)*2)+(2))/((Inputs!$B$4-(C26-1)+1)*(D26-(C26-1))))</f>
        <v>2.1505376344086023E-2</v>
      </c>
      <c r="I26" s="5" t="str">
        <f t="shared" si="1"/>
        <v/>
      </c>
      <c r="J26" s="5">
        <f>IF(C26=3,B26*COMBIN(Inputs!$B$4,3)/COMBIN(D26,3),J25*F26)</f>
        <v>1.3377118547497815E-13</v>
      </c>
      <c r="K26" s="5">
        <f>IF(C26=3,(Inputs!$B$4-3+1)*POWER(B26,3)/COMBIN(D26,3),K25*G26)</f>
        <v>3.0689104737803827E-12</v>
      </c>
      <c r="L26" s="5">
        <f>IF(C26=3,B26*(Inputs!$B$4-3+1)/COMBIN(D26,3),L25*H26)</f>
        <v>2.5140514601208912E-21</v>
      </c>
      <c r="M26" s="5" t="str">
        <f>IF(C26=3,IF(3&lt;=B26,Inputs!$B$4*COMBIN(B26,3)/COMBIN(D26,3),""),IF(I26="","",M25*I26))</f>
        <v/>
      </c>
      <c r="N26" s="6">
        <f t="shared" si="2"/>
        <v>29.642645625603301</v>
      </c>
      <c r="O26" s="6">
        <f t="shared" si="3"/>
        <v>26.50969851185349</v>
      </c>
      <c r="P26" s="6">
        <f t="shared" si="4"/>
        <v>47.432391373496792</v>
      </c>
      <c r="Q26" s="6" t="str">
        <f t="shared" si="5"/>
        <v/>
      </c>
    </row>
    <row r="27" spans="1:17">
      <c r="A27">
        <v>2</v>
      </c>
      <c r="B27">
        <f>Inputs!$B$6</f>
        <v>5</v>
      </c>
      <c r="C27">
        <v>15</v>
      </c>
      <c r="D27">
        <f>B27*Inputs!$B$4</f>
        <v>75</v>
      </c>
      <c r="E27">
        <f t="shared" si="0"/>
        <v>14</v>
      </c>
      <c r="F27" s="5">
        <f>IF(C27=3,1,(Inputs!$B$4-(C27-1))/(D27-(C27-1)))</f>
        <v>1.6393442622950821E-2</v>
      </c>
      <c r="G27" s="5">
        <f>IF(C27=3,1,((MAX(Inputs!$B$4-(C27-1)-1,0)*2*B27)+(2*B27))/((Inputs!$B$4-(C27-1)+1)*(D27-(C27-1))))</f>
        <v>8.1967213114754092E-2</v>
      </c>
      <c r="H27" s="5">
        <f>IF(C27=3,1,((MAX(Inputs!$B$4-(C27-1)-1,0)*2)+(2))/((Inputs!$B$4-(C27-1)+1)*(D27-(C27-1))))</f>
        <v>1.6393442622950821E-2</v>
      </c>
      <c r="I27" s="5" t="str">
        <f t="shared" si="1"/>
        <v/>
      </c>
      <c r="J27" s="5">
        <f>IF(C27=3,B27*COMBIN(Inputs!$B$4,3)/COMBIN(D27,3),J26*F27)</f>
        <v>2.1929702536881667E-15</v>
      </c>
      <c r="K27" s="5">
        <f>IF(C27=3,(Inputs!$B$4-3+1)*POWER(B27,3)/COMBIN(D27,3),K26*G27)</f>
        <v>2.515500388344576E-13</v>
      </c>
      <c r="L27" s="5">
        <f>IF(C27=3,B27*(Inputs!$B$4-3+1)/COMBIN(D27,3),L26*H27)</f>
        <v>4.1213958362637565E-23</v>
      </c>
      <c r="M27" s="5" t="str">
        <f>IF(C27=3,IF(3&lt;=B27,Inputs!$B$4*COMBIN(B27,3)/COMBIN(D27,3),""),IF(I27="","",M26*I27))</f>
        <v/>
      </c>
      <c r="N27" s="6">
        <f t="shared" si="2"/>
        <v>33.753519489776615</v>
      </c>
      <c r="O27" s="6">
        <f t="shared" si="3"/>
        <v>29.0111344635927</v>
      </c>
      <c r="P27" s="6">
        <f t="shared" si="4"/>
        <v>51.543265237670106</v>
      </c>
      <c r="Q27" s="6" t="str">
        <f t="shared" si="5"/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workbookViewId="0"/>
  </sheetViews>
  <sheetFormatPr defaultRowHeight="14.15"/>
  <cols>
    <col min="1" max="19" width="14" customWidth="1"/>
  </cols>
  <sheetData>
    <row r="1" spans="1:19" ht="16" customHeight="1">
      <c r="A1" s="1" t="s">
        <v>28</v>
      </c>
      <c r="B1" s="1" t="s">
        <v>29</v>
      </c>
      <c r="C1" s="1" t="s">
        <v>30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</row>
    <row r="2" spans="1:19">
      <c r="A2">
        <v>1</v>
      </c>
      <c r="B2">
        <f>Inputs!$B$5</f>
        <v>4</v>
      </c>
      <c r="C2">
        <v>3</v>
      </c>
      <c r="D2" s="5">
        <f>Raw_Model!G2</f>
        <v>5.3185271770894223E-2</v>
      </c>
      <c r="E2" s="5">
        <f>Marginal_Model!J2</f>
        <v>5.3185271770894223E-2</v>
      </c>
      <c r="F2" s="5">
        <f>EXP(-(Inputs!$B$7*Raw_Model!N2+(1-Inputs!$B$7)*Marginal_Model!N2))</f>
        <v>5.3185271770894223E-2</v>
      </c>
      <c r="G2" s="6">
        <f t="shared" ref="G2:G27" si="0">-LN(F2)</f>
        <v>2.9339737673753432</v>
      </c>
      <c r="H2" s="5">
        <f>Raw_Model!I2</f>
        <v>2.4313267095265927E-2</v>
      </c>
      <c r="I2" s="5">
        <f>Marginal_Model!K2</f>
        <v>2.4313267095265927E-2</v>
      </c>
      <c r="J2" s="5">
        <f>EXP(-(Inputs!$B$7*Raw_Model!O2+(1-Inputs!$B$7)*Marginal_Model!O2))</f>
        <v>2.4313267095265923E-2</v>
      </c>
      <c r="K2" s="6">
        <f t="shared" ref="K2:K27" si="1">-LN(J2)</f>
        <v>3.716733106624976</v>
      </c>
      <c r="L2" s="5">
        <f>Raw_Model!K2</f>
        <v>1.5195791934541204E-3</v>
      </c>
      <c r="M2" s="5">
        <f>Marginal_Model!L2</f>
        <v>1.5195791934541204E-3</v>
      </c>
      <c r="N2" s="5">
        <f>EXP(-(Inputs!$B$7*Raw_Model!P2+(1-Inputs!$B$7)*Marginal_Model!P2))</f>
        <v>1.5195791934541211E-3</v>
      </c>
      <c r="O2" s="6">
        <f t="shared" ref="O2:O27" si="2">-LN(N2)</f>
        <v>6.4893218288647567</v>
      </c>
      <c r="P2" s="5">
        <f>Raw_Model!M2</f>
        <v>1.7533606078316774E-3</v>
      </c>
      <c r="Q2" s="5">
        <f>Marginal_Model!M2</f>
        <v>1.7533606078316774E-3</v>
      </c>
      <c r="R2" s="5">
        <f>IF(P2="","",EXP(-(Inputs!$B$7*Raw_Model!Q2+(1-Inputs!$B$7)*Marginal_Model!Q2)))</f>
        <v>1.753360607831678E-3</v>
      </c>
      <c r="S2" s="6">
        <f t="shared" ref="S2:S27" si="3">IF(R2="","",-LN(R2))</f>
        <v>6.3462209852240834</v>
      </c>
    </row>
    <row r="3" spans="1:19">
      <c r="A3">
        <v>1</v>
      </c>
      <c r="B3">
        <f>Inputs!$B$5</f>
        <v>4</v>
      </c>
      <c r="C3">
        <v>4</v>
      </c>
      <c r="D3" s="5">
        <f>Raw_Model!G3</f>
        <v>1.1196899320188256E-2</v>
      </c>
      <c r="E3" s="5">
        <f>Marginal_Model!J3</f>
        <v>1.1196899320188258E-2</v>
      </c>
      <c r="F3" s="5">
        <f>EXP(-(Inputs!$B$7*Raw_Model!N3+(1-Inputs!$B$7)*Marginal_Model!N3))</f>
        <v>1.1196899320188258E-2</v>
      </c>
      <c r="G3" s="6">
        <f t="shared" si="0"/>
        <v>4.4921183854218931</v>
      </c>
      <c r="H3" s="5">
        <f>Raw_Model!I3</f>
        <v>6.2997939032267986E-3</v>
      </c>
      <c r="I3" s="5">
        <f>Marginal_Model!K3</f>
        <v>3.1498969516133993E-3</v>
      </c>
      <c r="J3" s="5">
        <f>EXP(-(Inputs!$B$7*Raw_Model!O3+(1-Inputs!$B$7)*Marginal_Model!O3))</f>
        <v>5.4842891311035792E-3</v>
      </c>
      <c r="K3" s="6">
        <f t="shared" si="1"/>
        <v>5.2058677960052702</v>
      </c>
      <c r="L3" s="5">
        <f>Raw_Model!K3</f>
        <v>9.8434279737918728E-5</v>
      </c>
      <c r="M3" s="5">
        <f>Marginal_Model!L3</f>
        <v>4.9217139868959364E-5</v>
      </c>
      <c r="N3" s="5">
        <f>EXP(-(Inputs!$B$7*Raw_Model!P3+(1-Inputs!$B$7)*Marginal_Model!P3))</f>
        <v>8.5692017673493371E-5</v>
      </c>
      <c r="O3" s="6">
        <f t="shared" si="2"/>
        <v>9.3647508793649425</v>
      </c>
      <c r="P3" s="5">
        <f>Raw_Model!M3</f>
        <v>3.0760712418099601E-5</v>
      </c>
      <c r="Q3" s="5">
        <f>Marginal_Model!M3</f>
        <v>3.0760712418099601E-5</v>
      </c>
      <c r="R3" s="5">
        <f>IF(P3="","",EXP(-(Inputs!$B$7*Raw_Model!Q3+(1-Inputs!$B$7)*Marginal_Model!Q3)))</f>
        <v>3.0760712418099615E-5</v>
      </c>
      <c r="S3" s="6">
        <f t="shared" si="3"/>
        <v>10.389272253058634</v>
      </c>
    </row>
    <row r="4" spans="1:19">
      <c r="A4">
        <v>1</v>
      </c>
      <c r="B4">
        <f>Inputs!$B$5</f>
        <v>4</v>
      </c>
      <c r="C4">
        <v>5</v>
      </c>
      <c r="D4" s="5">
        <f>Raw_Model!G4</f>
        <v>2.1993909378941212E-3</v>
      </c>
      <c r="E4" s="5">
        <f>Marginal_Model!J4</f>
        <v>2.199390937894122E-3</v>
      </c>
      <c r="F4" s="5">
        <f>EXP(-(Inputs!$B$7*Raw_Model!N4+(1-Inputs!$B$7)*Marginal_Model!N4))</f>
        <v>2.1993909378941212E-3</v>
      </c>
      <c r="G4" s="6">
        <f t="shared" si="0"/>
        <v>6.1195748033586721</v>
      </c>
      <c r="H4" s="5">
        <f>Raw_Model!I4</f>
        <v>2.0624325278421063E-3</v>
      </c>
      <c r="I4" s="5">
        <f>Marginal_Model!K4</f>
        <v>4.1248650556842138E-4</v>
      </c>
      <c r="J4" s="5">
        <f>EXP(-(Inputs!$B$7*Raw_Model!O4+(1-Inputs!$B$7)*Marginal_Model!O4))</f>
        <v>1.4948091538873412E-3</v>
      </c>
      <c r="K4" s="6">
        <f t="shared" si="1"/>
        <v>6.5057567365508895</v>
      </c>
      <c r="L4" s="5">
        <f>Raw_Model!K4</f>
        <v>8.0563770618832277E-6</v>
      </c>
      <c r="M4" s="5">
        <f>Marginal_Model!L4</f>
        <v>1.611275412376646E-6</v>
      </c>
      <c r="N4" s="5">
        <f>EXP(-(Inputs!$B$7*Raw_Model!P4+(1-Inputs!$B$7)*Marginal_Model!P4))</f>
        <v>5.8390982573724231E-6</v>
      </c>
      <c r="O4" s="6">
        <f t="shared" si="2"/>
        <v>12.050934181030453</v>
      </c>
      <c r="P4" s="5" t="str">
        <f>Raw_Model!M4</f>
        <v/>
      </c>
      <c r="Q4" s="5" t="str">
        <f>Marginal_Model!M4</f>
        <v/>
      </c>
      <c r="R4" s="5" t="str">
        <f>IF(P4="","",EXP(-(Inputs!$B$7*Raw_Model!Q4+(1-Inputs!$B$7)*Marginal_Model!Q4)))</f>
        <v/>
      </c>
      <c r="S4" s="6" t="str">
        <f t="shared" si="3"/>
        <v/>
      </c>
    </row>
    <row r="5" spans="1:19">
      <c r="A5">
        <v>1</v>
      </c>
      <c r="B5">
        <f>Inputs!$B$5</f>
        <v>4</v>
      </c>
      <c r="C5">
        <v>6</v>
      </c>
      <c r="D5" s="5">
        <f>Raw_Model!G5</f>
        <v>3.998892614352947E-4</v>
      </c>
      <c r="E5" s="5">
        <f>Marginal_Model!J5</f>
        <v>3.9988926143529491E-4</v>
      </c>
      <c r="F5" s="5">
        <f>EXP(-(Inputs!$B$7*Raw_Model!N5+(1-Inputs!$B$7)*Marginal_Model!N5))</f>
        <v>3.9988926143529475E-4</v>
      </c>
      <c r="G5" s="6">
        <f t="shared" si="0"/>
        <v>7.8243228955970974</v>
      </c>
      <c r="H5" s="5">
        <f>Raw_Model!I5</f>
        <v>8.1815505236711649E-4</v>
      </c>
      <c r="I5" s="5">
        <f>Marginal_Model!K5</f>
        <v>5.454367015780779E-5</v>
      </c>
      <c r="J5" s="5">
        <f>EXP(-(Inputs!$B$7*Raw_Model!O5+(1-Inputs!$B$7)*Marginal_Model!O5))</f>
        <v>4.7601141212231965E-4</v>
      </c>
      <c r="K5" s="6">
        <f t="shared" si="1"/>
        <v>7.6500687289733609</v>
      </c>
      <c r="L5" s="5">
        <f>Raw_Model!K5</f>
        <v>7.989795433272622E-7</v>
      </c>
      <c r="M5" s="5">
        <f>Marginal_Model!L5</f>
        <v>5.326530288848417E-8</v>
      </c>
      <c r="N5" s="5">
        <f>EXP(-(Inputs!$B$7*Raw_Model!P5+(1-Inputs!$B$7)*Marginal_Model!P5))</f>
        <v>4.6485489465070321E-7</v>
      </c>
      <c r="O5" s="6">
        <f t="shared" si="2"/>
        <v>14.581540534572813</v>
      </c>
      <c r="P5" s="5" t="str">
        <f>Raw_Model!M5</f>
        <v/>
      </c>
      <c r="Q5" s="5" t="str">
        <f>Marginal_Model!M5</f>
        <v/>
      </c>
      <c r="R5" s="5" t="str">
        <f>IF(P5="","",EXP(-(Inputs!$B$7*Raw_Model!Q5+(1-Inputs!$B$7)*Marginal_Model!Q5)))</f>
        <v/>
      </c>
      <c r="S5" s="6" t="str">
        <f t="shared" si="3"/>
        <v/>
      </c>
    </row>
    <row r="6" spans="1:19">
      <c r="A6">
        <v>1</v>
      </c>
      <c r="B6">
        <f>Inputs!$B$5</f>
        <v>4</v>
      </c>
      <c r="C6">
        <v>7</v>
      </c>
      <c r="D6" s="5">
        <f>Raw_Model!G6</f>
        <v>6.6648210239215824E-5</v>
      </c>
      <c r="E6" s="5">
        <f>Marginal_Model!J6</f>
        <v>6.664821023921581E-5</v>
      </c>
      <c r="F6" s="5">
        <f>EXP(-(Inputs!$B$7*Raw_Model!N6+(1-Inputs!$B$7)*Marginal_Model!N6))</f>
        <v>6.6648210239215824E-5</v>
      </c>
      <c r="G6" s="6">
        <f t="shared" si="0"/>
        <v>9.6160823648251519</v>
      </c>
      <c r="H6" s="5">
        <f>Raw_Model!I6</f>
        <v>3.818056911046546E-4</v>
      </c>
      <c r="I6" s="5">
        <f>Marginal_Model!K6</f>
        <v>7.272489354374372E-6</v>
      </c>
      <c r="J6" s="5">
        <f>EXP(-(Inputs!$B$7*Raw_Model!O6+(1-Inputs!$B$7)*Marginal_Model!O6))</f>
        <v>1.729061882978209E-4</v>
      </c>
      <c r="K6" s="6">
        <f t="shared" si="1"/>
        <v>8.6627613747193308</v>
      </c>
      <c r="L6" s="5">
        <f>Raw_Model!K6</f>
        <v>9.3214280054847316E-8</v>
      </c>
      <c r="M6" s="5">
        <f>Marginal_Model!L6</f>
        <v>1.7755100962828057E-9</v>
      </c>
      <c r="N6" s="5">
        <f>EXP(-(Inputs!$B$7*Raw_Model!P6+(1-Inputs!$B$7)*Marginal_Model!P6))</f>
        <v>4.2213424877397641E-8</v>
      </c>
      <c r="O6" s="6">
        <f t="shared" si="2"/>
        <v>16.980527541438676</v>
      </c>
      <c r="P6" s="5" t="str">
        <f>Raw_Model!M6</f>
        <v/>
      </c>
      <c r="Q6" s="5" t="str">
        <f>Marginal_Model!M6</f>
        <v/>
      </c>
      <c r="R6" s="5" t="str">
        <f>IF(P6="","",EXP(-(Inputs!$B$7*Raw_Model!Q6+(1-Inputs!$B$7)*Marginal_Model!Q6)))</f>
        <v/>
      </c>
      <c r="S6" s="6" t="str">
        <f t="shared" si="3"/>
        <v/>
      </c>
    </row>
    <row r="7" spans="1:19">
      <c r="A7">
        <v>1</v>
      </c>
      <c r="B7">
        <f>Inputs!$B$5</f>
        <v>4</v>
      </c>
      <c r="C7">
        <v>8</v>
      </c>
      <c r="D7" s="5">
        <f>Raw_Model!G7</f>
        <v>1.0060107205919364E-5</v>
      </c>
      <c r="E7" s="5">
        <f>Marginal_Model!J7</f>
        <v>1.0060107205919367E-5</v>
      </c>
      <c r="F7" s="5">
        <f>EXP(-(Inputs!$B$7*Raw_Model!N7+(1-Inputs!$B$7)*Marginal_Model!N7))</f>
        <v>1.0060107205919367E-5</v>
      </c>
      <c r="G7" s="6">
        <f t="shared" si="0"/>
        <v>11.506932736697438</v>
      </c>
      <c r="H7" s="5">
        <f>Raw_Model!I7</f>
        <v>2.0491039187168036E-4</v>
      </c>
      <c r="I7" s="5">
        <f>Marginal_Model!K7</f>
        <v>9.7576377081752583E-7</v>
      </c>
      <c r="J7" s="5">
        <f>EXP(-(Inputs!$B$7*Raw_Model!O7+(1-Inputs!$B$7)*Marginal_Model!O7))</f>
        <v>7.0326681507467895E-5</v>
      </c>
      <c r="K7" s="6">
        <f t="shared" si="1"/>
        <v>9.5623592933520882</v>
      </c>
      <c r="L7" s="5">
        <f>Raw_Model!K7</f>
        <v>1.2506737785136741E-8</v>
      </c>
      <c r="M7" s="5">
        <f>Marginal_Model!L7</f>
        <v>5.9555894214936879E-11</v>
      </c>
      <c r="N7" s="5">
        <f>EXP(-(Inputs!$B$7*Raw_Model!P7+(1-Inputs!$B$7)*Marginal_Model!P7))</f>
        <v>4.2923999943522984E-9</v>
      </c>
      <c r="O7" s="6">
        <f t="shared" si="2"/>
        <v>19.26641982119132</v>
      </c>
      <c r="P7" s="5" t="str">
        <f>Raw_Model!M7</f>
        <v/>
      </c>
      <c r="Q7" s="5" t="str">
        <f>Marginal_Model!M7</f>
        <v/>
      </c>
      <c r="R7" s="5" t="str">
        <f>IF(P7="","",EXP(-(Inputs!$B$7*Raw_Model!Q7+(1-Inputs!$B$7)*Marginal_Model!Q7)))</f>
        <v/>
      </c>
      <c r="S7" s="6" t="str">
        <f t="shared" si="3"/>
        <v/>
      </c>
    </row>
    <row r="8" spans="1:19">
      <c r="A8">
        <v>1</v>
      </c>
      <c r="B8">
        <f>Inputs!$B$5</f>
        <v>4</v>
      </c>
      <c r="C8">
        <v>9</v>
      </c>
      <c r="D8" s="5">
        <f>Raw_Model!G8</f>
        <v>1.3542452007968373E-6</v>
      </c>
      <c r="E8" s="5">
        <f>Marginal_Model!J8</f>
        <v>1.3542452007968379E-6</v>
      </c>
      <c r="F8" s="5">
        <f>EXP(-(Inputs!$B$7*Raw_Model!N8+(1-Inputs!$B$7)*Marginal_Model!N8))</f>
        <v>1.3542452007968384E-6</v>
      </c>
      <c r="G8" s="6">
        <f t="shared" si="0"/>
        <v>13.512266306223552</v>
      </c>
      <c r="H8" s="5">
        <f>Raw_Model!I8</f>
        <v>1.2412841046072941E-4</v>
      </c>
      <c r="I8" s="5">
        <f>Marginal_Model!K8</f>
        <v>1.3135281530235925E-7</v>
      </c>
      <c r="J8" s="5">
        <f>EXP(-(Inputs!$B$7*Raw_Model!O8+(1-Inputs!$B$7)*Marginal_Model!O8))</f>
        <v>3.1534418890719447E-5</v>
      </c>
      <c r="K8" s="6">
        <f t="shared" si="1"/>
        <v>10.364430945457183</v>
      </c>
      <c r="L8" s="5">
        <f>Raw_Model!K8</f>
        <v>1.8940492318836885E-9</v>
      </c>
      <c r="M8" s="5">
        <f>Marginal_Model!L8</f>
        <v>2.004284901464222E-12</v>
      </c>
      <c r="N8" s="5">
        <f>EXP(-(Inputs!$B$7*Raw_Model!P8+(1-Inputs!$B$7)*Marginal_Model!P8))</f>
        <v>4.8117704606200267E-10</v>
      </c>
      <c r="O8" s="6">
        <f t="shared" si="2"/>
        <v>21.45478583441631</v>
      </c>
      <c r="P8" s="5" t="str">
        <f>Raw_Model!M8</f>
        <v/>
      </c>
      <c r="Q8" s="5" t="str">
        <f>Marginal_Model!M8</f>
        <v/>
      </c>
      <c r="R8" s="5" t="str">
        <f>IF(P8="","",EXP(-(Inputs!$B$7*Raw_Model!Q8+(1-Inputs!$B$7)*Marginal_Model!Q8)))</f>
        <v/>
      </c>
      <c r="S8" s="6" t="str">
        <f t="shared" si="3"/>
        <v/>
      </c>
    </row>
    <row r="9" spans="1:19">
      <c r="A9">
        <v>1</v>
      </c>
      <c r="B9">
        <f>Inputs!$B$5</f>
        <v>4</v>
      </c>
      <c r="C9">
        <v>10</v>
      </c>
      <c r="D9" s="5">
        <f>Raw_Model!G9</f>
        <v>1.5932296479962799E-7</v>
      </c>
      <c r="E9" s="5">
        <f>Marginal_Model!J9</f>
        <v>1.5932296479962799E-7</v>
      </c>
      <c r="F9" s="5">
        <f>EXP(-(Inputs!$B$7*Raw_Model!N9+(1-Inputs!$B$7)*Marginal_Model!N9))</f>
        <v>1.5932296479962791E-7</v>
      </c>
      <c r="G9" s="6">
        <f t="shared" si="0"/>
        <v>15.652332469719823</v>
      </c>
      <c r="H9" s="5">
        <f>Raw_Model!I9</f>
        <v>8.3447670897969384E-5</v>
      </c>
      <c r="I9" s="5">
        <f>Marginal_Model!K9</f>
        <v>1.7660882729728973E-8</v>
      </c>
      <c r="J9" s="5">
        <f>EXP(-(Inputs!$B$7*Raw_Model!O9+(1-Inputs!$B$7)*Marginal_Model!O9))</f>
        <v>1.5365045726310738E-5</v>
      </c>
      <c r="K9" s="6">
        <f t="shared" si="1"/>
        <v>11.083415386381651</v>
      </c>
      <c r="L9" s="5">
        <f>Raw_Model!K9</f>
        <v>3.183276019972587E-10</v>
      </c>
      <c r="M9" s="5">
        <f>Marginal_Model!L9</f>
        <v>6.7370921057620899E-14</v>
      </c>
      <c r="N9" s="5">
        <f>EXP(-(Inputs!$B$7*Raw_Model!P9+(1-Inputs!$B$7)*Marginal_Model!P9))</f>
        <v>5.8612997918360883E-11</v>
      </c>
      <c r="O9" s="6">
        <f t="shared" si="2"/>
        <v>23.560064636460663</v>
      </c>
      <c r="P9" s="5" t="str">
        <f>Raw_Model!M9</f>
        <v/>
      </c>
      <c r="Q9" s="5" t="str">
        <f>Marginal_Model!M9</f>
        <v/>
      </c>
      <c r="R9" s="5" t="str">
        <f>IF(P9="","",EXP(-(Inputs!$B$7*Raw_Model!Q9+(1-Inputs!$B$7)*Marginal_Model!Q9)))</f>
        <v/>
      </c>
      <c r="S9" s="6" t="str">
        <f t="shared" si="3"/>
        <v/>
      </c>
    </row>
    <row r="10" spans="1:19">
      <c r="A10">
        <v>1</v>
      </c>
      <c r="B10">
        <f>Inputs!$B$5</f>
        <v>4</v>
      </c>
      <c r="C10">
        <v>11</v>
      </c>
      <c r="D10" s="5">
        <f>Raw_Model!G10</f>
        <v>1.5932296479962797E-8</v>
      </c>
      <c r="E10" s="5">
        <f>Marginal_Model!J10</f>
        <v>1.5932296479962801E-8</v>
      </c>
      <c r="F10" s="5">
        <f>EXP(-(Inputs!$B$7*Raw_Model!N10+(1-Inputs!$B$7)*Marginal_Model!N10))</f>
        <v>1.5932296479962774E-8</v>
      </c>
      <c r="G10" s="6">
        <f t="shared" si="0"/>
        <v>17.95491756271387</v>
      </c>
      <c r="H10" s="5">
        <f>Raw_Model!I10</f>
        <v>6.1194958658510889E-5</v>
      </c>
      <c r="I10" s="5">
        <f>Marginal_Model!K10</f>
        <v>2.3547843639638631E-9</v>
      </c>
      <c r="J10" s="5">
        <f>EXP(-(Inputs!$B$7*Raw_Model!O10+(1-Inputs!$B$7)*Marginal_Model!O10))</f>
        <v>8.012402268802811E-6</v>
      </c>
      <c r="K10" s="6">
        <f t="shared" si="1"/>
        <v>11.734519933133177</v>
      </c>
      <c r="L10" s="5">
        <f>Raw_Model!K10</f>
        <v>5.8360060366164101E-11</v>
      </c>
      <c r="M10" s="5">
        <f>Marginal_Model!L10</f>
        <v>2.2456973685873634E-15</v>
      </c>
      <c r="N10" s="5">
        <f>EXP(-(Inputs!$B$7*Raw_Model!P10+(1-Inputs!$B$7)*Marginal_Model!P10))</f>
        <v>7.6412222564724073E-12</v>
      </c>
      <c r="O10" s="6">
        <f t="shared" si="2"/>
        <v>25.597463544332083</v>
      </c>
      <c r="P10" s="5" t="str">
        <f>Raw_Model!M10</f>
        <v/>
      </c>
      <c r="Q10" s="5" t="str">
        <f>Marginal_Model!M10</f>
        <v/>
      </c>
      <c r="R10" s="5" t="str">
        <f>IF(P10="","",EXP(-(Inputs!$B$7*Raw_Model!Q10+(1-Inputs!$B$7)*Marginal_Model!Q10)))</f>
        <v/>
      </c>
      <c r="S10" s="6" t="str">
        <f t="shared" si="3"/>
        <v/>
      </c>
    </row>
    <row r="11" spans="1:19">
      <c r="A11">
        <v>1</v>
      </c>
      <c r="B11">
        <f>Inputs!$B$5</f>
        <v>4</v>
      </c>
      <c r="C11">
        <v>12</v>
      </c>
      <c r="D11" s="5">
        <f>Raw_Model!G11</f>
        <v>1.3005956310173707E-9</v>
      </c>
      <c r="E11" s="5">
        <f>Marginal_Model!J11</f>
        <v>1.3005956310173714E-9</v>
      </c>
      <c r="F11" s="5">
        <f>EXP(-(Inputs!$B$7*Raw_Model!N11+(1-Inputs!$B$7)*Marginal_Model!N11))</f>
        <v>1.3005956310173691E-9</v>
      </c>
      <c r="G11" s="6">
        <f t="shared" si="0"/>
        <v>20.460443499704606</v>
      </c>
      <c r="H11" s="5">
        <f>Raw_Model!I11</f>
        <v>4.7956865560955442E-5</v>
      </c>
      <c r="I11" s="5">
        <f>Marginal_Model!K11</f>
        <v>3.0756367202793319E-10</v>
      </c>
      <c r="J11" s="5">
        <f>EXP(-(Inputs!$B$7*Raw_Model!O11+(1-Inputs!$B$7)*Marginal_Model!O11))</f>
        <v>4.3880103120559087E-6</v>
      </c>
      <c r="K11" s="6">
        <f t="shared" si="1"/>
        <v>12.336634665495732</v>
      </c>
      <c r="L11" s="5">
        <f>Raw_Model!K11</f>
        <v>1.1433807745207654E-11</v>
      </c>
      <c r="M11" s="5">
        <f>Marginal_Model!L11</f>
        <v>7.3328893668158814E-17</v>
      </c>
      <c r="N11" s="5">
        <f>EXP(-(Inputs!$B$7*Raw_Model!P11+(1-Inputs!$B$7)*Marginal_Model!P11))</f>
        <v>1.0461831836833698E-12</v>
      </c>
      <c r="O11" s="6">
        <f t="shared" si="2"/>
        <v>27.585872637814532</v>
      </c>
      <c r="P11" s="5" t="str">
        <f>Raw_Model!M11</f>
        <v/>
      </c>
      <c r="Q11" s="5" t="str">
        <f>Marginal_Model!M11</f>
        <v/>
      </c>
      <c r="R11" s="5" t="str">
        <f>IF(P11="","",EXP(-(Inputs!$B$7*Raw_Model!Q11+(1-Inputs!$B$7)*Marginal_Model!Q11)))</f>
        <v/>
      </c>
      <c r="S11" s="6" t="str">
        <f t="shared" si="3"/>
        <v/>
      </c>
    </row>
    <row r="12" spans="1:19">
      <c r="A12">
        <v>1</v>
      </c>
      <c r="B12">
        <f>Inputs!$B$5</f>
        <v>4</v>
      </c>
      <c r="C12">
        <v>13</v>
      </c>
      <c r="D12" s="5">
        <f>Raw_Model!G12</f>
        <v>8.1287226938585736E-11</v>
      </c>
      <c r="E12" s="5">
        <f>Marginal_Model!J12</f>
        <v>8.128722693858571E-11</v>
      </c>
      <c r="F12" s="5">
        <f>EXP(-(Inputs!$B$7*Raw_Model!N12+(1-Inputs!$B$7)*Marginal_Model!N12))</f>
        <v>8.1287226938585827E-11</v>
      </c>
      <c r="G12" s="6">
        <f t="shared" si="0"/>
        <v>23.233032221944384</v>
      </c>
      <c r="H12" s="5">
        <f>Raw_Model!I12</f>
        <v>3.8964953268276336E-5</v>
      </c>
      <c r="I12" s="5">
        <f>Marginal_Model!K12</f>
        <v>3.8445459003491648E-11</v>
      </c>
      <c r="J12" s="5">
        <f>EXP(-(Inputs!$B$7*Raw_Model!O12+(1-Inputs!$B$7)*Marginal_Model!O12))</f>
        <v>2.4519315269827971E-6</v>
      </c>
      <c r="K12" s="6">
        <f t="shared" si="1"/>
        <v>12.918634465654293</v>
      </c>
      <c r="L12" s="5">
        <f>Raw_Model!K12</f>
        <v>2.322492198245307E-12</v>
      </c>
      <c r="M12" s="5">
        <f>Marginal_Model!L12</f>
        <v>2.2915279271299629E-18</v>
      </c>
      <c r="N12" s="5">
        <f>EXP(-(Inputs!$B$7*Raw_Model!P12+(1-Inputs!$B$7)*Marginal_Model!P12))</f>
        <v>1.4614650767939043E-13</v>
      </c>
      <c r="O12" s="6">
        <f t="shared" si="2"/>
        <v>29.554166799092982</v>
      </c>
      <c r="P12" s="5" t="str">
        <f>Raw_Model!M12</f>
        <v/>
      </c>
      <c r="Q12" s="5" t="str">
        <f>Marginal_Model!M12</f>
        <v/>
      </c>
      <c r="R12" s="5" t="str">
        <f>IF(P12="","",EXP(-(Inputs!$B$7*Raw_Model!Q12+(1-Inputs!$B$7)*Marginal_Model!Q12)))</f>
        <v/>
      </c>
      <c r="S12" s="6" t="str">
        <f t="shared" si="3"/>
        <v/>
      </c>
    </row>
    <row r="13" spans="1:19">
      <c r="A13">
        <v>1</v>
      </c>
      <c r="B13">
        <f>Inputs!$B$5</f>
        <v>4</v>
      </c>
      <c r="C13">
        <v>14</v>
      </c>
      <c r="D13" s="5">
        <f>Raw_Model!G13</f>
        <v>3.4590309335568387E-12</v>
      </c>
      <c r="E13" s="5">
        <f>Marginal_Model!J13</f>
        <v>3.4590309335568387E-12</v>
      </c>
      <c r="F13" s="5">
        <f>EXP(-(Inputs!$B$7*Raw_Model!N13+(1-Inputs!$B$7)*Marginal_Model!N13))</f>
        <v>3.4590309335568355E-12</v>
      </c>
      <c r="G13" s="6">
        <f t="shared" si="0"/>
        <v>26.3900326430945</v>
      </c>
      <c r="H13" s="5">
        <f>Raw_Model!I13</f>
        <v>3.0950884865581192E-5</v>
      </c>
      <c r="I13" s="5">
        <f>Marginal_Model!K13</f>
        <v>4.3626052769919598E-12</v>
      </c>
      <c r="J13" s="5">
        <f>EXP(-(Inputs!$B$7*Raw_Model!O13+(1-Inputs!$B$7)*Marginal_Model!O13))</f>
        <v>1.3197377510535847E-6</v>
      </c>
      <c r="K13" s="6">
        <f t="shared" si="1"/>
        <v>13.538077514548432</v>
      </c>
      <c r="L13" s="5">
        <f>Raw_Model!K13</f>
        <v>4.6120412447424519E-13</v>
      </c>
      <c r="M13" s="5">
        <f>Marginal_Model!L13</f>
        <v>6.5007884457587597E-20</v>
      </c>
      <c r="N13" s="5">
        <f>EXP(-(Inputs!$B$7*Raw_Model!P13+(1-Inputs!$B$7)*Marginal_Model!P13))</f>
        <v>1.9665624962055514E-14</v>
      </c>
      <c r="O13" s="6">
        <f t="shared" si="2"/>
        <v>31.559904209107007</v>
      </c>
      <c r="P13" s="5" t="str">
        <f>Raw_Model!M13</f>
        <v/>
      </c>
      <c r="Q13" s="5" t="str">
        <f>Marginal_Model!M13</f>
        <v/>
      </c>
      <c r="R13" s="5" t="str">
        <f>IF(P13="","",EXP(-(Inputs!$B$7*Raw_Model!Q13+(1-Inputs!$B$7)*Marginal_Model!Q13)))</f>
        <v/>
      </c>
      <c r="S13" s="6" t="str">
        <f t="shared" si="3"/>
        <v/>
      </c>
    </row>
    <row r="14" spans="1:19">
      <c r="A14">
        <v>1</v>
      </c>
      <c r="B14">
        <f>Inputs!$B$5</f>
        <v>4</v>
      </c>
      <c r="C14">
        <v>15</v>
      </c>
      <c r="D14" s="5">
        <f>Raw_Model!G14</f>
        <v>7.5196324642539908E-14</v>
      </c>
      <c r="E14" s="5">
        <f>Marginal_Model!J14</f>
        <v>7.5196324642539971E-14</v>
      </c>
      <c r="F14" s="5">
        <f>EXP(-(Inputs!$B$7*Raw_Model!N14+(1-Inputs!$B$7)*Marginal_Model!N14))</f>
        <v>7.5196324642540034E-14</v>
      </c>
      <c r="G14" s="6">
        <f t="shared" si="0"/>
        <v>30.218674039583593</v>
      </c>
      <c r="H14" s="5">
        <f>Raw_Model!I14</f>
        <v>2.0185359694944237E-5</v>
      </c>
      <c r="I14" s="5">
        <f>Marginal_Model!K14</f>
        <v>3.7935698060799651E-13</v>
      </c>
      <c r="J14" s="5">
        <f>EXP(-(Inputs!$B$7*Raw_Model!O14+(1-Inputs!$B$7)*Marginal_Model!O14))</f>
        <v>5.7522640059231845E-7</v>
      </c>
      <c r="K14" s="6">
        <f t="shared" si="1"/>
        <v>14.368502133483823</v>
      </c>
      <c r="L14" s="5">
        <f>Raw_Model!K14</f>
        <v>7.5196324642539908E-14</v>
      </c>
      <c r="M14" s="5">
        <f>Marginal_Model!L14</f>
        <v>1.4132148795127738E-21</v>
      </c>
      <c r="N14" s="5">
        <f>EXP(-(Inputs!$B$7*Raw_Model!P14+(1-Inputs!$B$7)*Marginal_Model!P14))</f>
        <v>2.1428853295457254E-15</v>
      </c>
      <c r="O14" s="6">
        <f t="shared" si="2"/>
        <v>33.776623189162294</v>
      </c>
      <c r="P14" s="5" t="str">
        <f>Raw_Model!M14</f>
        <v/>
      </c>
      <c r="Q14" s="5" t="str">
        <f>Marginal_Model!M14</f>
        <v/>
      </c>
      <c r="R14" s="5" t="str">
        <f>IF(P14="","",EXP(-(Inputs!$B$7*Raw_Model!Q14+(1-Inputs!$B$7)*Marginal_Model!Q14)))</f>
        <v/>
      </c>
      <c r="S14" s="6" t="str">
        <f t="shared" si="3"/>
        <v/>
      </c>
    </row>
    <row r="15" spans="1:19">
      <c r="A15">
        <v>2</v>
      </c>
      <c r="B15">
        <f>Inputs!$B$6</f>
        <v>5</v>
      </c>
      <c r="C15">
        <v>3</v>
      </c>
      <c r="D15" s="5">
        <f>Raw_Model!G15</f>
        <v>3.3691225472047399E-2</v>
      </c>
      <c r="E15" s="5">
        <f>Marginal_Model!J15</f>
        <v>3.3691225472047399E-2</v>
      </c>
      <c r="F15" s="5">
        <f>EXP(-(Inputs!$B$7*Raw_Model!N15+(1-Inputs!$B$7)*Marginal_Model!N15))</f>
        <v>3.3691225472047406E-2</v>
      </c>
      <c r="G15" s="6">
        <f t="shared" si="0"/>
        <v>3.3905178472757651</v>
      </c>
      <c r="H15" s="5">
        <f>Raw_Model!I15</f>
        <v>2.4065161051462423E-2</v>
      </c>
      <c r="I15" s="5">
        <f>Marginal_Model!K15</f>
        <v>2.4065161051462423E-2</v>
      </c>
      <c r="J15" s="5">
        <f>EXP(-(Inputs!$B$7*Raw_Model!O15+(1-Inputs!$B$7)*Marginal_Model!O15))</f>
        <v>2.4065161051462419E-2</v>
      </c>
      <c r="K15" s="6">
        <f t="shared" si="1"/>
        <v>3.7269900838969785</v>
      </c>
      <c r="L15" s="5">
        <f>Raw_Model!K15</f>
        <v>9.6260644205849687E-4</v>
      </c>
      <c r="M15" s="5">
        <f>Marginal_Model!L15</f>
        <v>9.6260644205849687E-4</v>
      </c>
      <c r="N15" s="5">
        <f>EXP(-(Inputs!$B$7*Raw_Model!P15+(1-Inputs!$B$7)*Marginal_Model!P15))</f>
        <v>9.6260644205849698E-4</v>
      </c>
      <c r="O15" s="6">
        <f t="shared" si="2"/>
        <v>6.9458659087651791</v>
      </c>
      <c r="P15" s="5">
        <f>Raw_Model!M15</f>
        <v>2.2213994816734544E-3</v>
      </c>
      <c r="Q15" s="5">
        <f>Marginal_Model!M15</f>
        <v>2.2213994816734544E-3</v>
      </c>
      <c r="R15" s="5">
        <f>IF(P15="","",EXP(-(Inputs!$B$7*Raw_Model!Q15+(1-Inputs!$B$7)*Marginal_Model!Q15)))</f>
        <v>2.2213994816734548E-3</v>
      </c>
      <c r="S15" s="6">
        <f t="shared" si="3"/>
        <v>6.1096178845645603</v>
      </c>
    </row>
    <row r="16" spans="1:19">
      <c r="A16">
        <v>2</v>
      </c>
      <c r="B16">
        <f>Inputs!$B$6</f>
        <v>5</v>
      </c>
      <c r="C16">
        <v>4</v>
      </c>
      <c r="D16" s="5">
        <f>Raw_Model!G16</f>
        <v>5.6152042453412312E-3</v>
      </c>
      <c r="E16" s="5">
        <f>Marginal_Model!J16</f>
        <v>5.6152042453412329E-3</v>
      </c>
      <c r="F16" s="5">
        <f>EXP(-(Inputs!$B$7*Raw_Model!N16+(1-Inputs!$B$7)*Marginal_Model!N16))</f>
        <v>5.6152042453412321E-3</v>
      </c>
      <c r="G16" s="6">
        <f t="shared" si="0"/>
        <v>5.1822773165038205</v>
      </c>
      <c r="H16" s="5">
        <f>Raw_Model!I16</f>
        <v>6.1705541157595955E-3</v>
      </c>
      <c r="I16" s="5">
        <f>Marginal_Model!K16</f>
        <v>3.0852770578797973E-3</v>
      </c>
      <c r="J16" s="5">
        <f>EXP(-(Inputs!$B$7*Raw_Model!O16+(1-Inputs!$B$7)*Marginal_Model!O16))</f>
        <v>5.3717793613237324E-3</v>
      </c>
      <c r="K16" s="6">
        <f t="shared" si="1"/>
        <v>5.2265960731445684</v>
      </c>
      <c r="L16" s="5">
        <f>Raw_Model!K16</f>
        <v>4.936443292607676E-5</v>
      </c>
      <c r="M16" s="5">
        <f>Marginal_Model!L16</f>
        <v>2.468221646303838E-5</v>
      </c>
      <c r="N16" s="5">
        <f>EXP(-(Inputs!$B$7*Raw_Model!P16+(1-Inputs!$B$7)*Marginal_Model!P16))</f>
        <v>4.2974234890589874E-5</v>
      </c>
      <c r="O16" s="6">
        <f t="shared" si="2"/>
        <v>10.054909810446869</v>
      </c>
      <c r="P16" s="5">
        <f>Raw_Model!M16</f>
        <v>6.1705541157595955E-5</v>
      </c>
      <c r="Q16" s="5">
        <f>Marginal_Model!M16</f>
        <v>6.1705541157595955E-5</v>
      </c>
      <c r="R16" s="5">
        <f>IF(P16="","",EXP(-(Inputs!$B$7*Raw_Model!Q16+(1-Inputs!$B$7)*Marginal_Model!Q16)))</f>
        <v>6.1705541157595914E-5</v>
      </c>
      <c r="S16" s="6">
        <f t="shared" si="3"/>
        <v>9.6931368230206711</v>
      </c>
    </row>
    <row r="17" spans="1:19">
      <c r="A17">
        <v>2</v>
      </c>
      <c r="B17">
        <f>Inputs!$B$6</f>
        <v>5</v>
      </c>
      <c r="C17">
        <v>5</v>
      </c>
      <c r="D17" s="5">
        <f>Raw_Model!G17</f>
        <v>8.6996122110920488E-4</v>
      </c>
      <c r="E17" s="5">
        <f>Marginal_Model!J17</f>
        <v>8.6996122110920499E-4</v>
      </c>
      <c r="F17" s="5">
        <f>EXP(-(Inputs!$B$7*Raw_Model!N17+(1-Inputs!$B$7)*Marginal_Model!N17))</f>
        <v>8.6996122110920499E-4</v>
      </c>
      <c r="G17" s="6">
        <f t="shared" si="0"/>
        <v>7.0470619207467653</v>
      </c>
      <c r="H17" s="5">
        <f>Raw_Model!I17</f>
        <v>1.9916694622463481E-3</v>
      </c>
      <c r="I17" s="5">
        <f>Marginal_Model!K17</f>
        <v>3.9833389244926961E-4</v>
      </c>
      <c r="J17" s="5">
        <f>EXP(-(Inputs!$B$7*Raw_Model!O17+(1-Inputs!$B$7)*Marginal_Model!O17))</f>
        <v>1.4435215230040447E-3</v>
      </c>
      <c r="K17" s="6">
        <f t="shared" si="1"/>
        <v>6.5406696486821438</v>
      </c>
      <c r="L17" s="5">
        <f>Raw_Model!K17</f>
        <v>3.1866711395941571E-6</v>
      </c>
      <c r="M17" s="5">
        <f>Marginal_Model!L17</f>
        <v>6.3733422791883147E-7</v>
      </c>
      <c r="N17" s="5">
        <f>EXP(-(Inputs!$B$7*Raw_Model!P17+(1-Inputs!$B$7)*Marginal_Model!P17))</f>
        <v>2.3096344368064705E-6</v>
      </c>
      <c r="O17" s="6">
        <f t="shared" si="2"/>
        <v>12.978421298418546</v>
      </c>
      <c r="P17" s="5">
        <f>Raw_Model!M17</f>
        <v>8.6909212898022464E-7</v>
      </c>
      <c r="Q17" s="5">
        <f>Marginal_Model!M17</f>
        <v>8.6909212898022475E-7</v>
      </c>
      <c r="R17" s="5">
        <f>IF(P17="","",EXP(-(Inputs!$B$7*Raw_Model!Q17+(1-Inputs!$B$7)*Marginal_Model!Q17)))</f>
        <v>8.6909212898022496E-7</v>
      </c>
      <c r="S17" s="6">
        <f t="shared" si="3"/>
        <v>13.955816700061986</v>
      </c>
    </row>
    <row r="18" spans="1:19">
      <c r="A18">
        <v>2</v>
      </c>
      <c r="B18">
        <f>Inputs!$B$6</f>
        <v>5</v>
      </c>
      <c r="C18">
        <v>6</v>
      </c>
      <c r="D18" s="5">
        <f>Raw_Model!G18</f>
        <v>1.2428017444417213E-4</v>
      </c>
      <c r="E18" s="5">
        <f>Marginal_Model!J18</f>
        <v>1.2428017444417213E-4</v>
      </c>
      <c r="F18" s="5">
        <f>EXP(-(Inputs!$B$7*Raw_Model!N18+(1-Inputs!$B$7)*Marginal_Model!N18))</f>
        <v>1.2428017444417213E-4</v>
      </c>
      <c r="G18" s="6">
        <f t="shared" si="0"/>
        <v>8.9929720698020787</v>
      </c>
      <c r="H18" s="5">
        <f>Raw_Model!I18</f>
        <v>7.7597511516091491E-4</v>
      </c>
      <c r="I18" s="5">
        <f>Marginal_Model!K18</f>
        <v>5.1731674344060982E-5</v>
      </c>
      <c r="J18" s="5">
        <f>EXP(-(Inputs!$B$7*Raw_Model!O18+(1-Inputs!$B$7)*Marginal_Model!O18))</f>
        <v>4.5147067083536663E-4</v>
      </c>
      <c r="K18" s="6">
        <f t="shared" si="1"/>
        <v>7.7030001466072937</v>
      </c>
      <c r="L18" s="5">
        <f>Raw_Model!K18</f>
        <v>2.4831203685149274E-7</v>
      </c>
      <c r="M18" s="5">
        <f>Marginal_Model!L18</f>
        <v>1.6554135790099519E-8</v>
      </c>
      <c r="N18" s="5">
        <f>EXP(-(Inputs!$B$7*Raw_Model!P18+(1-Inputs!$B$7)*Marginal_Model!P18))</f>
        <v>1.4447061466731749E-7</v>
      </c>
      <c r="O18" s="6">
        <f t="shared" si="2"/>
        <v>15.750189708777794</v>
      </c>
      <c r="P18" s="5" t="str">
        <f>Raw_Model!M18</f>
        <v/>
      </c>
      <c r="Q18" s="5" t="str">
        <f>Marginal_Model!M18</f>
        <v/>
      </c>
      <c r="R18" s="5" t="str">
        <f>IF(P18="","",EXP(-(Inputs!$B$7*Raw_Model!Q18+(1-Inputs!$B$7)*Marginal_Model!Q18)))</f>
        <v/>
      </c>
      <c r="S18" s="6" t="str">
        <f t="shared" si="3"/>
        <v/>
      </c>
    </row>
    <row r="19" spans="1:19">
      <c r="A19">
        <v>2</v>
      </c>
      <c r="B19">
        <f>Inputs!$B$6</f>
        <v>5</v>
      </c>
      <c r="C19">
        <v>7</v>
      </c>
      <c r="D19" s="5">
        <f>Raw_Model!G19</f>
        <v>1.6210457536196364E-5</v>
      </c>
      <c r="E19" s="5">
        <f>Marginal_Model!J19</f>
        <v>1.6210457536196364E-5</v>
      </c>
      <c r="F19" s="5">
        <f>EXP(-(Inputs!$B$7*Raw_Model!N19+(1-Inputs!$B$7)*Marginal_Model!N19))</f>
        <v>1.6210457536196354E-5</v>
      </c>
      <c r="G19" s="6">
        <f t="shared" si="0"/>
        <v>11.029853997063119</v>
      </c>
      <c r="H19" s="5">
        <f>Raw_Model!I19</f>
        <v>3.542495090952003E-4</v>
      </c>
      <c r="I19" s="5">
        <f>Marginal_Model!K19</f>
        <v>6.7476096970514322E-6</v>
      </c>
      <c r="J19" s="5">
        <f>EXP(-(Inputs!$B$7*Raw_Model!O19+(1-Inputs!$B$7)*Marginal_Model!O19))</f>
        <v>1.6042697568705426E-4</v>
      </c>
      <c r="K19" s="6">
        <f t="shared" si="1"/>
        <v>8.7376716990720382</v>
      </c>
      <c r="L19" s="5">
        <f>Raw_Model!K19</f>
        <v>2.2671968582092816E-8</v>
      </c>
      <c r="M19" s="5">
        <f>Marginal_Model!L19</f>
        <v>4.3184702061129177E-10</v>
      </c>
      <c r="N19" s="5">
        <f>EXP(-(Inputs!$B$7*Raw_Model!P19+(1-Inputs!$B$7)*Marginal_Model!P19))</f>
        <v>1.0267326443971447E-8</v>
      </c>
      <c r="O19" s="6">
        <f t="shared" si="2"/>
        <v>18.394299173676643</v>
      </c>
      <c r="P19" s="5" t="str">
        <f>Raw_Model!M19</f>
        <v/>
      </c>
      <c r="Q19" s="5" t="str">
        <f>Marginal_Model!M19</f>
        <v/>
      </c>
      <c r="R19" s="5" t="str">
        <f>IF(P19="","",EXP(-(Inputs!$B$7*Raw_Model!Q19+(1-Inputs!$B$7)*Marginal_Model!Q19)))</f>
        <v/>
      </c>
      <c r="S19" s="6" t="str">
        <f t="shared" si="3"/>
        <v/>
      </c>
    </row>
    <row r="20" spans="1:19">
      <c r="A20">
        <v>2</v>
      </c>
      <c r="B20">
        <f>Inputs!$B$6</f>
        <v>5</v>
      </c>
      <c r="C20">
        <v>8</v>
      </c>
      <c r="D20" s="5">
        <f>Raw_Model!G20</f>
        <v>1.9071126513172191E-6</v>
      </c>
      <c r="E20" s="5">
        <f>Marginal_Model!J20</f>
        <v>1.9071126513172193E-6</v>
      </c>
      <c r="F20" s="5">
        <f>EXP(-(Inputs!$B$7*Raw_Model!N20+(1-Inputs!$B$7)*Marginal_Model!N20))</f>
        <v>1.9071126513172199E-6</v>
      </c>
      <c r="G20" s="6">
        <f t="shared" si="0"/>
        <v>13.169920160559389</v>
      </c>
      <c r="H20" s="5">
        <f>Raw_Model!I20</f>
        <v>1.8522850148768643E-4</v>
      </c>
      <c r="I20" s="5">
        <f>Marginal_Model!K20</f>
        <v>8.8204048327469711E-7</v>
      </c>
      <c r="J20" s="5">
        <f>EXP(-(Inputs!$B$7*Raw_Model!O20+(1-Inputs!$B$7)*Marginal_Model!O20))</f>
        <v>6.3571718892556478E-5</v>
      </c>
      <c r="K20" s="6">
        <f t="shared" si="1"/>
        <v>9.6633418580145722</v>
      </c>
      <c r="L20" s="5">
        <f>Raw_Model!K20</f>
        <v>2.3709248190423861E-9</v>
      </c>
      <c r="M20" s="5">
        <f>Marginal_Model!L20</f>
        <v>1.1290118185916125E-11</v>
      </c>
      <c r="N20" s="5">
        <f>EXP(-(Inputs!$B$7*Raw_Model!P20+(1-Inputs!$B$7)*Marginal_Model!P20))</f>
        <v>8.1371800182472139E-10</v>
      </c>
      <c r="O20" s="6">
        <f t="shared" si="2"/>
        <v>20.929407245053277</v>
      </c>
      <c r="P20" s="5" t="str">
        <f>Raw_Model!M20</f>
        <v/>
      </c>
      <c r="Q20" s="5" t="str">
        <f>Marginal_Model!M20</f>
        <v/>
      </c>
      <c r="R20" s="5" t="str">
        <f>IF(P20="","",EXP(-(Inputs!$B$7*Raw_Model!Q20+(1-Inputs!$B$7)*Marginal_Model!Q20)))</f>
        <v/>
      </c>
      <c r="S20" s="6" t="str">
        <f t="shared" si="3"/>
        <v/>
      </c>
    </row>
    <row r="21" spans="1:19">
      <c r="A21">
        <v>2</v>
      </c>
      <c r="B21">
        <f>Inputs!$B$6</f>
        <v>5</v>
      </c>
      <c r="C21">
        <v>9</v>
      </c>
      <c r="D21" s="5">
        <f>Raw_Model!G21</f>
        <v>1.9925057551075426E-7</v>
      </c>
      <c r="E21" s="5">
        <f>Marginal_Model!J21</f>
        <v>1.9925057551075426E-7</v>
      </c>
      <c r="F21" s="5">
        <f>EXP(-(Inputs!$B$7*Raw_Model!N21+(1-Inputs!$B$7)*Marginal_Model!N21))</f>
        <v>1.9925057551075423E-7</v>
      </c>
      <c r="G21" s="6">
        <f t="shared" si="0"/>
        <v>15.428702630895042</v>
      </c>
      <c r="H21" s="5">
        <f>Raw_Model!I21</f>
        <v>1.0885630218026348E-4</v>
      </c>
      <c r="I21" s="5">
        <f>Marginal_Model!K21</f>
        <v>1.1519185415900895E-7</v>
      </c>
      <c r="J21" s="5">
        <f>EXP(-(Inputs!$B$7*Raw_Model!O21+(1-Inputs!$B$7)*Marginal_Model!O21))</f>
        <v>2.7654589461879712E-5</v>
      </c>
      <c r="K21" s="6">
        <f t="shared" si="1"/>
        <v>10.495718859614994</v>
      </c>
      <c r="L21" s="5">
        <f>Raw_Model!K21</f>
        <v>2.7867213358147451E-10</v>
      </c>
      <c r="M21" s="5">
        <f>Marginal_Model!L21</f>
        <v>2.9489114664706294E-13</v>
      </c>
      <c r="N21" s="5">
        <f>EXP(-(Inputs!$B$7*Raw_Model!P21+(1-Inputs!$B$7)*Marginal_Model!P21))</f>
        <v>7.0795749022411863E-11</v>
      </c>
      <c r="O21" s="6">
        <f t="shared" si="2"/>
        <v>23.3712221590878</v>
      </c>
      <c r="P21" s="5" t="str">
        <f>Raw_Model!M21</f>
        <v/>
      </c>
      <c r="Q21" s="5" t="str">
        <f>Marginal_Model!M21</f>
        <v/>
      </c>
      <c r="R21" s="5" t="str">
        <f>IF(P21="","",EXP(-(Inputs!$B$7*Raw_Model!Q21+(1-Inputs!$B$7)*Marginal_Model!Q21)))</f>
        <v/>
      </c>
      <c r="S21" s="6" t="str">
        <f t="shared" si="3"/>
        <v/>
      </c>
    </row>
    <row r="22" spans="1:19">
      <c r="A22">
        <v>2</v>
      </c>
      <c r="B22">
        <f>Inputs!$B$6</f>
        <v>5</v>
      </c>
      <c r="C22">
        <v>10</v>
      </c>
      <c r="D22" s="5">
        <f>Raw_Model!G22</f>
        <v>1.8113688682795842E-8</v>
      </c>
      <c r="E22" s="5">
        <f>Marginal_Model!J22</f>
        <v>1.8113688682795842E-8</v>
      </c>
      <c r="F22" s="5">
        <f>EXP(-(Inputs!$B$7*Raw_Model!N22+(1-Inputs!$B$7)*Marginal_Model!N22))</f>
        <v>1.8113688682795868E-8</v>
      </c>
      <c r="G22" s="6">
        <f t="shared" si="0"/>
        <v>17.826597903693411</v>
      </c>
      <c r="H22" s="5">
        <f>Raw_Model!I22</f>
        <v>7.068591050666459E-5</v>
      </c>
      <c r="I22" s="5">
        <f>Marginal_Model!K22</f>
        <v>1.4959981059611549E-8</v>
      </c>
      <c r="J22" s="5">
        <f>EXP(-(Inputs!$B$7*Raw_Model!O22+(1-Inputs!$B$7)*Marginal_Model!O22))</f>
        <v>1.3015249382679171E-5</v>
      </c>
      <c r="K22" s="6">
        <f t="shared" si="1"/>
        <v>11.249388858527352</v>
      </c>
      <c r="L22" s="5">
        <f>Raw_Model!K22</f>
        <v>3.6191186179412269E-11</v>
      </c>
      <c r="M22" s="5">
        <f>Marginal_Model!L22</f>
        <v>7.6595103025211163E-15</v>
      </c>
      <c r="N22" s="5">
        <f>EXP(-(Inputs!$B$7*Raw_Model!P22+(1-Inputs!$B$7)*Marginal_Model!P22))</f>
        <v>6.6638076839317455E-12</v>
      </c>
      <c r="O22" s="6">
        <f t="shared" si="2"/>
        <v>25.734330070434254</v>
      </c>
      <c r="P22" s="5" t="str">
        <f>Raw_Model!M22</f>
        <v/>
      </c>
      <c r="Q22" s="5" t="str">
        <f>Marginal_Model!M22</f>
        <v/>
      </c>
      <c r="R22" s="5" t="str">
        <f>IF(P22="","",EXP(-(Inputs!$B$7*Raw_Model!Q22+(1-Inputs!$B$7)*Marginal_Model!Q22)))</f>
        <v/>
      </c>
      <c r="S22" s="6" t="str">
        <f t="shared" si="3"/>
        <v/>
      </c>
    </row>
    <row r="23" spans="1:19">
      <c r="A23">
        <v>2</v>
      </c>
      <c r="B23">
        <f>Inputs!$B$6</f>
        <v>5</v>
      </c>
      <c r="C23">
        <v>11</v>
      </c>
      <c r="D23" s="5">
        <f>Raw_Model!G23</f>
        <v>1.3933606679073726E-9</v>
      </c>
      <c r="E23" s="5">
        <f>Marginal_Model!J23</f>
        <v>1.3933606679073726E-9</v>
      </c>
      <c r="F23" s="5">
        <f>EXP(-(Inputs!$B$7*Raw_Model!N23+(1-Inputs!$B$7)*Marginal_Model!N23))</f>
        <v>1.3933606679073703E-9</v>
      </c>
      <c r="G23" s="6">
        <f t="shared" si="0"/>
        <v>20.391547261154951</v>
      </c>
      <c r="H23" s="5">
        <f>Raw_Model!I23</f>
        <v>4.9842629203417343E-5</v>
      </c>
      <c r="I23" s="5">
        <f>Marginal_Model!K23</f>
        <v>1.9179462896937883E-9</v>
      </c>
      <c r="J23" s="5">
        <f>EXP(-(Inputs!$B$7*Raw_Model!O23+(1-Inputs!$B$7)*Marginal_Model!O23))</f>
        <v>6.5260146271381905E-6</v>
      </c>
      <c r="K23" s="6">
        <f t="shared" si="1"/>
        <v>11.939714118432159</v>
      </c>
      <c r="L23" s="5">
        <f>Raw_Model!K23</f>
        <v>5.1038852304299359E-12</v>
      </c>
      <c r="M23" s="5">
        <f>Marginal_Model!L23</f>
        <v>1.9639770006464401E-16</v>
      </c>
      <c r="N23" s="5">
        <f>EXP(-(Inputs!$B$7*Raw_Model!P23+(1-Inputs!$B$7)*Marginal_Model!P23))</f>
        <v>6.6826389781894985E-13</v>
      </c>
      <c r="O23" s="6">
        <f t="shared" si="2"/>
        <v>28.034093242773164</v>
      </c>
      <c r="P23" s="5" t="str">
        <f>Raw_Model!M23</f>
        <v/>
      </c>
      <c r="Q23" s="5" t="str">
        <f>Marginal_Model!M23</f>
        <v/>
      </c>
      <c r="R23" s="5" t="str">
        <f>IF(P23="","",EXP(-(Inputs!$B$7*Raw_Model!Q23+(1-Inputs!$B$7)*Marginal_Model!Q23)))</f>
        <v/>
      </c>
      <c r="S23" s="6" t="str">
        <f t="shared" si="3"/>
        <v/>
      </c>
    </row>
    <row r="24" spans="1:19">
      <c r="A24">
        <v>2</v>
      </c>
      <c r="B24">
        <f>Inputs!$B$6</f>
        <v>5</v>
      </c>
      <c r="C24">
        <v>12</v>
      </c>
      <c r="D24" s="5">
        <f>Raw_Model!G24</f>
        <v>8.7085041744210772E-11</v>
      </c>
      <c r="E24" s="5">
        <f>Marginal_Model!J24</f>
        <v>8.7085041744210785E-11</v>
      </c>
      <c r="F24" s="5">
        <f>EXP(-(Inputs!$B$7*Raw_Model!N24+(1-Inputs!$B$7)*Marginal_Model!N24))</f>
        <v>8.7085041744210927E-11</v>
      </c>
      <c r="G24" s="6">
        <f t="shared" si="0"/>
        <v>23.164135983394729</v>
      </c>
      <c r="H24" s="5">
        <f>Raw_Model!I24</f>
        <v>3.7381971902562994E-5</v>
      </c>
      <c r="I24" s="5">
        <f>Marginal_Model!K24</f>
        <v>2.3974328621172353E-10</v>
      </c>
      <c r="J24" s="5">
        <f>EXP(-(Inputs!$B$7*Raw_Model!O24+(1-Inputs!$B$7)*Marginal_Model!O24))</f>
        <v>3.4204169992081243E-6</v>
      </c>
      <c r="K24" s="6">
        <f t="shared" si="1"/>
        <v>12.58574808472955</v>
      </c>
      <c r="L24" s="5">
        <f>Raw_Model!K24</f>
        <v>7.6558278456449014E-13</v>
      </c>
      <c r="M24" s="5">
        <f>Marginal_Model!L24</f>
        <v>4.9099425016161006E-18</v>
      </c>
      <c r="N24" s="5">
        <f>EXP(-(Inputs!$B$7*Raw_Model!P24+(1-Inputs!$B$7)*Marginal_Model!P24))</f>
        <v>7.0050140143782347E-14</v>
      </c>
      <c r="O24" s="6">
        <f t="shared" si="2"/>
        <v>30.289565121504655</v>
      </c>
      <c r="P24" s="5" t="str">
        <f>Raw_Model!M24</f>
        <v/>
      </c>
      <c r="Q24" s="5" t="str">
        <f>Marginal_Model!M24</f>
        <v/>
      </c>
      <c r="R24" s="5" t="str">
        <f>IF(P24="","",EXP(-(Inputs!$B$7*Raw_Model!Q24+(1-Inputs!$B$7)*Marginal_Model!Q24)))</f>
        <v/>
      </c>
      <c r="S24" s="6" t="str">
        <f t="shared" si="3"/>
        <v/>
      </c>
    </row>
    <row r="25" spans="1:19">
      <c r="A25">
        <v>2</v>
      </c>
      <c r="B25">
        <f>Inputs!$B$6</f>
        <v>5</v>
      </c>
      <c r="C25">
        <v>13</v>
      </c>
      <c r="D25" s="5">
        <f>Raw_Model!G25</f>
        <v>4.146906749724323E-12</v>
      </c>
      <c r="E25" s="5">
        <f>Marginal_Model!J25</f>
        <v>4.146906749724323E-12</v>
      </c>
      <c r="F25" s="5">
        <f>EXP(-(Inputs!$B$7*Raw_Model!N25+(1-Inputs!$B$7)*Marginal_Model!N25))</f>
        <v>4.1469067497243165E-12</v>
      </c>
      <c r="G25" s="6">
        <f t="shared" si="0"/>
        <v>26.208658421118155</v>
      </c>
      <c r="H25" s="5">
        <f>Raw_Model!I25</f>
        <v>2.8926525876983283E-5</v>
      </c>
      <c r="I25" s="5">
        <f>Marginal_Model!K25</f>
        <v>2.8540867406157561E-11</v>
      </c>
      <c r="J25" s="5">
        <f>EXP(-(Inputs!$B$7*Raw_Model!O25+(1-Inputs!$B$7)*Marginal_Model!O25))</f>
        <v>1.8202475510628632E-6</v>
      </c>
      <c r="K25" s="6">
        <f t="shared" si="1"/>
        <v>13.216538049057545</v>
      </c>
      <c r="L25" s="5">
        <f>Raw_Model!K25</f>
        <v>1.1848304999212352E-13</v>
      </c>
      <c r="M25" s="5">
        <f>Marginal_Model!L25</f>
        <v>1.1690339289562144E-19</v>
      </c>
      <c r="N25" s="5">
        <f>EXP(-(Inputs!$B$7*Raw_Model!P25+(1-Inputs!$B$7)*Marginal_Model!P25))</f>
        <v>7.4557339691534894E-15</v>
      </c>
      <c r="O25" s="6">
        <f t="shared" si="2"/>
        <v>32.52979299826675</v>
      </c>
      <c r="P25" s="5" t="str">
        <f>Raw_Model!M25</f>
        <v/>
      </c>
      <c r="Q25" s="5" t="str">
        <f>Marginal_Model!M25</f>
        <v/>
      </c>
      <c r="R25" s="5" t="str">
        <f>IF(P25="","",EXP(-(Inputs!$B$7*Raw_Model!Q25+(1-Inputs!$B$7)*Marginal_Model!Q25)))</f>
        <v/>
      </c>
      <c r="S25" s="6" t="str">
        <f t="shared" si="3"/>
        <v/>
      </c>
    </row>
    <row r="26" spans="1:19">
      <c r="A26">
        <v>2</v>
      </c>
      <c r="B26">
        <f>Inputs!$B$6</f>
        <v>5</v>
      </c>
      <c r="C26">
        <v>14</v>
      </c>
      <c r="D26" s="5">
        <f>Raw_Model!G26</f>
        <v>1.3377118547497815E-13</v>
      </c>
      <c r="E26" s="5">
        <f>Marginal_Model!J26</f>
        <v>1.3377118547497815E-13</v>
      </c>
      <c r="F26" s="5">
        <f>EXP(-(Inputs!$B$7*Raw_Model!N26+(1-Inputs!$B$7)*Marginal_Model!N26))</f>
        <v>1.3377118547497808E-13</v>
      </c>
      <c r="G26" s="6">
        <f t="shared" si="0"/>
        <v>29.642645625603301</v>
      </c>
      <c r="H26" s="5">
        <f>Raw_Model!I26</f>
        <v>2.1772653885901392E-5</v>
      </c>
      <c r="I26" s="5">
        <f>Marginal_Model!K26</f>
        <v>3.0689104737803827E-12</v>
      </c>
      <c r="J26" s="5">
        <f>EXP(-(Inputs!$B$7*Raw_Model!O26+(1-Inputs!$B$7)*Marginal_Model!O26))</f>
        <v>9.283803483693404E-7</v>
      </c>
      <c r="K26" s="6">
        <f t="shared" si="1"/>
        <v>13.889824329972505</v>
      </c>
      <c r="L26" s="5">
        <f>Raw_Model!K26</f>
        <v>1.783615806333042E-14</v>
      </c>
      <c r="M26" s="5">
        <f>Marginal_Model!L26</f>
        <v>2.5140514601208912E-21</v>
      </c>
      <c r="N26" s="5">
        <f>EXP(-(Inputs!$B$7*Raw_Model!P26+(1-Inputs!$B$7)*Marginal_Model!P26))</f>
        <v>7.6052918138416306E-16</v>
      </c>
      <c r="O26" s="6">
        <f t="shared" si="2"/>
        <v>34.812517191615811</v>
      </c>
      <c r="P26" s="5" t="str">
        <f>Raw_Model!M26</f>
        <v/>
      </c>
      <c r="Q26" s="5" t="str">
        <f>Marginal_Model!M26</f>
        <v/>
      </c>
      <c r="R26" s="5" t="str">
        <f>IF(P26="","",EXP(-(Inputs!$B$7*Raw_Model!Q26+(1-Inputs!$B$7)*Marginal_Model!Q26)))</f>
        <v/>
      </c>
      <c r="S26" s="6" t="str">
        <f t="shared" si="3"/>
        <v/>
      </c>
    </row>
    <row r="27" spans="1:19">
      <c r="A27">
        <v>2</v>
      </c>
      <c r="B27">
        <f>Inputs!$B$6</f>
        <v>5</v>
      </c>
      <c r="C27">
        <v>15</v>
      </c>
      <c r="D27" s="5">
        <f>Raw_Model!G27</f>
        <v>2.1929702536881659E-15</v>
      </c>
      <c r="E27" s="5">
        <f>Marginal_Model!J27</f>
        <v>2.1929702536881667E-15</v>
      </c>
      <c r="F27" s="5">
        <f>EXP(-(Inputs!$B$7*Raw_Model!N27+(1-Inputs!$B$7)*Marginal_Model!N27))</f>
        <v>2.1929702536881592E-15</v>
      </c>
      <c r="G27" s="6">
        <f t="shared" si="0"/>
        <v>33.753519489776615</v>
      </c>
      <c r="H27" s="5">
        <f>Raw_Model!I27</f>
        <v>1.3384828208545935E-5</v>
      </c>
      <c r="I27" s="5">
        <f>Marginal_Model!K27</f>
        <v>2.515500388344576E-13</v>
      </c>
      <c r="J27" s="5">
        <f>EXP(-(Inputs!$B$7*Raw_Model!O27+(1-Inputs!$B$7)*Marginal_Model!O27))</f>
        <v>3.8143023801933179E-7</v>
      </c>
      <c r="K27" s="6">
        <f t="shared" si="1"/>
        <v>14.779337865277903</v>
      </c>
      <c r="L27" s="5">
        <f>Raw_Model!K27</f>
        <v>2.1929702536881659E-15</v>
      </c>
      <c r="M27" s="5">
        <f>Marginal_Model!L27</f>
        <v>4.1213958362637565E-23</v>
      </c>
      <c r="N27" s="5">
        <f>EXP(-(Inputs!$B$7*Raw_Model!P27+(1-Inputs!$B$7)*Marginal_Model!P27))</f>
        <v>6.2493530197087097E-17</v>
      </c>
      <c r="O27" s="6">
        <f t="shared" si="2"/>
        <v>37.311468639355311</v>
      </c>
      <c r="P27" s="5" t="str">
        <f>Raw_Model!M27</f>
        <v/>
      </c>
      <c r="Q27" s="5" t="str">
        <f>Marginal_Model!M27</f>
        <v/>
      </c>
      <c r="R27" s="5" t="str">
        <f>IF(P27="","",EXP(-(Inputs!$B$7*Raw_Model!Q27+(1-Inputs!$B$7)*Marginal_Model!Q27)))</f>
        <v/>
      </c>
      <c r="S27" s="6" t="str">
        <f t="shared" si="3"/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/>
  </sheetViews>
  <sheetFormatPr defaultRowHeight="14.15"/>
  <cols>
    <col min="1" max="1" width="157.640625" customWidth="1"/>
    <col min="2" max="2" width="85.140625" customWidth="1"/>
    <col min="3" max="3" width="3.5" customWidth="1"/>
    <col min="4" max="5" width="11.2109375" customWidth="1"/>
  </cols>
  <sheetData>
    <row r="1" spans="1:8" ht="16" customHeight="1">
      <c r="A1" s="32" t="s">
        <v>75</v>
      </c>
      <c r="B1" s="32"/>
      <c r="C1" s="32"/>
      <c r="D1" s="32"/>
      <c r="E1" s="32"/>
      <c r="F1" s="32"/>
      <c r="G1" s="32"/>
      <c r="H1" s="32"/>
    </row>
    <row r="3" spans="1:8">
      <c r="A3" s="1" t="s">
        <v>76</v>
      </c>
      <c r="B3" s="1" t="s">
        <v>77</v>
      </c>
    </row>
    <row r="4" spans="1:8" ht="28.3">
      <c r="A4" s="2" t="s">
        <v>78</v>
      </c>
      <c r="B4" s="3" t="s">
        <v>79</v>
      </c>
    </row>
    <row r="5" spans="1:8">
      <c r="A5" s="2" t="s">
        <v>80</v>
      </c>
      <c r="B5" s="3" t="s">
        <v>81</v>
      </c>
    </row>
    <row r="6" spans="1:8" ht="28.3">
      <c r="A6" s="2" t="s">
        <v>82</v>
      </c>
      <c r="B6" s="3" t="s">
        <v>83</v>
      </c>
    </row>
    <row r="7" spans="1:8" ht="28.3">
      <c r="A7" s="2" t="s">
        <v>84</v>
      </c>
      <c r="B7" s="3" t="s">
        <v>85</v>
      </c>
    </row>
    <row r="8" spans="1:8" ht="28.3">
      <c r="A8" s="2" t="s">
        <v>86</v>
      </c>
      <c r="B8" s="3" t="s">
        <v>87</v>
      </c>
    </row>
    <row r="9" spans="1:8">
      <c r="A9" s="11" t="s">
        <v>88</v>
      </c>
      <c r="B9" s="11" t="s">
        <v>89</v>
      </c>
      <c r="C9" s="11"/>
      <c r="D9" s="11"/>
      <c r="E9" s="11"/>
    </row>
    <row r="11" spans="1:8" ht="28.3">
      <c r="A11" s="1" t="s">
        <v>90</v>
      </c>
      <c r="B11" s="1" t="s">
        <v>28</v>
      </c>
      <c r="C11" s="1" t="s">
        <v>91</v>
      </c>
      <c r="D11" s="1" t="s">
        <v>92</v>
      </c>
      <c r="E11" s="1" t="s">
        <v>67</v>
      </c>
    </row>
    <row r="12" spans="1:8">
      <c r="A12" t="s">
        <v>93</v>
      </c>
      <c r="B12">
        <v>1</v>
      </c>
      <c r="C12">
        <v>15</v>
      </c>
      <c r="D12" s="5">
        <f>Raw_Model!G14</f>
        <v>7.5196324642539908E-14</v>
      </c>
      <c r="E12" s="5">
        <f>Raw_Model!K14</f>
        <v>7.5196324642539908E-14</v>
      </c>
    </row>
    <row r="13" spans="1:8">
      <c r="A13" t="s">
        <v>93</v>
      </c>
      <c r="B13">
        <v>2</v>
      </c>
      <c r="C13">
        <v>15</v>
      </c>
      <c r="D13" s="5">
        <f>Raw_Model!G27</f>
        <v>2.1929702536881659E-15</v>
      </c>
      <c r="E13" s="5">
        <f>Raw_Model!K27</f>
        <v>2.1929702536881659E-15</v>
      </c>
    </row>
    <row r="15" spans="1:8">
      <c r="A15" s="15" t="s">
        <v>94</v>
      </c>
      <c r="B15" s="15"/>
      <c r="C15" s="15"/>
      <c r="D15" s="15"/>
      <c r="E15" s="15"/>
    </row>
    <row r="16" spans="1:8">
      <c r="A16" s="3" t="s">
        <v>95</v>
      </c>
      <c r="B16" s="3"/>
      <c r="C16" s="3"/>
      <c r="D16" s="3"/>
      <c r="E16" s="3"/>
    </row>
    <row r="17" spans="1:5">
      <c r="A17" s="3" t="s">
        <v>96</v>
      </c>
      <c r="B17" s="3"/>
      <c r="C17" s="3"/>
      <c r="D17" s="3"/>
      <c r="E17" s="3"/>
    </row>
    <row r="18" spans="1:5" ht="28.3">
      <c r="A18" s="3" t="s">
        <v>97</v>
      </c>
      <c r="B18" s="3"/>
      <c r="C18" s="3"/>
      <c r="D18" s="3"/>
      <c r="E18" s="3"/>
    </row>
    <row r="19" spans="1:5">
      <c r="A19" s="3" t="s">
        <v>98</v>
      </c>
      <c r="B19" s="3"/>
      <c r="C19" s="3"/>
      <c r="D19" s="3"/>
      <c r="E19" s="3"/>
    </row>
    <row r="20" spans="1:5">
      <c r="A20" s="3" t="s">
        <v>99</v>
      </c>
      <c r="B20" s="3"/>
      <c r="C20" s="3"/>
      <c r="D20" s="3"/>
      <c r="E20" s="3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2"/>
  <sheetViews>
    <sheetView workbookViewId="0"/>
  </sheetViews>
  <sheetFormatPr defaultRowHeight="14.15"/>
  <cols>
    <col min="1" max="1" width="8" customWidth="1"/>
    <col min="2" max="13" width="14" customWidth="1"/>
  </cols>
  <sheetData>
    <row r="1" spans="1:13" ht="13.75" customHeight="1">
      <c r="A1" s="33" t="s">
        <v>100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0.6" customHeight="1">
      <c r="A2" s="34" t="s">
        <v>101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4" spans="1:13" ht="12.55" customHeight="1">
      <c r="A4" s="35" t="s">
        <v>102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ht="19.399999999999999" customHeight="1">
      <c r="A5" s="7" t="s">
        <v>91</v>
      </c>
      <c r="B5" s="7" t="s">
        <v>103</v>
      </c>
      <c r="C5" s="7" t="s">
        <v>104</v>
      </c>
      <c r="D5" s="7" t="s">
        <v>105</v>
      </c>
      <c r="E5" s="7" t="s">
        <v>106</v>
      </c>
      <c r="F5" s="7" t="s">
        <v>107</v>
      </c>
      <c r="G5" s="7" t="s">
        <v>108</v>
      </c>
      <c r="H5" s="7" t="s">
        <v>109</v>
      </c>
      <c r="I5" s="7" t="s">
        <v>110</v>
      </c>
      <c r="J5" s="7" t="s">
        <v>111</v>
      </c>
      <c r="K5" s="7" t="s">
        <v>112</v>
      </c>
      <c r="L5" s="7" t="s">
        <v>113</v>
      </c>
      <c r="M5" s="7" t="s">
        <v>114</v>
      </c>
    </row>
    <row r="6" spans="1:13">
      <c r="A6" s="8">
        <f>Raw_Model!C2</f>
        <v>3</v>
      </c>
      <c r="B6" s="9">
        <f>Raw_Model!G2</f>
        <v>5.3185271770894223E-2</v>
      </c>
      <c r="C6" s="9">
        <f>Raw_Model!I2</f>
        <v>2.4313267095265927E-2</v>
      </c>
      <c r="D6" s="9">
        <f>Raw_Model!K2</f>
        <v>1.5195791934541204E-3</v>
      </c>
      <c r="E6" s="9">
        <f>Raw_Model!M2</f>
        <v>1.7533606078316774E-3</v>
      </c>
      <c r="F6" s="9">
        <f>Marginal_Model!J2</f>
        <v>5.3185271770894223E-2</v>
      </c>
      <c r="G6" s="9">
        <f>Marginal_Model!K2</f>
        <v>2.4313267095265927E-2</v>
      </c>
      <c r="H6" s="9">
        <f>Marginal_Model!L2</f>
        <v>1.5195791934541204E-3</v>
      </c>
      <c r="I6" s="9">
        <f>Marginal_Model!M2</f>
        <v>1.7533606078316774E-3</v>
      </c>
      <c r="J6" s="9">
        <f>Combined_Model!F2</f>
        <v>5.3185271770894223E-2</v>
      </c>
      <c r="K6" s="9">
        <f>Combined_Model!J2</f>
        <v>2.4313267095265923E-2</v>
      </c>
      <c r="L6" s="9">
        <f>Combined_Model!N2</f>
        <v>1.5195791934541211E-3</v>
      </c>
      <c r="M6" s="9">
        <f>Combined_Model!R2</f>
        <v>1.753360607831678E-3</v>
      </c>
    </row>
    <row r="7" spans="1:13">
      <c r="A7" s="8">
        <f>Raw_Model!C3</f>
        <v>4</v>
      </c>
      <c r="B7" s="9">
        <f>Raw_Model!G3</f>
        <v>1.1196899320188256E-2</v>
      </c>
      <c r="C7" s="9">
        <f>Raw_Model!I3</f>
        <v>6.2997939032267986E-3</v>
      </c>
      <c r="D7" s="9">
        <f>Raw_Model!K3</f>
        <v>9.8434279737918728E-5</v>
      </c>
      <c r="E7" s="9">
        <f>Raw_Model!M3</f>
        <v>3.0760712418099601E-5</v>
      </c>
      <c r="F7" s="9">
        <f>Marginal_Model!J3</f>
        <v>1.1196899320188258E-2</v>
      </c>
      <c r="G7" s="9">
        <f>Marginal_Model!K3</f>
        <v>3.1498969516133993E-3</v>
      </c>
      <c r="H7" s="9">
        <f>Marginal_Model!L3</f>
        <v>4.9217139868959364E-5</v>
      </c>
      <c r="I7" s="9">
        <f>Marginal_Model!M3</f>
        <v>3.0760712418099601E-5</v>
      </c>
      <c r="J7" s="9">
        <f>Combined_Model!F3</f>
        <v>1.1196899320188258E-2</v>
      </c>
      <c r="K7" s="9">
        <f>Combined_Model!J3</f>
        <v>5.4842891311035792E-3</v>
      </c>
      <c r="L7" s="9">
        <f>Combined_Model!N3</f>
        <v>8.5692017673493371E-5</v>
      </c>
      <c r="M7" s="9">
        <f>Combined_Model!R3</f>
        <v>3.0760712418099615E-5</v>
      </c>
    </row>
    <row r="8" spans="1:13">
      <c r="A8" s="8">
        <f>Raw_Model!C4</f>
        <v>5</v>
      </c>
      <c r="B8" s="9">
        <f>Raw_Model!G4</f>
        <v>2.1993909378941212E-3</v>
      </c>
      <c r="C8" s="9">
        <f>Raw_Model!I4</f>
        <v>2.0624325278421063E-3</v>
      </c>
      <c r="D8" s="9">
        <f>Raw_Model!K4</f>
        <v>8.0563770618832277E-6</v>
      </c>
      <c r="E8" s="9"/>
      <c r="F8" s="9">
        <f>Marginal_Model!J4</f>
        <v>2.199390937894122E-3</v>
      </c>
      <c r="G8" s="9">
        <f>Marginal_Model!K4</f>
        <v>4.1248650556842138E-4</v>
      </c>
      <c r="H8" s="9">
        <f>Marginal_Model!L4</f>
        <v>1.611275412376646E-6</v>
      </c>
      <c r="I8" s="9"/>
      <c r="J8" s="9">
        <f>Combined_Model!F4</f>
        <v>2.1993909378941212E-3</v>
      </c>
      <c r="K8" s="9">
        <f>Combined_Model!J4</f>
        <v>1.4948091538873412E-3</v>
      </c>
      <c r="L8" s="9">
        <f>Combined_Model!N4</f>
        <v>5.8390982573724231E-6</v>
      </c>
      <c r="M8" s="9"/>
    </row>
    <row r="9" spans="1:13">
      <c r="A9" s="8">
        <f>Raw_Model!C5</f>
        <v>6</v>
      </c>
      <c r="B9" s="9">
        <f>Raw_Model!G5</f>
        <v>3.998892614352947E-4</v>
      </c>
      <c r="C9" s="9">
        <f>Raw_Model!I5</f>
        <v>8.1815505236711649E-4</v>
      </c>
      <c r="D9" s="9">
        <f>Raw_Model!K5</f>
        <v>7.989795433272622E-7</v>
      </c>
      <c r="E9" s="9"/>
      <c r="F9" s="9">
        <f>Marginal_Model!J5</f>
        <v>3.9988926143529491E-4</v>
      </c>
      <c r="G9" s="9">
        <f>Marginal_Model!K5</f>
        <v>5.454367015780779E-5</v>
      </c>
      <c r="H9" s="9">
        <f>Marginal_Model!L5</f>
        <v>5.326530288848417E-8</v>
      </c>
      <c r="I9" s="9"/>
      <c r="J9" s="9">
        <f>Combined_Model!F5</f>
        <v>3.9988926143529475E-4</v>
      </c>
      <c r="K9" s="9">
        <f>Combined_Model!J5</f>
        <v>4.7601141212231965E-4</v>
      </c>
      <c r="L9" s="9">
        <f>Combined_Model!N5</f>
        <v>4.6485489465070321E-7</v>
      </c>
      <c r="M9" s="9"/>
    </row>
    <row r="10" spans="1:13">
      <c r="A10" s="8">
        <f>Raw_Model!C6</f>
        <v>7</v>
      </c>
      <c r="B10" s="9">
        <f>Raw_Model!G6</f>
        <v>6.6648210239215824E-5</v>
      </c>
      <c r="C10" s="9">
        <f>Raw_Model!I6</f>
        <v>3.818056911046546E-4</v>
      </c>
      <c r="D10" s="9">
        <f>Raw_Model!K6</f>
        <v>9.3214280054847316E-8</v>
      </c>
      <c r="E10" s="9"/>
      <c r="F10" s="9">
        <f>Marginal_Model!J6</f>
        <v>6.664821023921581E-5</v>
      </c>
      <c r="G10" s="9">
        <f>Marginal_Model!K6</f>
        <v>7.272489354374372E-6</v>
      </c>
      <c r="H10" s="9">
        <f>Marginal_Model!L6</f>
        <v>1.7755100962828057E-9</v>
      </c>
      <c r="I10" s="9"/>
      <c r="J10" s="9">
        <f>Combined_Model!F6</f>
        <v>6.6648210239215824E-5</v>
      </c>
      <c r="K10" s="9">
        <f>Combined_Model!J6</f>
        <v>1.729061882978209E-4</v>
      </c>
      <c r="L10" s="9">
        <f>Combined_Model!N6</f>
        <v>4.2213424877397641E-8</v>
      </c>
      <c r="M10" s="9"/>
    </row>
    <row r="11" spans="1:13">
      <c r="A11" s="8">
        <f>Raw_Model!C7</f>
        <v>8</v>
      </c>
      <c r="B11" s="9">
        <f>Raw_Model!G7</f>
        <v>1.0060107205919364E-5</v>
      </c>
      <c r="C11" s="9">
        <f>Raw_Model!I7</f>
        <v>2.0491039187168036E-4</v>
      </c>
      <c r="D11" s="9">
        <f>Raw_Model!K7</f>
        <v>1.2506737785136741E-8</v>
      </c>
      <c r="E11" s="9"/>
      <c r="F11" s="9">
        <f>Marginal_Model!J7</f>
        <v>1.0060107205919367E-5</v>
      </c>
      <c r="G11" s="9">
        <f>Marginal_Model!K7</f>
        <v>9.7576377081752583E-7</v>
      </c>
      <c r="H11" s="9">
        <f>Marginal_Model!L7</f>
        <v>5.9555894214936879E-11</v>
      </c>
      <c r="I11" s="9"/>
      <c r="J11" s="9">
        <f>Combined_Model!F7</f>
        <v>1.0060107205919367E-5</v>
      </c>
      <c r="K11" s="9">
        <f>Combined_Model!J7</f>
        <v>7.0326681507467895E-5</v>
      </c>
      <c r="L11" s="9">
        <f>Combined_Model!N7</f>
        <v>4.2923999943522984E-9</v>
      </c>
      <c r="M11" s="9"/>
    </row>
    <row r="12" spans="1:13">
      <c r="A12" s="8">
        <f>Raw_Model!C8</f>
        <v>9</v>
      </c>
      <c r="B12" s="9">
        <f>Raw_Model!G8</f>
        <v>1.3542452007968373E-6</v>
      </c>
      <c r="C12" s="9">
        <f>Raw_Model!I8</f>
        <v>1.2412841046072941E-4</v>
      </c>
      <c r="D12" s="9">
        <f>Raw_Model!K8</f>
        <v>1.8940492318836885E-9</v>
      </c>
      <c r="E12" s="9"/>
      <c r="F12" s="9">
        <f>Marginal_Model!J8</f>
        <v>1.3542452007968379E-6</v>
      </c>
      <c r="G12" s="9">
        <f>Marginal_Model!K8</f>
        <v>1.3135281530235925E-7</v>
      </c>
      <c r="H12" s="9">
        <f>Marginal_Model!L8</f>
        <v>2.004284901464222E-12</v>
      </c>
      <c r="I12" s="9"/>
      <c r="J12" s="9">
        <f>Combined_Model!F8</f>
        <v>1.3542452007968384E-6</v>
      </c>
      <c r="K12" s="9">
        <f>Combined_Model!J8</f>
        <v>3.1534418890719447E-5</v>
      </c>
      <c r="L12" s="9">
        <f>Combined_Model!N8</f>
        <v>4.8117704606200267E-10</v>
      </c>
      <c r="M12" s="9"/>
    </row>
    <row r="13" spans="1:13">
      <c r="A13" s="8">
        <f>Raw_Model!C9</f>
        <v>10</v>
      </c>
      <c r="B13" s="9">
        <f>Raw_Model!G9</f>
        <v>1.5932296479962799E-7</v>
      </c>
      <c r="C13" s="9">
        <f>Raw_Model!I9</f>
        <v>8.3447670897969384E-5</v>
      </c>
      <c r="D13" s="9">
        <f>Raw_Model!K9</f>
        <v>3.183276019972587E-10</v>
      </c>
      <c r="E13" s="9"/>
      <c r="F13" s="9">
        <f>Marginal_Model!J9</f>
        <v>1.5932296479962799E-7</v>
      </c>
      <c r="G13" s="9">
        <f>Marginal_Model!K9</f>
        <v>1.7660882729728973E-8</v>
      </c>
      <c r="H13" s="9">
        <f>Marginal_Model!L9</f>
        <v>6.7370921057620899E-14</v>
      </c>
      <c r="I13" s="9"/>
      <c r="J13" s="9">
        <f>Combined_Model!F9</f>
        <v>1.5932296479962791E-7</v>
      </c>
      <c r="K13" s="9">
        <f>Combined_Model!J9</f>
        <v>1.5365045726310738E-5</v>
      </c>
      <c r="L13" s="9">
        <f>Combined_Model!N9</f>
        <v>5.8612997918360883E-11</v>
      </c>
      <c r="M13" s="9"/>
    </row>
    <row r="14" spans="1:13">
      <c r="A14" s="8">
        <f>Raw_Model!C10</f>
        <v>11</v>
      </c>
      <c r="B14" s="9">
        <f>Raw_Model!G10</f>
        <v>1.5932296479962797E-8</v>
      </c>
      <c r="C14" s="9">
        <f>Raw_Model!I10</f>
        <v>6.1194958658510889E-5</v>
      </c>
      <c r="D14" s="9">
        <f>Raw_Model!K10</f>
        <v>5.8360060366164101E-11</v>
      </c>
      <c r="E14" s="9"/>
      <c r="F14" s="9">
        <f>Marginal_Model!J10</f>
        <v>1.5932296479962801E-8</v>
      </c>
      <c r="G14" s="9">
        <f>Marginal_Model!K10</f>
        <v>2.3547843639638631E-9</v>
      </c>
      <c r="H14" s="9">
        <f>Marginal_Model!L10</f>
        <v>2.2456973685873634E-15</v>
      </c>
      <c r="I14" s="9"/>
      <c r="J14" s="9">
        <f>Combined_Model!F10</f>
        <v>1.5932296479962774E-8</v>
      </c>
      <c r="K14" s="9">
        <f>Combined_Model!J10</f>
        <v>8.012402268802811E-6</v>
      </c>
      <c r="L14" s="9">
        <f>Combined_Model!N10</f>
        <v>7.6412222564724073E-12</v>
      </c>
      <c r="M14" s="9"/>
    </row>
    <row r="15" spans="1:13">
      <c r="A15" s="8">
        <f>Raw_Model!C11</f>
        <v>12</v>
      </c>
      <c r="B15" s="9">
        <f>Raw_Model!G11</f>
        <v>1.3005956310173707E-9</v>
      </c>
      <c r="C15" s="9">
        <f>Raw_Model!I11</f>
        <v>4.7956865560955442E-5</v>
      </c>
      <c r="D15" s="9">
        <f>Raw_Model!K11</f>
        <v>1.1433807745207654E-11</v>
      </c>
      <c r="E15" s="9"/>
      <c r="F15" s="9">
        <f>Marginal_Model!J11</f>
        <v>1.3005956310173714E-9</v>
      </c>
      <c r="G15" s="9">
        <f>Marginal_Model!K11</f>
        <v>3.0756367202793319E-10</v>
      </c>
      <c r="H15" s="9">
        <f>Marginal_Model!L11</f>
        <v>7.3328893668158814E-17</v>
      </c>
      <c r="I15" s="9"/>
      <c r="J15" s="9">
        <f>Combined_Model!F11</f>
        <v>1.3005956310173691E-9</v>
      </c>
      <c r="K15" s="9">
        <f>Combined_Model!J11</f>
        <v>4.3880103120559087E-6</v>
      </c>
      <c r="L15" s="9">
        <f>Combined_Model!N11</f>
        <v>1.0461831836833698E-12</v>
      </c>
      <c r="M15" s="9"/>
    </row>
    <row r="16" spans="1:13">
      <c r="A16" s="8">
        <f>Raw_Model!C12</f>
        <v>13</v>
      </c>
      <c r="B16" s="9">
        <f>Raw_Model!G12</f>
        <v>8.1287226938585736E-11</v>
      </c>
      <c r="C16" s="9">
        <f>Raw_Model!I12</f>
        <v>3.8964953268276336E-5</v>
      </c>
      <c r="D16" s="9">
        <f>Raw_Model!K12</f>
        <v>2.322492198245307E-12</v>
      </c>
      <c r="E16" s="9"/>
      <c r="F16" s="9">
        <f>Marginal_Model!J12</f>
        <v>8.128722693858571E-11</v>
      </c>
      <c r="G16" s="9">
        <f>Marginal_Model!K12</f>
        <v>3.8445459003491648E-11</v>
      </c>
      <c r="H16" s="9">
        <f>Marginal_Model!L12</f>
        <v>2.2915279271299629E-18</v>
      </c>
      <c r="I16" s="9"/>
      <c r="J16" s="9">
        <f>Combined_Model!F12</f>
        <v>8.1287226938585827E-11</v>
      </c>
      <c r="K16" s="9">
        <f>Combined_Model!J12</f>
        <v>2.4519315269827971E-6</v>
      </c>
      <c r="L16" s="9">
        <f>Combined_Model!N12</f>
        <v>1.4614650767939043E-13</v>
      </c>
      <c r="M16" s="9"/>
    </row>
    <row r="17" spans="1:13">
      <c r="A17" s="8">
        <f>Raw_Model!C13</f>
        <v>14</v>
      </c>
      <c r="B17" s="9">
        <f>Raw_Model!G13</f>
        <v>3.4590309335568387E-12</v>
      </c>
      <c r="C17" s="9">
        <f>Raw_Model!I13</f>
        <v>3.0950884865581192E-5</v>
      </c>
      <c r="D17" s="9">
        <f>Raw_Model!K13</f>
        <v>4.6120412447424519E-13</v>
      </c>
      <c r="E17" s="9"/>
      <c r="F17" s="9">
        <f>Marginal_Model!J13</f>
        <v>3.4590309335568387E-12</v>
      </c>
      <c r="G17" s="9">
        <f>Marginal_Model!K13</f>
        <v>4.3626052769919598E-12</v>
      </c>
      <c r="H17" s="9">
        <f>Marginal_Model!L13</f>
        <v>6.5007884457587597E-20</v>
      </c>
      <c r="I17" s="9"/>
      <c r="J17" s="9">
        <f>Combined_Model!F13</f>
        <v>3.4590309335568355E-12</v>
      </c>
      <c r="K17" s="9">
        <f>Combined_Model!J13</f>
        <v>1.3197377510535847E-6</v>
      </c>
      <c r="L17" s="9">
        <f>Combined_Model!N13</f>
        <v>1.9665624962055514E-14</v>
      </c>
      <c r="M17" s="9"/>
    </row>
    <row r="18" spans="1:13">
      <c r="A18" s="8">
        <f>Raw_Model!C14</f>
        <v>15</v>
      </c>
      <c r="B18" s="9">
        <f>Raw_Model!G14</f>
        <v>7.5196324642539908E-14</v>
      </c>
      <c r="C18" s="9">
        <f>Raw_Model!I14</f>
        <v>2.0185359694944237E-5</v>
      </c>
      <c r="D18" s="9">
        <f>Raw_Model!K14</f>
        <v>7.5196324642539908E-14</v>
      </c>
      <c r="E18" s="9"/>
      <c r="F18" s="9">
        <f>Marginal_Model!J14</f>
        <v>7.5196324642539971E-14</v>
      </c>
      <c r="G18" s="9">
        <f>Marginal_Model!K14</f>
        <v>3.7935698060799651E-13</v>
      </c>
      <c r="H18" s="9">
        <f>Marginal_Model!L14</f>
        <v>1.4132148795127738E-21</v>
      </c>
      <c r="I18" s="9"/>
      <c r="J18" s="9">
        <f>Combined_Model!F14</f>
        <v>7.5196324642540034E-14</v>
      </c>
      <c r="K18" s="9">
        <f>Combined_Model!J14</f>
        <v>5.7522640059231845E-7</v>
      </c>
      <c r="L18" s="9">
        <f>Combined_Model!N14</f>
        <v>2.1428853295457254E-15</v>
      </c>
      <c r="M18" s="9"/>
    </row>
    <row r="21" spans="1:13" ht="12.55" customHeight="1">
      <c r="A21" s="35" t="s">
        <v>115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 spans="1:13" ht="19.399999999999999" customHeight="1">
      <c r="A22" s="7" t="s">
        <v>91</v>
      </c>
      <c r="B22" s="7" t="s">
        <v>103</v>
      </c>
      <c r="C22" s="7" t="s">
        <v>104</v>
      </c>
      <c r="D22" s="7" t="s">
        <v>105</v>
      </c>
      <c r="E22" s="7" t="s">
        <v>106</v>
      </c>
      <c r="F22" s="7" t="s">
        <v>107</v>
      </c>
      <c r="G22" s="7" t="s">
        <v>108</v>
      </c>
      <c r="H22" s="7" t="s">
        <v>109</v>
      </c>
      <c r="I22" s="7" t="s">
        <v>110</v>
      </c>
      <c r="J22" s="7" t="s">
        <v>111</v>
      </c>
      <c r="K22" s="7" t="s">
        <v>112</v>
      </c>
      <c r="L22" s="7" t="s">
        <v>113</v>
      </c>
      <c r="M22" s="7" t="s">
        <v>114</v>
      </c>
    </row>
    <row r="23" spans="1:13">
      <c r="A23" s="8">
        <f>Raw_Model!C2</f>
        <v>3</v>
      </c>
      <c r="B23" s="10">
        <f>Raw_Model!N2</f>
        <v>2.9339737673753432</v>
      </c>
      <c r="C23" s="10">
        <f>Raw_Model!O2</f>
        <v>3.716733106624976</v>
      </c>
      <c r="D23" s="10">
        <f>Raw_Model!P2</f>
        <v>6.4893218288647567</v>
      </c>
      <c r="E23" s="10">
        <f>Raw_Model!Q2</f>
        <v>6.3462209852240834</v>
      </c>
      <c r="F23" s="10">
        <f>Marginal_Model!N2</f>
        <v>2.9339737673753432</v>
      </c>
      <c r="G23" s="10">
        <f>Marginal_Model!O2</f>
        <v>3.716733106624976</v>
      </c>
      <c r="H23" s="10">
        <f>Marginal_Model!P2</f>
        <v>6.4893218288647567</v>
      </c>
      <c r="I23" s="10">
        <f>Marginal_Model!Q2</f>
        <v>6.3462209852240834</v>
      </c>
      <c r="J23" s="10">
        <f>Combined_Model!G2</f>
        <v>2.9339737673753432</v>
      </c>
      <c r="K23" s="10">
        <f>Combined_Model!K2</f>
        <v>3.716733106624976</v>
      </c>
      <c r="L23" s="10">
        <f>Combined_Model!O2</f>
        <v>6.4893218288647567</v>
      </c>
      <c r="M23" s="10">
        <f>Combined_Model!S2</f>
        <v>6.3462209852240834</v>
      </c>
    </row>
    <row r="24" spans="1:13">
      <c r="A24" s="8">
        <f>Raw_Model!C3</f>
        <v>4</v>
      </c>
      <c r="B24" s="10">
        <f>Raw_Model!N3</f>
        <v>4.4921183854218931</v>
      </c>
      <c r="C24" s="10">
        <f>Raw_Model!O3</f>
        <v>5.0672383598932811</v>
      </c>
      <c r="D24" s="10">
        <f>Raw_Model!P3</f>
        <v>9.2261214432529535</v>
      </c>
      <c r="E24" s="10">
        <f>Raw_Model!Q3</f>
        <v>10.389272253058634</v>
      </c>
      <c r="F24" s="10">
        <f>Marginal_Model!N3</f>
        <v>4.4921183854218931</v>
      </c>
      <c r="G24" s="10">
        <f>Marginal_Model!O3</f>
        <v>5.7603855404532265</v>
      </c>
      <c r="H24" s="10">
        <f>Marginal_Model!P3</f>
        <v>9.9192686238128989</v>
      </c>
      <c r="I24" s="10">
        <f>Marginal_Model!Q3</f>
        <v>10.389272253058634</v>
      </c>
      <c r="J24" s="10">
        <f>Combined_Model!G3</f>
        <v>4.4921183854218931</v>
      </c>
      <c r="K24" s="10">
        <f>Combined_Model!K3</f>
        <v>5.2058677960052702</v>
      </c>
      <c r="L24" s="10">
        <f>Combined_Model!O3</f>
        <v>9.3647508793649425</v>
      </c>
      <c r="M24" s="10">
        <f>Combined_Model!S3</f>
        <v>10.389272253058634</v>
      </c>
    </row>
    <row r="25" spans="1:13">
      <c r="A25" s="8">
        <f>Raw_Model!C4</f>
        <v>5</v>
      </c>
      <c r="B25" s="10">
        <f>Raw_Model!N4</f>
        <v>6.1195748033586721</v>
      </c>
      <c r="C25" s="10">
        <f>Raw_Model!O4</f>
        <v>6.1838691540640696</v>
      </c>
      <c r="D25" s="10">
        <f>Raw_Model!P4</f>
        <v>11.729046598543633</v>
      </c>
      <c r="E25" s="10"/>
      <c r="F25" s="10">
        <f>Marginal_Model!N4</f>
        <v>6.1195748033586721</v>
      </c>
      <c r="G25" s="10">
        <f>Marginal_Model!O4</f>
        <v>7.7933070664981692</v>
      </c>
      <c r="H25" s="10">
        <f>Marginal_Model!P4</f>
        <v>13.338484510977732</v>
      </c>
      <c r="I25" s="10"/>
      <c r="J25" s="10">
        <f>Combined_Model!G4</f>
        <v>6.1195748033586721</v>
      </c>
      <c r="K25" s="10">
        <f>Combined_Model!K4</f>
        <v>6.5057567365508895</v>
      </c>
      <c r="L25" s="10">
        <f>Combined_Model!O4</f>
        <v>12.050934181030453</v>
      </c>
      <c r="M25" s="10"/>
    </row>
    <row r="26" spans="1:13">
      <c r="A26" s="8">
        <f>Raw_Model!C5</f>
        <v>6</v>
      </c>
      <c r="B26" s="10">
        <f>Raw_Model!N5</f>
        <v>7.8243228955970974</v>
      </c>
      <c r="C26" s="10">
        <f>Raw_Model!O5</f>
        <v>7.1084586887529193</v>
      </c>
      <c r="D26" s="10">
        <f>Raw_Model!P5</f>
        <v>14.039930494352372</v>
      </c>
      <c r="E26" s="10"/>
      <c r="F26" s="10">
        <f>Marginal_Model!N5</f>
        <v>7.8243228955970974</v>
      </c>
      <c r="G26" s="10">
        <f>Marginal_Model!O5</f>
        <v>9.8165088898551289</v>
      </c>
      <c r="H26" s="10">
        <f>Marginal_Model!P5</f>
        <v>16.747980695454583</v>
      </c>
      <c r="I26" s="10"/>
      <c r="J26" s="10">
        <f>Combined_Model!G5</f>
        <v>7.8243228955970974</v>
      </c>
      <c r="K26" s="10">
        <f>Combined_Model!K5</f>
        <v>7.6500687289733609</v>
      </c>
      <c r="L26" s="10">
        <f>Combined_Model!O5</f>
        <v>14.581540534572813</v>
      </c>
      <c r="M26" s="10"/>
    </row>
    <row r="27" spans="1:13">
      <c r="A27" s="8">
        <f>Raw_Model!C6</f>
        <v>7</v>
      </c>
      <c r="B27" s="10">
        <f>Raw_Model!N6</f>
        <v>9.6160823648251519</v>
      </c>
      <c r="C27" s="10">
        <f>Raw_Model!O6</f>
        <v>7.8705987407998155</v>
      </c>
      <c r="D27" s="10">
        <f>Raw_Model!P6</f>
        <v>16.188364907519158</v>
      </c>
      <c r="E27" s="10"/>
      <c r="F27" s="10">
        <f>Marginal_Model!N6</f>
        <v>9.6160823648251519</v>
      </c>
      <c r="G27" s="10">
        <f>Marginal_Model!O6</f>
        <v>11.831411910397394</v>
      </c>
      <c r="H27" s="10">
        <f>Marginal_Model!P6</f>
        <v>20.149178077116737</v>
      </c>
      <c r="I27" s="10"/>
      <c r="J27" s="10">
        <f>Combined_Model!G6</f>
        <v>9.6160823648251519</v>
      </c>
      <c r="K27" s="10">
        <f>Combined_Model!K6</f>
        <v>8.6627613747193308</v>
      </c>
      <c r="L27" s="10">
        <f>Combined_Model!O6</f>
        <v>16.980527541438676</v>
      </c>
      <c r="M27" s="10"/>
    </row>
    <row r="28" spans="1:13">
      <c r="A28" s="8">
        <f>Raw_Model!C7</f>
        <v>8</v>
      </c>
      <c r="B28" s="10">
        <f>Raw_Model!N7</f>
        <v>11.506932736697438</v>
      </c>
      <c r="C28" s="10">
        <f>Raw_Model!O7</f>
        <v>8.4929377872085947</v>
      </c>
      <c r="D28" s="10">
        <f>Raw_Model!P7</f>
        <v>18.196998315047828</v>
      </c>
      <c r="E28" s="10"/>
      <c r="F28" s="10">
        <f>Marginal_Model!N7</f>
        <v>11.506932736697438</v>
      </c>
      <c r="G28" s="10">
        <f>Marginal_Model!O7</f>
        <v>13.840045317926064</v>
      </c>
      <c r="H28" s="10">
        <f>Marginal_Model!P7</f>
        <v>23.544105845765298</v>
      </c>
      <c r="I28" s="10"/>
      <c r="J28" s="10">
        <f>Combined_Model!G7</f>
        <v>11.506932736697438</v>
      </c>
      <c r="K28" s="10">
        <f>Combined_Model!K7</f>
        <v>9.5623592933520882</v>
      </c>
      <c r="L28" s="10">
        <f>Combined_Model!O7</f>
        <v>19.26641982119132</v>
      </c>
      <c r="M28" s="10"/>
    </row>
    <row r="29" spans="1:13">
      <c r="A29" s="8">
        <f>Raw_Model!C8</f>
        <v>9</v>
      </c>
      <c r="B29" s="10">
        <f>Raw_Model!N8</f>
        <v>13.512266306223552</v>
      </c>
      <c r="C29" s="10">
        <f>Raw_Model!O8</f>
        <v>8.9941939599584355</v>
      </c>
      <c r="D29" s="10">
        <f>Raw_Model!P8</f>
        <v>20.08454884891756</v>
      </c>
      <c r="E29" s="10"/>
      <c r="F29" s="10">
        <f>Marginal_Model!N8</f>
        <v>13.512266306223552</v>
      </c>
      <c r="G29" s="10">
        <f>Marginal_Model!O8</f>
        <v>15.845378887452178</v>
      </c>
      <c r="H29" s="10">
        <f>Marginal_Model!P8</f>
        <v>26.935733776411304</v>
      </c>
      <c r="I29" s="10"/>
      <c r="J29" s="10">
        <f>Combined_Model!G8</f>
        <v>13.512266306223552</v>
      </c>
      <c r="K29" s="10">
        <f>Combined_Model!K8</f>
        <v>10.364430945457183</v>
      </c>
      <c r="L29" s="10">
        <f>Combined_Model!O8</f>
        <v>21.45478583441631</v>
      </c>
      <c r="M29" s="10"/>
    </row>
    <row r="30" spans="1:13">
      <c r="A30" s="8">
        <f>Raw_Model!C9</f>
        <v>10</v>
      </c>
      <c r="B30" s="10">
        <f>Raw_Model!N9</f>
        <v>15.652332469719823</v>
      </c>
      <c r="C30" s="10">
        <f>Raw_Model!O9</f>
        <v>9.391290818396083</v>
      </c>
      <c r="D30" s="10">
        <f>Raw_Model!P9</f>
        <v>21.867940068475097</v>
      </c>
      <c r="E30" s="10"/>
      <c r="F30" s="10">
        <f>Marginal_Model!N9</f>
        <v>15.652332469719823</v>
      </c>
      <c r="G30" s="10">
        <f>Marginal_Model!O9</f>
        <v>17.851913658323927</v>
      </c>
      <c r="H30" s="10">
        <f>Marginal_Model!P9</f>
        <v>30.32856290840294</v>
      </c>
      <c r="I30" s="10"/>
      <c r="J30" s="10">
        <f>Combined_Model!G9</f>
        <v>15.652332469719823</v>
      </c>
      <c r="K30" s="10">
        <f>Combined_Model!K9</f>
        <v>11.083415386381651</v>
      </c>
      <c r="L30" s="10">
        <f>Combined_Model!O9</f>
        <v>23.560064636460663</v>
      </c>
      <c r="M30" s="10"/>
    </row>
    <row r="31" spans="1:13">
      <c r="A31" s="8">
        <f>Raw_Model!C10</f>
        <v>11</v>
      </c>
      <c r="B31" s="10">
        <f>Raw_Model!N10</f>
        <v>17.95491756271387</v>
      </c>
      <c r="C31" s="10">
        <f>Raw_Model!O10</f>
        <v>9.7014457466999229</v>
      </c>
      <c r="D31" s="10">
        <f>Raw_Model!P10</f>
        <v>23.564389357898829</v>
      </c>
      <c r="E31" s="10"/>
      <c r="F31" s="10">
        <f>Marginal_Model!N10</f>
        <v>17.95491756271387</v>
      </c>
      <c r="G31" s="10">
        <f>Marginal_Model!O10</f>
        <v>19.86681667886619</v>
      </c>
      <c r="H31" s="10">
        <f>Marginal_Model!P10</f>
        <v>33.729760290065094</v>
      </c>
      <c r="I31" s="10"/>
      <c r="J31" s="10">
        <f>Combined_Model!G10</f>
        <v>17.95491756271387</v>
      </c>
      <c r="K31" s="10">
        <f>Combined_Model!K10</f>
        <v>11.734519933133177</v>
      </c>
      <c r="L31" s="10">
        <f>Combined_Model!O10</f>
        <v>25.597463544332083</v>
      </c>
      <c r="M31" s="10"/>
    </row>
    <row r="32" spans="1:13">
      <c r="A32" s="8">
        <f>Raw_Model!C11</f>
        <v>12</v>
      </c>
      <c r="B32" s="10">
        <f>Raw_Model!N11</f>
        <v>20.460443499704606</v>
      </c>
      <c r="C32" s="10">
        <f>Raw_Model!O11</f>
        <v>9.9452085852168679</v>
      </c>
      <c r="D32" s="10">
        <f>Raw_Model!P11</f>
        <v>25.194446557535667</v>
      </c>
      <c r="E32" s="10"/>
      <c r="F32" s="10">
        <f>Marginal_Model!N11</f>
        <v>20.460443499704606</v>
      </c>
      <c r="G32" s="10">
        <f>Marginal_Model!O11</f>
        <v>21.902338986611191</v>
      </c>
      <c r="H32" s="10">
        <f>Marginal_Model!P11</f>
        <v>37.151576958929986</v>
      </c>
      <c r="I32" s="10"/>
      <c r="J32" s="10">
        <f>Combined_Model!G11</f>
        <v>20.460443499704606</v>
      </c>
      <c r="K32" s="10">
        <f>Combined_Model!K11</f>
        <v>12.336634665495732</v>
      </c>
      <c r="L32" s="10">
        <f>Combined_Model!O11</f>
        <v>27.585872637814532</v>
      </c>
      <c r="M32" s="10"/>
    </row>
    <row r="33" spans="1:13">
      <c r="A33" s="8">
        <f>Raw_Model!C12</f>
        <v>13</v>
      </c>
      <c r="B33" s="10">
        <f>Raw_Model!N12</f>
        <v>23.233032221944384</v>
      </c>
      <c r="C33" s="10">
        <f>Raw_Model!O12</f>
        <v>10.152847949995111</v>
      </c>
      <c r="D33" s="10">
        <f>Raw_Model!P12</f>
        <v>26.788380283433799</v>
      </c>
      <c r="E33" s="10"/>
      <c r="F33" s="10">
        <f>Marginal_Model!N12</f>
        <v>23.233032221944384</v>
      </c>
      <c r="G33" s="10">
        <f>Marginal_Model!O12</f>
        <v>23.981780528291026</v>
      </c>
      <c r="H33" s="10">
        <f>Marginal_Model!P12</f>
        <v>40.617312861729715</v>
      </c>
      <c r="I33" s="10"/>
      <c r="J33" s="10">
        <f>Combined_Model!G12</f>
        <v>23.233032221944384</v>
      </c>
      <c r="K33" s="10">
        <f>Combined_Model!K12</f>
        <v>12.918634465654293</v>
      </c>
      <c r="L33" s="10">
        <f>Combined_Model!O12</f>
        <v>29.554166799092982</v>
      </c>
      <c r="M33" s="10"/>
    </row>
    <row r="34" spans="1:13">
      <c r="A34" s="8">
        <f>Raw_Model!C13</f>
        <v>14</v>
      </c>
      <c r="B34" s="10">
        <f>Raw_Model!N13</f>
        <v>26.3900326430945</v>
      </c>
      <c r="C34" s="10">
        <f>Raw_Model!O13</f>
        <v>10.383108969078187</v>
      </c>
      <c r="D34" s="10">
        <f>Raw_Model!P13</f>
        <v>28.404935663636763</v>
      </c>
      <c r="E34" s="10"/>
      <c r="F34" s="10">
        <f>Marginal_Model!N13</f>
        <v>26.3900326430945</v>
      </c>
      <c r="G34" s="10">
        <f>Marginal_Model!O13</f>
        <v>26.157951696429414</v>
      </c>
      <c r="H34" s="10">
        <f>Marginal_Model!P13</f>
        <v>44.179778390987991</v>
      </c>
      <c r="I34" s="10"/>
      <c r="J34" s="10">
        <f>Combined_Model!G13</f>
        <v>26.3900326430945</v>
      </c>
      <c r="K34" s="10">
        <f>Combined_Model!K13</f>
        <v>13.538077514548432</v>
      </c>
      <c r="L34" s="10">
        <f>Combined_Model!O13</f>
        <v>31.559904209107007</v>
      </c>
      <c r="M34" s="10"/>
    </row>
    <row r="35" spans="1:13">
      <c r="A35" s="8">
        <f>Raw_Model!C14</f>
        <v>15</v>
      </c>
      <c r="B35" s="10">
        <f>Raw_Model!N14</f>
        <v>30.218674039583593</v>
      </c>
      <c r="C35" s="10">
        <f>Raw_Model!O14</f>
        <v>10.810552983905126</v>
      </c>
      <c r="D35" s="10">
        <f>Raw_Model!P14</f>
        <v>30.218674039583593</v>
      </c>
      <c r="E35" s="10"/>
      <c r="F35" s="10">
        <f>Marginal_Model!N14</f>
        <v>30.218674039583593</v>
      </c>
      <c r="G35" s="10">
        <f>Marginal_Model!O14</f>
        <v>28.600298731798617</v>
      </c>
      <c r="H35" s="10">
        <f>Marginal_Model!P14</f>
        <v>48.008419787477088</v>
      </c>
      <c r="I35" s="10"/>
      <c r="J35" s="10">
        <f>Combined_Model!G14</f>
        <v>30.218674039583593</v>
      </c>
      <c r="K35" s="10">
        <f>Combined_Model!K14</f>
        <v>14.368502133483823</v>
      </c>
      <c r="L35" s="10">
        <f>Combined_Model!O14</f>
        <v>33.776623189162294</v>
      </c>
      <c r="M35" s="10"/>
    </row>
    <row r="39" spans="1:13" ht="12.55" customHeight="1">
      <c r="A39" s="35" t="s">
        <v>116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1:13" ht="19.399999999999999" customHeight="1">
      <c r="A40" s="7" t="s">
        <v>91</v>
      </c>
      <c r="B40" s="7" t="s">
        <v>103</v>
      </c>
      <c r="C40" s="7" t="s">
        <v>104</v>
      </c>
      <c r="D40" s="7" t="s">
        <v>105</v>
      </c>
      <c r="E40" s="7" t="s">
        <v>106</v>
      </c>
      <c r="F40" s="7" t="s">
        <v>107</v>
      </c>
      <c r="G40" s="7" t="s">
        <v>108</v>
      </c>
      <c r="H40" s="7" t="s">
        <v>109</v>
      </c>
      <c r="I40" s="7" t="s">
        <v>110</v>
      </c>
      <c r="J40" s="7" t="s">
        <v>111</v>
      </c>
      <c r="K40" s="7" t="s">
        <v>112</v>
      </c>
      <c r="L40" s="7" t="s">
        <v>113</v>
      </c>
      <c r="M40" s="7" t="s">
        <v>114</v>
      </c>
    </row>
    <row r="41" spans="1:13">
      <c r="A41" s="8">
        <f>Raw_Model!C15</f>
        <v>3</v>
      </c>
      <c r="B41" s="9">
        <f>Raw_Model!G15</f>
        <v>3.3691225472047399E-2</v>
      </c>
      <c r="C41" s="9">
        <f>Raw_Model!I15</f>
        <v>2.4065161051462423E-2</v>
      </c>
      <c r="D41" s="9">
        <f>Raw_Model!K15</f>
        <v>9.6260644205849687E-4</v>
      </c>
      <c r="E41" s="9">
        <f>Raw_Model!M15</f>
        <v>2.2213994816734544E-3</v>
      </c>
      <c r="F41" s="9">
        <f>Marginal_Model!J15</f>
        <v>3.3691225472047399E-2</v>
      </c>
      <c r="G41" s="9">
        <f>Marginal_Model!K15</f>
        <v>2.4065161051462423E-2</v>
      </c>
      <c r="H41" s="9">
        <f>Marginal_Model!L15</f>
        <v>9.6260644205849687E-4</v>
      </c>
      <c r="I41" s="9">
        <f>Marginal_Model!M15</f>
        <v>2.2213994816734544E-3</v>
      </c>
      <c r="J41" s="9">
        <f>Combined_Model!F15</f>
        <v>3.3691225472047406E-2</v>
      </c>
      <c r="K41" s="9">
        <f>Combined_Model!J15</f>
        <v>2.4065161051462419E-2</v>
      </c>
      <c r="L41" s="9">
        <f>Combined_Model!N15</f>
        <v>9.6260644205849698E-4</v>
      </c>
      <c r="M41" s="9">
        <f>Combined_Model!R15</f>
        <v>2.2213994816734548E-3</v>
      </c>
    </row>
    <row r="42" spans="1:13">
      <c r="A42" s="8">
        <f>Raw_Model!C16</f>
        <v>4</v>
      </c>
      <c r="B42" s="9">
        <f>Raw_Model!G16</f>
        <v>5.6152042453412312E-3</v>
      </c>
      <c r="C42" s="9">
        <f>Raw_Model!I16</f>
        <v>6.1705541157595955E-3</v>
      </c>
      <c r="D42" s="9">
        <f>Raw_Model!K16</f>
        <v>4.936443292607676E-5</v>
      </c>
      <c r="E42" s="9">
        <f>Raw_Model!M16</f>
        <v>6.1705541157595955E-5</v>
      </c>
      <c r="F42" s="9">
        <f>Marginal_Model!J16</f>
        <v>5.6152042453412329E-3</v>
      </c>
      <c r="G42" s="9">
        <f>Marginal_Model!K16</f>
        <v>3.0852770578797973E-3</v>
      </c>
      <c r="H42" s="9">
        <f>Marginal_Model!L16</f>
        <v>2.468221646303838E-5</v>
      </c>
      <c r="I42" s="9">
        <f>Marginal_Model!M16</f>
        <v>6.1705541157595955E-5</v>
      </c>
      <c r="J42" s="9">
        <f>Combined_Model!F16</f>
        <v>5.6152042453412321E-3</v>
      </c>
      <c r="K42" s="9">
        <f>Combined_Model!J16</f>
        <v>5.3717793613237324E-3</v>
      </c>
      <c r="L42" s="9">
        <f>Combined_Model!N16</f>
        <v>4.2974234890589874E-5</v>
      </c>
      <c r="M42" s="9">
        <f>Combined_Model!R16</f>
        <v>6.1705541157595914E-5</v>
      </c>
    </row>
    <row r="43" spans="1:13">
      <c r="A43" s="8">
        <f>Raw_Model!C17</f>
        <v>5</v>
      </c>
      <c r="B43" s="9">
        <f>Raw_Model!G17</f>
        <v>8.6996122110920488E-4</v>
      </c>
      <c r="C43" s="9">
        <f>Raw_Model!I17</f>
        <v>1.9916694622463481E-3</v>
      </c>
      <c r="D43" s="9">
        <f>Raw_Model!K17</f>
        <v>3.1866711395941571E-6</v>
      </c>
      <c r="E43" s="9">
        <f>Raw_Model!M17</f>
        <v>8.6909212898022464E-7</v>
      </c>
      <c r="F43" s="9">
        <f>Marginal_Model!J17</f>
        <v>8.6996122110920499E-4</v>
      </c>
      <c r="G43" s="9">
        <f>Marginal_Model!K17</f>
        <v>3.9833389244926961E-4</v>
      </c>
      <c r="H43" s="9">
        <f>Marginal_Model!L17</f>
        <v>6.3733422791883147E-7</v>
      </c>
      <c r="I43" s="9">
        <f>Marginal_Model!M17</f>
        <v>8.6909212898022475E-7</v>
      </c>
      <c r="J43" s="9">
        <f>Combined_Model!F17</f>
        <v>8.6996122110920499E-4</v>
      </c>
      <c r="K43" s="9">
        <f>Combined_Model!J17</f>
        <v>1.4435215230040447E-3</v>
      </c>
      <c r="L43" s="9">
        <f>Combined_Model!N17</f>
        <v>2.3096344368064705E-6</v>
      </c>
      <c r="M43" s="9">
        <f>Combined_Model!R17</f>
        <v>8.6909212898022496E-7</v>
      </c>
    </row>
    <row r="44" spans="1:13">
      <c r="A44" s="8">
        <f>Raw_Model!C18</f>
        <v>6</v>
      </c>
      <c r="B44" s="9">
        <f>Raw_Model!G18</f>
        <v>1.2428017444417213E-4</v>
      </c>
      <c r="C44" s="9">
        <f>Raw_Model!I18</f>
        <v>7.7597511516091491E-4</v>
      </c>
      <c r="D44" s="9">
        <f>Raw_Model!K18</f>
        <v>2.4831203685149274E-7</v>
      </c>
      <c r="E44" s="9"/>
      <c r="F44" s="9">
        <f>Marginal_Model!J18</f>
        <v>1.2428017444417213E-4</v>
      </c>
      <c r="G44" s="9">
        <f>Marginal_Model!K18</f>
        <v>5.1731674344060982E-5</v>
      </c>
      <c r="H44" s="9">
        <f>Marginal_Model!L18</f>
        <v>1.6554135790099519E-8</v>
      </c>
      <c r="I44" s="9"/>
      <c r="J44" s="9">
        <f>Combined_Model!F18</f>
        <v>1.2428017444417213E-4</v>
      </c>
      <c r="K44" s="9">
        <f>Combined_Model!J18</f>
        <v>4.5147067083536663E-4</v>
      </c>
      <c r="L44" s="9">
        <f>Combined_Model!N18</f>
        <v>1.4447061466731749E-7</v>
      </c>
      <c r="M44" s="9"/>
    </row>
    <row r="45" spans="1:13">
      <c r="A45" s="8">
        <f>Raw_Model!C19</f>
        <v>7</v>
      </c>
      <c r="B45" s="9">
        <f>Raw_Model!G19</f>
        <v>1.6210457536196364E-5</v>
      </c>
      <c r="C45" s="9">
        <f>Raw_Model!I19</f>
        <v>3.542495090952003E-4</v>
      </c>
      <c r="D45" s="9">
        <f>Raw_Model!K19</f>
        <v>2.2671968582092816E-8</v>
      </c>
      <c r="E45" s="9"/>
      <c r="F45" s="9">
        <f>Marginal_Model!J19</f>
        <v>1.6210457536196364E-5</v>
      </c>
      <c r="G45" s="9">
        <f>Marginal_Model!K19</f>
        <v>6.7476096970514322E-6</v>
      </c>
      <c r="H45" s="9">
        <f>Marginal_Model!L19</f>
        <v>4.3184702061129177E-10</v>
      </c>
      <c r="I45" s="9"/>
      <c r="J45" s="9">
        <f>Combined_Model!F19</f>
        <v>1.6210457536196354E-5</v>
      </c>
      <c r="K45" s="9">
        <f>Combined_Model!J19</f>
        <v>1.6042697568705426E-4</v>
      </c>
      <c r="L45" s="9">
        <f>Combined_Model!N19</f>
        <v>1.0267326443971447E-8</v>
      </c>
      <c r="M45" s="9"/>
    </row>
    <row r="46" spans="1:13">
      <c r="A46" s="8">
        <f>Raw_Model!C20</f>
        <v>8</v>
      </c>
      <c r="B46" s="9">
        <f>Raw_Model!G20</f>
        <v>1.9071126513172191E-6</v>
      </c>
      <c r="C46" s="9">
        <f>Raw_Model!I20</f>
        <v>1.8522850148768643E-4</v>
      </c>
      <c r="D46" s="9">
        <f>Raw_Model!K20</f>
        <v>2.3709248190423861E-9</v>
      </c>
      <c r="E46" s="9"/>
      <c r="F46" s="9">
        <f>Marginal_Model!J20</f>
        <v>1.9071126513172193E-6</v>
      </c>
      <c r="G46" s="9">
        <f>Marginal_Model!K20</f>
        <v>8.8204048327469711E-7</v>
      </c>
      <c r="H46" s="9">
        <f>Marginal_Model!L20</f>
        <v>1.1290118185916125E-11</v>
      </c>
      <c r="I46" s="9"/>
      <c r="J46" s="9">
        <f>Combined_Model!F20</f>
        <v>1.9071126513172199E-6</v>
      </c>
      <c r="K46" s="9">
        <f>Combined_Model!J20</f>
        <v>6.3571718892556478E-5</v>
      </c>
      <c r="L46" s="9">
        <f>Combined_Model!N20</f>
        <v>8.1371800182472139E-10</v>
      </c>
      <c r="M46" s="9"/>
    </row>
    <row r="47" spans="1:13">
      <c r="A47" s="8">
        <f>Raw_Model!C21</f>
        <v>9</v>
      </c>
      <c r="B47" s="9">
        <f>Raw_Model!G21</f>
        <v>1.9925057551075426E-7</v>
      </c>
      <c r="C47" s="9">
        <f>Raw_Model!I21</f>
        <v>1.0885630218026348E-4</v>
      </c>
      <c r="D47" s="9">
        <f>Raw_Model!K21</f>
        <v>2.7867213358147451E-10</v>
      </c>
      <c r="E47" s="9"/>
      <c r="F47" s="9">
        <f>Marginal_Model!J21</f>
        <v>1.9925057551075426E-7</v>
      </c>
      <c r="G47" s="9">
        <f>Marginal_Model!K21</f>
        <v>1.1519185415900895E-7</v>
      </c>
      <c r="H47" s="9">
        <f>Marginal_Model!L21</f>
        <v>2.9489114664706294E-13</v>
      </c>
      <c r="I47" s="9"/>
      <c r="J47" s="9">
        <f>Combined_Model!F21</f>
        <v>1.9925057551075423E-7</v>
      </c>
      <c r="K47" s="9">
        <f>Combined_Model!J21</f>
        <v>2.7654589461879712E-5</v>
      </c>
      <c r="L47" s="9">
        <f>Combined_Model!N21</f>
        <v>7.0795749022411863E-11</v>
      </c>
      <c r="M47" s="9"/>
    </row>
    <row r="48" spans="1:13">
      <c r="A48" s="8">
        <f>Raw_Model!C22</f>
        <v>10</v>
      </c>
      <c r="B48" s="9">
        <f>Raw_Model!G22</f>
        <v>1.8113688682795842E-8</v>
      </c>
      <c r="C48" s="9">
        <f>Raw_Model!I22</f>
        <v>7.068591050666459E-5</v>
      </c>
      <c r="D48" s="9">
        <f>Raw_Model!K22</f>
        <v>3.6191186179412269E-11</v>
      </c>
      <c r="E48" s="9"/>
      <c r="F48" s="9">
        <f>Marginal_Model!J22</f>
        <v>1.8113688682795842E-8</v>
      </c>
      <c r="G48" s="9">
        <f>Marginal_Model!K22</f>
        <v>1.4959981059611549E-8</v>
      </c>
      <c r="H48" s="9">
        <f>Marginal_Model!L22</f>
        <v>7.6595103025211163E-15</v>
      </c>
      <c r="I48" s="9"/>
      <c r="J48" s="9">
        <f>Combined_Model!F22</f>
        <v>1.8113688682795868E-8</v>
      </c>
      <c r="K48" s="9">
        <f>Combined_Model!J22</f>
        <v>1.3015249382679171E-5</v>
      </c>
      <c r="L48" s="9">
        <f>Combined_Model!N22</f>
        <v>6.6638076839317455E-12</v>
      </c>
      <c r="M48" s="9"/>
    </row>
    <row r="49" spans="1:13">
      <c r="A49" s="8">
        <f>Raw_Model!C23</f>
        <v>11</v>
      </c>
      <c r="B49" s="9">
        <f>Raw_Model!G23</f>
        <v>1.3933606679073726E-9</v>
      </c>
      <c r="C49" s="9">
        <f>Raw_Model!I23</f>
        <v>4.9842629203417343E-5</v>
      </c>
      <c r="D49" s="9">
        <f>Raw_Model!K23</f>
        <v>5.1038852304299359E-12</v>
      </c>
      <c r="E49" s="9"/>
      <c r="F49" s="9">
        <f>Marginal_Model!J23</f>
        <v>1.3933606679073726E-9</v>
      </c>
      <c r="G49" s="9">
        <f>Marginal_Model!K23</f>
        <v>1.9179462896937883E-9</v>
      </c>
      <c r="H49" s="9">
        <f>Marginal_Model!L23</f>
        <v>1.9639770006464401E-16</v>
      </c>
      <c r="I49" s="9"/>
      <c r="J49" s="9">
        <f>Combined_Model!F23</f>
        <v>1.3933606679073703E-9</v>
      </c>
      <c r="K49" s="9">
        <f>Combined_Model!J23</f>
        <v>6.5260146271381905E-6</v>
      </c>
      <c r="L49" s="9">
        <f>Combined_Model!N23</f>
        <v>6.6826389781894985E-13</v>
      </c>
      <c r="M49" s="9"/>
    </row>
    <row r="50" spans="1:13">
      <c r="A50" s="8">
        <f>Raw_Model!C24</f>
        <v>12</v>
      </c>
      <c r="B50" s="9">
        <f>Raw_Model!G24</f>
        <v>8.7085041744210772E-11</v>
      </c>
      <c r="C50" s="9">
        <f>Raw_Model!I24</f>
        <v>3.7381971902562994E-5</v>
      </c>
      <c r="D50" s="9">
        <f>Raw_Model!K24</f>
        <v>7.6558278456449014E-13</v>
      </c>
      <c r="E50" s="9"/>
      <c r="F50" s="9">
        <f>Marginal_Model!J24</f>
        <v>8.7085041744210785E-11</v>
      </c>
      <c r="G50" s="9">
        <f>Marginal_Model!K24</f>
        <v>2.3974328621172353E-10</v>
      </c>
      <c r="H50" s="9">
        <f>Marginal_Model!L24</f>
        <v>4.9099425016161006E-18</v>
      </c>
      <c r="I50" s="9"/>
      <c r="J50" s="9">
        <f>Combined_Model!F24</f>
        <v>8.7085041744210927E-11</v>
      </c>
      <c r="K50" s="9">
        <f>Combined_Model!J24</f>
        <v>3.4204169992081243E-6</v>
      </c>
      <c r="L50" s="9">
        <f>Combined_Model!N24</f>
        <v>7.0050140143782347E-14</v>
      </c>
      <c r="M50" s="9"/>
    </row>
    <row r="51" spans="1:13">
      <c r="A51" s="8">
        <f>Raw_Model!C25</f>
        <v>13</v>
      </c>
      <c r="B51" s="9">
        <f>Raw_Model!G25</f>
        <v>4.146906749724323E-12</v>
      </c>
      <c r="C51" s="9">
        <f>Raw_Model!I25</f>
        <v>2.8926525876983283E-5</v>
      </c>
      <c r="D51" s="9">
        <f>Raw_Model!K25</f>
        <v>1.1848304999212352E-13</v>
      </c>
      <c r="E51" s="9"/>
      <c r="F51" s="9">
        <f>Marginal_Model!J25</f>
        <v>4.146906749724323E-12</v>
      </c>
      <c r="G51" s="9">
        <f>Marginal_Model!K25</f>
        <v>2.8540867406157561E-11</v>
      </c>
      <c r="H51" s="9">
        <f>Marginal_Model!L25</f>
        <v>1.1690339289562144E-19</v>
      </c>
      <c r="I51" s="9"/>
      <c r="J51" s="9">
        <f>Combined_Model!F25</f>
        <v>4.1469067497243165E-12</v>
      </c>
      <c r="K51" s="9">
        <f>Combined_Model!J25</f>
        <v>1.8202475510628632E-6</v>
      </c>
      <c r="L51" s="9">
        <f>Combined_Model!N25</f>
        <v>7.4557339691534894E-15</v>
      </c>
      <c r="M51" s="9"/>
    </row>
    <row r="52" spans="1:13">
      <c r="A52" s="8">
        <f>Raw_Model!C26</f>
        <v>14</v>
      </c>
      <c r="B52" s="9">
        <f>Raw_Model!G26</f>
        <v>1.3377118547497815E-13</v>
      </c>
      <c r="C52" s="9">
        <f>Raw_Model!I26</f>
        <v>2.1772653885901392E-5</v>
      </c>
      <c r="D52" s="9">
        <f>Raw_Model!K26</f>
        <v>1.783615806333042E-14</v>
      </c>
      <c r="E52" s="9"/>
      <c r="F52" s="9">
        <f>Marginal_Model!J26</f>
        <v>1.3377118547497815E-13</v>
      </c>
      <c r="G52" s="9">
        <f>Marginal_Model!K26</f>
        <v>3.0689104737803827E-12</v>
      </c>
      <c r="H52" s="9">
        <f>Marginal_Model!L26</f>
        <v>2.5140514601208912E-21</v>
      </c>
      <c r="I52" s="9"/>
      <c r="J52" s="9">
        <f>Combined_Model!F26</f>
        <v>1.3377118547497808E-13</v>
      </c>
      <c r="K52" s="9">
        <f>Combined_Model!J26</f>
        <v>9.283803483693404E-7</v>
      </c>
      <c r="L52" s="9">
        <f>Combined_Model!N26</f>
        <v>7.6052918138416306E-16</v>
      </c>
      <c r="M52" s="9"/>
    </row>
    <row r="53" spans="1:13">
      <c r="A53" s="8">
        <f>Raw_Model!C27</f>
        <v>15</v>
      </c>
      <c r="B53" s="9">
        <f>Raw_Model!G27</f>
        <v>2.1929702536881659E-15</v>
      </c>
      <c r="C53" s="9">
        <f>Raw_Model!I27</f>
        <v>1.3384828208545935E-5</v>
      </c>
      <c r="D53" s="9">
        <f>Raw_Model!K27</f>
        <v>2.1929702536881659E-15</v>
      </c>
      <c r="E53" s="9"/>
      <c r="F53" s="9">
        <f>Marginal_Model!J27</f>
        <v>2.1929702536881667E-15</v>
      </c>
      <c r="G53" s="9">
        <f>Marginal_Model!K27</f>
        <v>2.515500388344576E-13</v>
      </c>
      <c r="H53" s="9">
        <f>Marginal_Model!L27</f>
        <v>4.1213958362637565E-23</v>
      </c>
      <c r="I53" s="9"/>
      <c r="J53" s="9">
        <f>Combined_Model!F27</f>
        <v>2.1929702536881592E-15</v>
      </c>
      <c r="K53" s="9">
        <f>Combined_Model!J27</f>
        <v>3.8143023801933179E-7</v>
      </c>
      <c r="L53" s="9">
        <f>Combined_Model!N27</f>
        <v>6.2493530197087097E-17</v>
      </c>
      <c r="M53" s="9"/>
    </row>
    <row r="56" spans="1:13" ht="12.55" customHeight="1">
      <c r="A56" s="35" t="s">
        <v>117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spans="1:13" ht="19.399999999999999" customHeight="1">
      <c r="A57" s="7" t="s">
        <v>91</v>
      </c>
      <c r="B57" s="7" t="s">
        <v>103</v>
      </c>
      <c r="C57" s="7" t="s">
        <v>104</v>
      </c>
      <c r="D57" s="7" t="s">
        <v>105</v>
      </c>
      <c r="E57" s="7" t="s">
        <v>106</v>
      </c>
      <c r="F57" s="7" t="s">
        <v>107</v>
      </c>
      <c r="G57" s="7" t="s">
        <v>108</v>
      </c>
      <c r="H57" s="7" t="s">
        <v>109</v>
      </c>
      <c r="I57" s="7" t="s">
        <v>110</v>
      </c>
      <c r="J57" s="7" t="s">
        <v>111</v>
      </c>
      <c r="K57" s="7" t="s">
        <v>112</v>
      </c>
      <c r="L57" s="7" t="s">
        <v>113</v>
      </c>
      <c r="M57" s="7" t="s">
        <v>114</v>
      </c>
    </row>
    <row r="58" spans="1:13">
      <c r="A58" s="8">
        <f>Raw_Model!C15</f>
        <v>3</v>
      </c>
      <c r="B58" s="10">
        <f>Raw_Model!N15</f>
        <v>3.3905178472757651</v>
      </c>
      <c r="C58" s="10">
        <f>Raw_Model!O15</f>
        <v>3.7269900838969785</v>
      </c>
      <c r="D58" s="10">
        <f>Raw_Model!P15</f>
        <v>6.9458659087651791</v>
      </c>
      <c r="E58" s="10">
        <f>Raw_Model!Q15</f>
        <v>6.1096178845645603</v>
      </c>
      <c r="F58" s="10">
        <f>Marginal_Model!N15</f>
        <v>3.3905178472757651</v>
      </c>
      <c r="G58" s="10">
        <f>Marginal_Model!O15</f>
        <v>3.7269900838969785</v>
      </c>
      <c r="H58" s="10">
        <f>Marginal_Model!P15</f>
        <v>6.9458659087651791</v>
      </c>
      <c r="I58" s="10">
        <f>Marginal_Model!Q15</f>
        <v>6.1096178845645603</v>
      </c>
      <c r="J58" s="10">
        <f>Combined_Model!G15</f>
        <v>3.3905178472757651</v>
      </c>
      <c r="K58" s="10">
        <f>Combined_Model!K15</f>
        <v>3.7269900838969785</v>
      </c>
      <c r="L58" s="10">
        <f>Combined_Model!O15</f>
        <v>6.9458659087651791</v>
      </c>
      <c r="M58" s="10">
        <f>Combined_Model!S15</f>
        <v>6.1096178845645603</v>
      </c>
    </row>
    <row r="59" spans="1:13">
      <c r="A59" s="8">
        <f>Raw_Model!C16</f>
        <v>4</v>
      </c>
      <c r="B59" s="10">
        <f>Raw_Model!N16</f>
        <v>5.1822773165038205</v>
      </c>
      <c r="C59" s="10">
        <f>Raw_Model!O16</f>
        <v>5.0879666370325793</v>
      </c>
      <c r="D59" s="10">
        <f>Raw_Model!P16</f>
        <v>9.91628037433488</v>
      </c>
      <c r="E59" s="10">
        <f>Raw_Model!Q16</f>
        <v>9.6931368230206711</v>
      </c>
      <c r="F59" s="10">
        <f>Marginal_Model!N16</f>
        <v>5.1822773165038205</v>
      </c>
      <c r="G59" s="10">
        <f>Marginal_Model!O16</f>
        <v>5.7811138175925247</v>
      </c>
      <c r="H59" s="10">
        <f>Marginal_Model!P16</f>
        <v>10.609427554894825</v>
      </c>
      <c r="I59" s="10">
        <f>Marginal_Model!Q16</f>
        <v>9.6931368230206711</v>
      </c>
      <c r="J59" s="10">
        <f>Combined_Model!G16</f>
        <v>5.1822773165038205</v>
      </c>
      <c r="K59" s="10">
        <f>Combined_Model!K16</f>
        <v>5.2265960731445684</v>
      </c>
      <c r="L59" s="10">
        <f>Combined_Model!O16</f>
        <v>10.054909810446869</v>
      </c>
      <c r="M59" s="10">
        <f>Combined_Model!S16</f>
        <v>9.6931368230206711</v>
      </c>
    </row>
    <row r="60" spans="1:13">
      <c r="A60" s="8">
        <f>Raw_Model!C17</f>
        <v>5</v>
      </c>
      <c r="B60" s="10">
        <f>Raw_Model!N17</f>
        <v>7.0470619207467653</v>
      </c>
      <c r="C60" s="10">
        <f>Raw_Model!O17</f>
        <v>6.2187820661953239</v>
      </c>
      <c r="D60" s="10">
        <f>Raw_Model!P17</f>
        <v>12.656533715931726</v>
      </c>
      <c r="E60" s="10">
        <f>Raw_Model!Q17</f>
        <v>13.955816700061986</v>
      </c>
      <c r="F60" s="10">
        <f>Marginal_Model!N17</f>
        <v>7.0470619207467653</v>
      </c>
      <c r="G60" s="10">
        <f>Marginal_Model!O17</f>
        <v>7.8282199786294244</v>
      </c>
      <c r="H60" s="10">
        <f>Marginal_Model!P17</f>
        <v>14.265971628365826</v>
      </c>
      <c r="I60" s="10">
        <f>Marginal_Model!Q17</f>
        <v>13.955816700061986</v>
      </c>
      <c r="J60" s="10">
        <f>Combined_Model!G17</f>
        <v>7.0470619207467653</v>
      </c>
      <c r="K60" s="10">
        <f>Combined_Model!K17</f>
        <v>6.5406696486821438</v>
      </c>
      <c r="L60" s="10">
        <f>Combined_Model!O17</f>
        <v>12.978421298418546</v>
      </c>
      <c r="M60" s="10">
        <f>Combined_Model!S17</f>
        <v>13.955816700061986</v>
      </c>
    </row>
    <row r="61" spans="1:13">
      <c r="A61" s="8">
        <f>Raw_Model!C18</f>
        <v>6</v>
      </c>
      <c r="B61" s="10">
        <f>Raw_Model!N18</f>
        <v>8.9929720698020787</v>
      </c>
      <c r="C61" s="10">
        <f>Raw_Model!O18</f>
        <v>7.1613901063868521</v>
      </c>
      <c r="D61" s="10">
        <f>Raw_Model!P18</f>
        <v>15.208579668557354</v>
      </c>
      <c r="E61" s="10"/>
      <c r="F61" s="10">
        <f>Marginal_Model!N18</f>
        <v>8.9929720698020787</v>
      </c>
      <c r="G61" s="10">
        <f>Marginal_Model!O18</f>
        <v>9.8694403074890626</v>
      </c>
      <c r="H61" s="10">
        <f>Marginal_Model!P18</f>
        <v>17.916629869659563</v>
      </c>
      <c r="I61" s="10"/>
      <c r="J61" s="10">
        <f>Combined_Model!G18</f>
        <v>8.9929720698020787</v>
      </c>
      <c r="K61" s="10">
        <f>Combined_Model!K18</f>
        <v>7.7030001466072937</v>
      </c>
      <c r="L61" s="10">
        <f>Combined_Model!O18</f>
        <v>15.750189708777794</v>
      </c>
      <c r="M61" s="10"/>
    </row>
    <row r="62" spans="1:13">
      <c r="A62" s="8">
        <f>Raw_Model!C19</f>
        <v>7</v>
      </c>
      <c r="B62" s="10">
        <f>Raw_Model!N19</f>
        <v>11.029853997063119</v>
      </c>
      <c r="C62" s="10">
        <f>Raw_Model!O19</f>
        <v>7.9455090651525238</v>
      </c>
      <c r="D62" s="10">
        <f>Raw_Model!P19</f>
        <v>17.602136539757126</v>
      </c>
      <c r="E62" s="10"/>
      <c r="F62" s="10">
        <f>Marginal_Model!N19</f>
        <v>11.029853997063119</v>
      </c>
      <c r="G62" s="10">
        <f>Marginal_Model!O19</f>
        <v>11.906322234750103</v>
      </c>
      <c r="H62" s="10">
        <f>Marginal_Model!P19</f>
        <v>21.562949709354704</v>
      </c>
      <c r="I62" s="10"/>
      <c r="J62" s="10">
        <f>Combined_Model!G19</f>
        <v>11.029853997063119</v>
      </c>
      <c r="K62" s="10">
        <f>Combined_Model!K19</f>
        <v>8.7376716990720382</v>
      </c>
      <c r="L62" s="10">
        <f>Combined_Model!O19</f>
        <v>18.394299173676643</v>
      </c>
      <c r="M62" s="10"/>
    </row>
    <row r="63" spans="1:13">
      <c r="A63" s="8">
        <f>Raw_Model!C20</f>
        <v>8</v>
      </c>
      <c r="B63" s="10">
        <f>Raw_Model!N20</f>
        <v>13.169920160559389</v>
      </c>
      <c r="C63" s="10">
        <f>Raw_Model!O20</f>
        <v>8.5939203518710787</v>
      </c>
      <c r="D63" s="10">
        <f>Raw_Model!P20</f>
        <v>19.859985738909781</v>
      </c>
      <c r="E63" s="10"/>
      <c r="F63" s="10">
        <f>Marginal_Model!N20</f>
        <v>13.169920160559389</v>
      </c>
      <c r="G63" s="10">
        <f>Marginal_Model!O20</f>
        <v>13.941027882588546</v>
      </c>
      <c r="H63" s="10">
        <f>Marginal_Model!P20</f>
        <v>25.207093269627251</v>
      </c>
      <c r="I63" s="10"/>
      <c r="J63" s="10">
        <f>Combined_Model!G20</f>
        <v>13.169920160559389</v>
      </c>
      <c r="K63" s="10">
        <f>Combined_Model!K20</f>
        <v>9.6633418580145722</v>
      </c>
      <c r="L63" s="10">
        <f>Combined_Model!O20</f>
        <v>20.929407245053277</v>
      </c>
      <c r="M63" s="10"/>
    </row>
    <row r="64" spans="1:13">
      <c r="A64" s="8">
        <f>Raw_Model!C21</f>
        <v>9</v>
      </c>
      <c r="B64" s="10">
        <f>Raw_Model!N21</f>
        <v>15.428702630895042</v>
      </c>
      <c r="C64" s="10">
        <f>Raw_Model!O21</f>
        <v>9.1254818741162467</v>
      </c>
      <c r="D64" s="10">
        <f>Raw_Model!P21</f>
        <v>22.000985173589051</v>
      </c>
      <c r="E64" s="10"/>
      <c r="F64" s="10">
        <f>Marginal_Model!N21</f>
        <v>15.428702630895042</v>
      </c>
      <c r="G64" s="10">
        <f>Marginal_Model!O21</f>
        <v>15.976666801609991</v>
      </c>
      <c r="H64" s="10">
        <f>Marginal_Model!P21</f>
        <v>28.852170101082791</v>
      </c>
      <c r="I64" s="10"/>
      <c r="J64" s="10">
        <f>Combined_Model!G21</f>
        <v>15.428702630895042</v>
      </c>
      <c r="K64" s="10">
        <f>Combined_Model!K21</f>
        <v>10.495718859614994</v>
      </c>
      <c r="L64" s="10">
        <f>Combined_Model!O21</f>
        <v>23.3712221590878</v>
      </c>
      <c r="M64" s="10"/>
    </row>
    <row r="65" spans="1:13">
      <c r="A65" s="8">
        <f>Raw_Model!C22</f>
        <v>10</v>
      </c>
      <c r="B65" s="10">
        <f>Raw_Model!N22</f>
        <v>17.826597903693411</v>
      </c>
      <c r="C65" s="10">
        <f>Raw_Model!O22</f>
        <v>9.5572642905417844</v>
      </c>
      <c r="D65" s="10">
        <f>Raw_Model!P22</f>
        <v>24.042205502448688</v>
      </c>
      <c r="E65" s="10"/>
      <c r="F65" s="10">
        <f>Marginal_Model!N22</f>
        <v>17.826597903693411</v>
      </c>
      <c r="G65" s="10">
        <f>Marginal_Model!O22</f>
        <v>18.017887130469628</v>
      </c>
      <c r="H65" s="10">
        <f>Marginal_Model!P22</f>
        <v>32.502828342376532</v>
      </c>
      <c r="I65" s="10"/>
      <c r="J65" s="10">
        <f>Combined_Model!G22</f>
        <v>17.826597903693411</v>
      </c>
      <c r="K65" s="10">
        <f>Combined_Model!K22</f>
        <v>11.249388858527352</v>
      </c>
      <c r="L65" s="10">
        <f>Combined_Model!O22</f>
        <v>25.734330070434254</v>
      </c>
      <c r="M65" s="10"/>
    </row>
    <row r="66" spans="1:13">
      <c r="A66" s="8">
        <f>Raw_Model!C23</f>
        <v>11</v>
      </c>
      <c r="B66" s="10">
        <f>Raw_Model!N23</f>
        <v>20.391547261154951</v>
      </c>
      <c r="C66" s="10">
        <f>Raw_Model!O23</f>
        <v>9.9066399319989049</v>
      </c>
      <c r="D66" s="10">
        <f>Raw_Model!P23</f>
        <v>26.00101905633991</v>
      </c>
      <c r="E66" s="10"/>
      <c r="F66" s="10">
        <f>Marginal_Model!N23</f>
        <v>20.391547261154951</v>
      </c>
      <c r="G66" s="10">
        <f>Marginal_Model!O23</f>
        <v>20.072010864165176</v>
      </c>
      <c r="H66" s="10">
        <f>Marginal_Model!P23</f>
        <v>36.166389988506175</v>
      </c>
      <c r="I66" s="10"/>
      <c r="J66" s="10">
        <f>Combined_Model!G23</f>
        <v>20.391547261154951</v>
      </c>
      <c r="K66" s="10">
        <f>Combined_Model!K23</f>
        <v>11.939714118432159</v>
      </c>
      <c r="L66" s="10">
        <f>Combined_Model!O23</f>
        <v>28.034093242773164</v>
      </c>
      <c r="M66" s="10"/>
    </row>
    <row r="67" spans="1:13">
      <c r="A67" s="8">
        <f>Raw_Model!C24</f>
        <v>12</v>
      </c>
      <c r="B67" s="10">
        <f>Raw_Model!N24</f>
        <v>23.164135983394729</v>
      </c>
      <c r="C67" s="10">
        <f>Raw_Model!O24</f>
        <v>10.194322004450687</v>
      </c>
      <c r="D67" s="10">
        <f>Raw_Model!P24</f>
        <v>27.898139041225789</v>
      </c>
      <c r="E67" s="10"/>
      <c r="F67" s="10">
        <f>Marginal_Model!N24</f>
        <v>23.164135983394729</v>
      </c>
      <c r="G67" s="10">
        <f>Marginal_Model!O24</f>
        <v>22.15145240584501</v>
      </c>
      <c r="H67" s="10">
        <f>Marginal_Model!P24</f>
        <v>39.855269442620113</v>
      </c>
      <c r="I67" s="10"/>
      <c r="J67" s="10">
        <f>Combined_Model!G24</f>
        <v>23.164135983394729</v>
      </c>
      <c r="K67" s="10">
        <f>Combined_Model!K24</f>
        <v>12.58574808472955</v>
      </c>
      <c r="L67" s="10">
        <f>Combined_Model!O24</f>
        <v>30.289565121504655</v>
      </c>
      <c r="M67" s="10"/>
    </row>
    <row r="68" spans="1:13">
      <c r="A68" s="8">
        <f>Raw_Model!C25</f>
        <v>13</v>
      </c>
      <c r="B68" s="10">
        <f>Raw_Model!N25</f>
        <v>26.208658421118155</v>
      </c>
      <c r="C68" s="10">
        <f>Raw_Model!O25</f>
        <v>10.450751533398362</v>
      </c>
      <c r="D68" s="10">
        <f>Raw_Model!P25</f>
        <v>29.764006482607567</v>
      </c>
      <c r="E68" s="10"/>
      <c r="F68" s="10">
        <f>Marginal_Model!N25</f>
        <v>26.208658421118155</v>
      </c>
      <c r="G68" s="10">
        <f>Marginal_Model!O25</f>
        <v>24.279684111694277</v>
      </c>
      <c r="H68" s="10">
        <f>Marginal_Model!P25</f>
        <v>43.592939060903483</v>
      </c>
      <c r="I68" s="10"/>
      <c r="J68" s="10">
        <f>Combined_Model!G25</f>
        <v>26.208658421118155</v>
      </c>
      <c r="K68" s="10">
        <f>Combined_Model!K25</f>
        <v>13.216538049057545</v>
      </c>
      <c r="L68" s="10">
        <f>Combined_Model!O25</f>
        <v>32.52979299826675</v>
      </c>
      <c r="M68" s="10"/>
    </row>
    <row r="69" spans="1:13">
      <c r="A69" s="8">
        <f>Raw_Model!C26</f>
        <v>14</v>
      </c>
      <c r="B69" s="10">
        <f>Raw_Model!N26</f>
        <v>29.642645625603301</v>
      </c>
      <c r="C69" s="10">
        <f>Raw_Model!O26</f>
        <v>10.73485578450226</v>
      </c>
      <c r="D69" s="10">
        <f>Raw_Model!P26</f>
        <v>31.657548646145564</v>
      </c>
      <c r="E69" s="10"/>
      <c r="F69" s="10">
        <f>Marginal_Model!N26</f>
        <v>29.642645625603301</v>
      </c>
      <c r="G69" s="10">
        <f>Marginal_Model!O26</f>
        <v>26.50969851185349</v>
      </c>
      <c r="H69" s="10">
        <f>Marginal_Model!P26</f>
        <v>47.432391373496792</v>
      </c>
      <c r="I69" s="10"/>
      <c r="J69" s="10">
        <f>Combined_Model!G26</f>
        <v>29.642645625603301</v>
      </c>
      <c r="K69" s="10">
        <f>Combined_Model!K26</f>
        <v>13.889824329972505</v>
      </c>
      <c r="L69" s="10">
        <f>Combined_Model!O26</f>
        <v>34.812517191615811</v>
      </c>
      <c r="M69" s="10"/>
    </row>
    <row r="70" spans="1:13">
      <c r="A70" s="8">
        <f>Raw_Model!C27</f>
        <v>15</v>
      </c>
      <c r="B70" s="10">
        <f>Raw_Model!N27</f>
        <v>33.753519489776615</v>
      </c>
      <c r="C70" s="10">
        <f>Raw_Model!O27</f>
        <v>11.221388715699206</v>
      </c>
      <c r="D70" s="10">
        <f>Raw_Model!P27</f>
        <v>33.753519489776615</v>
      </c>
      <c r="E70" s="10"/>
      <c r="F70" s="10">
        <f>Marginal_Model!N27</f>
        <v>33.753519489776615</v>
      </c>
      <c r="G70" s="10">
        <f>Marginal_Model!O27</f>
        <v>29.0111344635927</v>
      </c>
      <c r="H70" s="10">
        <f>Marginal_Model!P27</f>
        <v>51.543265237670106</v>
      </c>
      <c r="I70" s="10"/>
      <c r="J70" s="10">
        <f>Combined_Model!G27</f>
        <v>33.753519489776615</v>
      </c>
      <c r="K70" s="10">
        <f>Combined_Model!K27</f>
        <v>14.779337865277903</v>
      </c>
      <c r="L70" s="10">
        <f>Combined_Model!O27</f>
        <v>37.311468639355311</v>
      </c>
      <c r="M70" s="10"/>
    </row>
    <row r="72" spans="1:13">
      <c r="A72" s="28" t="s">
        <v>118</v>
      </c>
      <c r="B72" s="28" t="s">
        <v>119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</row>
  </sheetData>
  <mergeCells count="6">
    <mergeCell ref="A56:M56"/>
    <mergeCell ref="A1:M1"/>
    <mergeCell ref="A2:M2"/>
    <mergeCell ref="A4:M4"/>
    <mergeCell ref="A21:M21"/>
    <mergeCell ref="A39:M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7"/>
  <sheetViews>
    <sheetView workbookViewId="0"/>
  </sheetViews>
  <sheetFormatPr defaultRowHeight="14.15"/>
  <cols>
    <col min="1" max="1" width="4.2109375" customWidth="1"/>
    <col min="2" max="2" width="8.2109375" customWidth="1"/>
    <col min="3" max="3" width="11.85546875" customWidth="1"/>
    <col min="4" max="4" width="4.85546875" customWidth="1"/>
    <col min="5" max="5" width="10.2109375" customWidth="1"/>
    <col min="6" max="6" width="5.7109375" customWidth="1"/>
    <col min="7" max="7" width="10.7109375" customWidth="1"/>
    <col min="8" max="8" width="6.640625" customWidth="1"/>
    <col min="9" max="9" width="8.35546875" customWidth="1"/>
    <col min="10" max="12" width="10.2109375" customWidth="1"/>
    <col min="13" max="13" width="11.5" customWidth="1"/>
    <col min="14" max="14" width="11.640625" customWidth="1"/>
    <col min="15" max="15" width="11.5" customWidth="1"/>
    <col min="16" max="16" width="12.5" customWidth="1"/>
    <col min="17" max="17" width="14.2109375" customWidth="1"/>
    <col min="18" max="21" width="10.2109375" customWidth="1"/>
  </cols>
  <sheetData>
    <row r="1" spans="1:21" ht="28.3">
      <c r="A1" s="12" t="s">
        <v>28</v>
      </c>
      <c r="B1" s="12" t="s">
        <v>29</v>
      </c>
      <c r="C1" s="12" t="s">
        <v>120</v>
      </c>
      <c r="D1" s="12" t="s">
        <v>30</v>
      </c>
      <c r="E1" s="12" t="s">
        <v>31</v>
      </c>
      <c r="F1" s="16" t="s">
        <v>121</v>
      </c>
      <c r="G1" s="16" t="s">
        <v>122</v>
      </c>
      <c r="H1" s="16" t="s">
        <v>123</v>
      </c>
      <c r="I1" s="16" t="s">
        <v>124</v>
      </c>
      <c r="J1" s="17" t="s">
        <v>125</v>
      </c>
      <c r="K1" s="17" t="s">
        <v>126</v>
      </c>
      <c r="L1" s="17" t="s">
        <v>127</v>
      </c>
      <c r="M1" s="17" t="s">
        <v>128</v>
      </c>
      <c r="N1" s="17" t="s">
        <v>129</v>
      </c>
      <c r="O1" s="17" t="s">
        <v>130</v>
      </c>
      <c r="P1" s="17" t="s">
        <v>131</v>
      </c>
      <c r="Q1" s="17" t="s">
        <v>132</v>
      </c>
      <c r="R1" s="18" t="s">
        <v>133</v>
      </c>
      <c r="S1" s="18" t="s">
        <v>134</v>
      </c>
      <c r="T1" s="18" t="s">
        <v>135</v>
      </c>
      <c r="U1" s="18" t="s">
        <v>136</v>
      </c>
    </row>
    <row r="2" spans="1:21">
      <c r="A2">
        <v>1</v>
      </c>
      <c r="B2">
        <f>IF(A2=1,Inputs!$B$5,Inputs!$B$6)</f>
        <v>4</v>
      </c>
      <c r="C2">
        <f>Inputs!$B$9</f>
        <v>15</v>
      </c>
      <c r="D2">
        <v>3</v>
      </c>
      <c r="E2">
        <f>B2*Inputs!$B$4</f>
        <v>60</v>
      </c>
      <c r="F2">
        <f>B2*COMBIN(Inputs!$B$4,D2)</f>
        <v>1820.0000000000002</v>
      </c>
      <c r="G2">
        <f>(Inputs!$B$4-D2+1)*B2^D2</f>
        <v>832</v>
      </c>
      <c r="H2">
        <f>B2*(Inputs!$B$4-D2+1)</f>
        <v>52</v>
      </c>
      <c r="I2">
        <f>IF(D2&lt;=B2,Inputs!$B$4*COMBIN(B2,D2),"")</f>
        <v>60</v>
      </c>
      <c r="J2">
        <f t="shared" ref="J2:J27" si="0">IF(C2&lt;D2,0,F2*COMBIN(E2-D2,C2-D2)/COMBIN(E2,C2))</f>
        <v>24.199298655756863</v>
      </c>
      <c r="K2">
        <f t="shared" ref="K2:K27" si="1">IF(C2&lt;D2,0,G2*COMBIN(E2-D2,C2-D2)/COMBIN(E2,C2))</f>
        <v>11.062536528345992</v>
      </c>
      <c r="L2">
        <f t="shared" ref="L2:L27" si="2">IF(C2&lt;D2,0,H2*COMBIN(E2-D2,C2-D2)/COMBIN(E2,C2))</f>
        <v>0.69140853302162453</v>
      </c>
      <c r="M2">
        <f t="shared" ref="M2:M27" si="3">IF(I2="","",IF(C2&lt;D2,0,I2*COMBIN(E2-D2,C2-D2)/COMBIN(E2,C2)))</f>
        <v>0.79777907656341307</v>
      </c>
      <c r="N2">
        <f t="shared" ref="N2:N27" si="4">IF(D2&gt;C2,"",IF(J2&lt;0.00000001,J2,1-EXP(-J2)))</f>
        <v>0.99999999996907007</v>
      </c>
      <c r="O2">
        <f t="shared" ref="O2:O27" si="5">IF(D2&gt;C2,"",IF(K2&lt;0.00000001,K2,1-EXP(-K2)))</f>
        <v>0.99998431077721828</v>
      </c>
      <c r="P2">
        <f t="shared" ref="P2:P27" si="6">IF(D2&gt;C2,"",IF(L2&lt;0.00000001,L2,1-EXP(-L2)))</f>
        <v>0.49912992006885437</v>
      </c>
      <c r="Q2">
        <f t="shared" ref="Q2:Q27" si="7">IF(OR(D2&gt;C2,D2&gt;B2),"",IF(M2&lt;0.00000001,M2,1-EXP(-M2)))</f>
        <v>0.54967200167703711</v>
      </c>
      <c r="R2">
        <f t="shared" ref="R2:R27" si="8">IF(D2&gt;C2,"",-LN(N2))</f>
        <v>3.0929925288115491E-11</v>
      </c>
      <c r="S2">
        <f t="shared" ref="S2:S27" si="9">IF(D2&gt;C2,"",-LN(O2))</f>
        <v>1.5689345858865983E-5</v>
      </c>
      <c r="T2">
        <f t="shared" ref="T2:T27" si="10">IF(D2&gt;C2,"",-LN(P2))</f>
        <v>0.69488885625919738</v>
      </c>
      <c r="U2">
        <f t="shared" ref="U2:U27" si="11">IF(OR(D2&gt;C2,D2&gt;B2),"",-LN(Q2))</f>
        <v>0.59843353923653009</v>
      </c>
    </row>
    <row r="3" spans="1:21">
      <c r="A3">
        <v>1</v>
      </c>
      <c r="B3">
        <f>IF(A3=1,Inputs!$B$5,Inputs!$B$6)</f>
        <v>4</v>
      </c>
      <c r="C3">
        <f>Inputs!$B$9</f>
        <v>15</v>
      </c>
      <c r="D3">
        <v>4</v>
      </c>
      <c r="E3">
        <f>B3*Inputs!$B$4</f>
        <v>60</v>
      </c>
      <c r="F3">
        <f>B3*COMBIN(Inputs!$B$4,D3)</f>
        <v>5460</v>
      </c>
      <c r="G3">
        <f>(Inputs!$B$4-D3+1)*B3^D3</f>
        <v>3072</v>
      </c>
      <c r="H3">
        <f>B3*(Inputs!$B$4-D3+1)</f>
        <v>48</v>
      </c>
      <c r="I3">
        <f>IF(D3&lt;=B3,Inputs!$B$4*COMBIN(B3,D3),"")</f>
        <v>15</v>
      </c>
      <c r="J3">
        <f t="shared" si="0"/>
        <v>15.283767572056965</v>
      </c>
      <c r="K3">
        <f t="shared" si="1"/>
        <v>8.5992186779045774</v>
      </c>
      <c r="L3">
        <f t="shared" si="2"/>
        <v>0.13436279184225902</v>
      </c>
      <c r="M3">
        <f t="shared" si="3"/>
        <v>4.1988372450705948E-2</v>
      </c>
      <c r="N3">
        <f t="shared" si="4"/>
        <v>0.99999976967340842</v>
      </c>
      <c r="O3">
        <f t="shared" si="5"/>
        <v>0.99981575030419834</v>
      </c>
      <c r="P3">
        <f t="shared" si="6"/>
        <v>0.12572717198852157</v>
      </c>
      <c r="Q3">
        <f t="shared" si="7"/>
        <v>4.1119070057055507E-2</v>
      </c>
      <c r="R3">
        <f t="shared" si="8"/>
        <v>2.3032661810224149E-7</v>
      </c>
      <c r="S3">
        <f t="shared" si="9"/>
        <v>1.8426667186211991E-4</v>
      </c>
      <c r="T3">
        <f t="shared" si="10"/>
        <v>2.073641021364272</v>
      </c>
      <c r="U3">
        <f t="shared" si="11"/>
        <v>3.191283273434939</v>
      </c>
    </row>
    <row r="4" spans="1:21">
      <c r="A4">
        <v>1</v>
      </c>
      <c r="B4">
        <f>IF(A4=1,Inputs!$B$5,Inputs!$B$6)</f>
        <v>4</v>
      </c>
      <c r="C4">
        <f>Inputs!$B$9</f>
        <v>15</v>
      </c>
      <c r="D4">
        <v>5</v>
      </c>
      <c r="E4">
        <f>B4*Inputs!$B$4</f>
        <v>60</v>
      </c>
      <c r="F4">
        <f>B4*COMBIN(Inputs!$B$4,D4)</f>
        <v>12012</v>
      </c>
      <c r="G4">
        <f>(Inputs!$B$4-D4+1)*B4^D4</f>
        <v>11264</v>
      </c>
      <c r="H4">
        <f>B4*(Inputs!$B$4-D4+1)</f>
        <v>44</v>
      </c>
      <c r="I4" t="str">
        <f>IF(D4&lt;=B4,Inputs!$B$4*COMBIN(B4,D4),"")</f>
        <v/>
      </c>
      <c r="J4">
        <f t="shared" si="0"/>
        <v>6.6047709864960451</v>
      </c>
      <c r="K4">
        <f t="shared" si="1"/>
        <v>6.1934848811098444</v>
      </c>
      <c r="L4">
        <f t="shared" si="2"/>
        <v>2.419330031683533E-2</v>
      </c>
      <c r="M4" t="str">
        <f t="shared" si="3"/>
        <v/>
      </c>
      <c r="N4">
        <f t="shared" si="4"/>
        <v>0.99864610680202093</v>
      </c>
      <c r="O4">
        <f t="shared" si="5"/>
        <v>0.99795730421674655</v>
      </c>
      <c r="P4">
        <f t="shared" si="6"/>
        <v>2.3902988340820053E-2</v>
      </c>
      <c r="Q4" t="str">
        <f t="shared" si="7"/>
        <v/>
      </c>
      <c r="R4">
        <f t="shared" si="8"/>
        <v>1.354810539456582E-3</v>
      </c>
      <c r="S4">
        <f t="shared" si="9"/>
        <v>2.0447849317662948E-3</v>
      </c>
      <c r="T4">
        <f t="shared" si="10"/>
        <v>3.7337517926801636</v>
      </c>
      <c r="U4" t="str">
        <f t="shared" si="11"/>
        <v/>
      </c>
    </row>
    <row r="5" spans="1:21">
      <c r="A5">
        <v>1</v>
      </c>
      <c r="B5">
        <f>IF(A5=1,Inputs!$B$5,Inputs!$B$6)</f>
        <v>4</v>
      </c>
      <c r="C5">
        <f>Inputs!$B$9</f>
        <v>15</v>
      </c>
      <c r="D5">
        <v>6</v>
      </c>
      <c r="E5">
        <f>B5*Inputs!$B$4</f>
        <v>60</v>
      </c>
      <c r="F5">
        <f>B5*COMBIN(Inputs!$B$4,D5)</f>
        <v>20020</v>
      </c>
      <c r="G5">
        <f>(Inputs!$B$4-D5+1)*B5^D5</f>
        <v>40960</v>
      </c>
      <c r="H5">
        <f>B5*(Inputs!$B$4-D5+1)</f>
        <v>40</v>
      </c>
      <c r="I5" t="str">
        <f>IF(D5&lt;=B5,Inputs!$B$4*COMBIN(B5,D5),"")</f>
        <v/>
      </c>
      <c r="J5">
        <f t="shared" si="0"/>
        <v>2.0014457534836496</v>
      </c>
      <c r="K5">
        <f t="shared" si="1"/>
        <v>4.0948660370974164</v>
      </c>
      <c r="L5">
        <f t="shared" si="2"/>
        <v>3.9988926143529457E-3</v>
      </c>
      <c r="M5" t="str">
        <f t="shared" si="3"/>
        <v/>
      </c>
      <c r="N5">
        <f t="shared" si="4"/>
        <v>0.86486023684960811</v>
      </c>
      <c r="O5">
        <f t="shared" si="5"/>
        <v>0.98334202231551537</v>
      </c>
      <c r="P5">
        <f t="shared" si="6"/>
        <v>3.9909076904460772E-3</v>
      </c>
      <c r="Q5" t="str">
        <f t="shared" si="7"/>
        <v/>
      </c>
      <c r="R5">
        <f t="shared" si="8"/>
        <v>0.14518736100145593</v>
      </c>
      <c r="S5">
        <f t="shared" si="9"/>
        <v>1.6798282102354206E-2</v>
      </c>
      <c r="T5">
        <f t="shared" si="10"/>
        <v>5.5237365826127274</v>
      </c>
      <c r="U5" t="str">
        <f t="shared" si="11"/>
        <v/>
      </c>
    </row>
    <row r="6" spans="1:21">
      <c r="A6">
        <v>1</v>
      </c>
      <c r="B6">
        <f>IF(A6=1,Inputs!$B$5,Inputs!$B$6)</f>
        <v>4</v>
      </c>
      <c r="C6">
        <f>Inputs!$B$9</f>
        <v>15</v>
      </c>
      <c r="D6">
        <v>7</v>
      </c>
      <c r="E6">
        <f>B6*Inputs!$B$4</f>
        <v>60</v>
      </c>
      <c r="F6">
        <f>B6*COMBIN(Inputs!$B$4,D6)</f>
        <v>25739.999999999996</v>
      </c>
      <c r="G6">
        <f>(Inputs!$B$4-D6+1)*B6^D6</f>
        <v>147456</v>
      </c>
      <c r="H6">
        <f>B6*(Inputs!$B$4-D6+1)</f>
        <v>36</v>
      </c>
      <c r="I6" t="str">
        <f>IF(D6&lt;=B6,Inputs!$B$4*COMBIN(B6,D6),"")</f>
        <v/>
      </c>
      <c r="J6">
        <f t="shared" si="0"/>
        <v>0.42888123288935348</v>
      </c>
      <c r="K6">
        <f t="shared" si="1"/>
        <v>2.4569196222584502</v>
      </c>
      <c r="L6">
        <f t="shared" si="2"/>
        <v>5.9983389215294194E-4</v>
      </c>
      <c r="M6" t="str">
        <f t="shared" si="3"/>
        <v/>
      </c>
      <c r="N6">
        <f t="shared" si="4"/>
        <v>0.34876272984291867</v>
      </c>
      <c r="O6">
        <f t="shared" si="5"/>
        <v>0.9143014713603892</v>
      </c>
      <c r="P6">
        <f t="shared" si="6"/>
        <v>5.9965402776851473E-4</v>
      </c>
      <c r="Q6" t="str">
        <f t="shared" si="7"/>
        <v/>
      </c>
      <c r="R6">
        <f t="shared" si="8"/>
        <v>1.0533634451710172</v>
      </c>
      <c r="S6">
        <f t="shared" si="9"/>
        <v>8.9594924537770293E-2</v>
      </c>
      <c r="T6">
        <f t="shared" si="10"/>
        <v>7.4191576894434057</v>
      </c>
      <c r="U6" t="str">
        <f t="shared" si="11"/>
        <v/>
      </c>
    </row>
    <row r="7" spans="1:21">
      <c r="A7">
        <v>1</v>
      </c>
      <c r="B7">
        <f>IF(A7=1,Inputs!$B$5,Inputs!$B$6)</f>
        <v>4</v>
      </c>
      <c r="C7">
        <f>Inputs!$B$9</f>
        <v>15</v>
      </c>
      <c r="D7">
        <v>8</v>
      </c>
      <c r="E7">
        <f>B7*Inputs!$B$4</f>
        <v>60</v>
      </c>
      <c r="F7">
        <f>B7*COMBIN(Inputs!$B$4,D7)</f>
        <v>25739.999999999996</v>
      </c>
      <c r="G7">
        <f>(Inputs!$B$4-D7+1)*B7^D7</f>
        <v>524288</v>
      </c>
      <c r="H7">
        <f>B7*(Inputs!$B$4-D7+1)</f>
        <v>32</v>
      </c>
      <c r="I7" t="str">
        <f>IF(D7&lt;=B7,Inputs!$B$4*COMBIN(B7,D7),"")</f>
        <v/>
      </c>
      <c r="J7">
        <f t="shared" si="0"/>
        <v>6.4736789870091085E-2</v>
      </c>
      <c r="K7">
        <f t="shared" si="1"/>
        <v>1.3185983716942626</v>
      </c>
      <c r="L7">
        <f t="shared" si="2"/>
        <v>8.0480857647354897E-5</v>
      </c>
      <c r="M7" t="str">
        <f t="shared" si="3"/>
        <v/>
      </c>
      <c r="N7">
        <f t="shared" si="4"/>
        <v>6.2685858511162817E-2</v>
      </c>
      <c r="O7">
        <f t="shared" si="5"/>
        <v>0.73249001110889378</v>
      </c>
      <c r="P7">
        <f t="shared" si="6"/>
        <v>8.0477619149976753E-5</v>
      </c>
      <c r="Q7" t="str">
        <f t="shared" si="7"/>
        <v/>
      </c>
      <c r="R7">
        <f t="shared" si="8"/>
        <v>2.769619398868421</v>
      </c>
      <c r="S7">
        <f t="shared" si="9"/>
        <v>0.31130557489530331</v>
      </c>
      <c r="T7">
        <f t="shared" si="10"/>
        <v>9.4275314351769666</v>
      </c>
      <c r="U7" t="str">
        <f t="shared" si="11"/>
        <v/>
      </c>
    </row>
    <row r="8" spans="1:21">
      <c r="A8">
        <v>1</v>
      </c>
      <c r="B8">
        <f>IF(A8=1,Inputs!$B$5,Inputs!$B$6)</f>
        <v>4</v>
      </c>
      <c r="C8">
        <f>Inputs!$B$9</f>
        <v>15</v>
      </c>
      <c r="D8">
        <v>9</v>
      </c>
      <c r="E8">
        <f>B8*Inputs!$B$4</f>
        <v>60</v>
      </c>
      <c r="F8">
        <f>B8*COMBIN(Inputs!$B$4,D8)</f>
        <v>20020</v>
      </c>
      <c r="G8">
        <f>(Inputs!$B$4-D8+1)*B8^D8</f>
        <v>1835008</v>
      </c>
      <c r="H8">
        <f>B8*(Inputs!$B$4-D8+1)</f>
        <v>28</v>
      </c>
      <c r="I8" t="str">
        <f>IF(D8&lt;=B8,Inputs!$B$4*COMBIN(B8,D8),"")</f>
        <v/>
      </c>
      <c r="J8">
        <f t="shared" si="0"/>
        <v>6.77799722998817E-3</v>
      </c>
      <c r="K8">
        <f t="shared" si="1"/>
        <v>0.62126269435595061</v>
      </c>
      <c r="L8">
        <f t="shared" si="2"/>
        <v>9.4797164055778596E-6</v>
      </c>
      <c r="M8" t="str">
        <f t="shared" si="3"/>
        <v/>
      </c>
      <c r="N8">
        <f t="shared" si="4"/>
        <v>6.7550784172143441E-3</v>
      </c>
      <c r="O8">
        <f t="shared" si="5"/>
        <v>0.46273439314242737</v>
      </c>
      <c r="P8">
        <f t="shared" si="6"/>
        <v>9.4796714732447995E-6</v>
      </c>
      <c r="Q8" t="str">
        <f t="shared" si="7"/>
        <v/>
      </c>
      <c r="R8">
        <f t="shared" si="8"/>
        <v>4.9974606988713539</v>
      </c>
      <c r="S8">
        <f t="shared" si="9"/>
        <v>0.77060205442374252</v>
      </c>
      <c r="T8">
        <f t="shared" si="10"/>
        <v>11.566360897018845</v>
      </c>
      <c r="U8" t="str">
        <f t="shared" si="11"/>
        <v/>
      </c>
    </row>
    <row r="9" spans="1:21">
      <c r="A9">
        <v>1</v>
      </c>
      <c r="B9">
        <f>IF(A9=1,Inputs!$B$5,Inputs!$B$6)</f>
        <v>4</v>
      </c>
      <c r="C9">
        <f>Inputs!$B$9</f>
        <v>15</v>
      </c>
      <c r="D9">
        <v>10</v>
      </c>
      <c r="E9">
        <f>B9*Inputs!$B$4</f>
        <v>60</v>
      </c>
      <c r="F9">
        <f>B9*COMBIN(Inputs!$B$4,D9)</f>
        <v>12012</v>
      </c>
      <c r="G9">
        <f>(Inputs!$B$4-D9+1)*B9^D9</f>
        <v>6291456</v>
      </c>
      <c r="H9">
        <f>B9*(Inputs!$B$4-D9+1)</f>
        <v>24</v>
      </c>
      <c r="I9" t="str">
        <f>IF(D9&lt;=B9,Inputs!$B$4*COMBIN(B9,D9),"")</f>
        <v/>
      </c>
      <c r="J9">
        <f t="shared" si="0"/>
        <v>4.784468632932825E-4</v>
      </c>
      <c r="K9">
        <f t="shared" si="1"/>
        <v>0.25059335570660191</v>
      </c>
      <c r="L9">
        <f t="shared" si="2"/>
        <v>9.5593778879776728E-7</v>
      </c>
      <c r="M9" t="str">
        <f t="shared" si="3"/>
        <v/>
      </c>
      <c r="N9">
        <f t="shared" si="4"/>
        <v>4.7833242584427449E-4</v>
      </c>
      <c r="O9">
        <f t="shared" si="5"/>
        <v>0.22166118574806515</v>
      </c>
      <c r="P9">
        <f t="shared" si="6"/>
        <v>9.5593733184795582E-7</v>
      </c>
      <c r="Q9" t="str">
        <f t="shared" si="7"/>
        <v/>
      </c>
      <c r="R9">
        <f t="shared" si="8"/>
        <v>7.6452046156301323</v>
      </c>
      <c r="S9">
        <f t="shared" si="9"/>
        <v>1.5066052532486622</v>
      </c>
      <c r="T9">
        <f t="shared" si="10"/>
        <v>13.860573478503964</v>
      </c>
      <c r="U9" t="str">
        <f t="shared" si="11"/>
        <v/>
      </c>
    </row>
    <row r="10" spans="1:21">
      <c r="A10">
        <v>1</v>
      </c>
      <c r="B10">
        <f>IF(A10=1,Inputs!$B$5,Inputs!$B$6)</f>
        <v>4</v>
      </c>
      <c r="C10">
        <f>Inputs!$B$9</f>
        <v>15</v>
      </c>
      <c r="D10">
        <v>11</v>
      </c>
      <c r="E10">
        <f>B10*Inputs!$B$4</f>
        <v>60</v>
      </c>
      <c r="F10">
        <f>B10*COMBIN(Inputs!$B$4,D10)</f>
        <v>5460</v>
      </c>
      <c r="G10">
        <f>(Inputs!$B$4-D10+1)*B10^D10</f>
        <v>20971520</v>
      </c>
      <c r="H10">
        <f>B10*(Inputs!$B$4-D10+1)</f>
        <v>20</v>
      </c>
      <c r="I10" t="str">
        <f>IF(D10&lt;=B10,Inputs!$B$4*COMBIN(B10,D10),"")</f>
        <v/>
      </c>
      <c r="J10">
        <f t="shared" si="0"/>
        <v>2.1747584695149204E-5</v>
      </c>
      <c r="K10">
        <f t="shared" si="1"/>
        <v>8.3531118568867302E-2</v>
      </c>
      <c r="L10">
        <f t="shared" si="2"/>
        <v>7.966148239981394E-8</v>
      </c>
      <c r="M10" t="str">
        <f t="shared" si="3"/>
        <v/>
      </c>
      <c r="N10">
        <f t="shared" si="4"/>
        <v>2.1747348218137397E-5</v>
      </c>
      <c r="O10">
        <f t="shared" si="5"/>
        <v>8.0137538577503831E-2</v>
      </c>
      <c r="P10">
        <f t="shared" si="6"/>
        <v>7.9661479190917817E-8</v>
      </c>
      <c r="Q10" t="str">
        <f t="shared" si="7"/>
        <v/>
      </c>
      <c r="R10">
        <f t="shared" si="8"/>
        <v>10.736018728867728</v>
      </c>
      <c r="S10">
        <f t="shared" si="9"/>
        <v>2.5240108882774708</v>
      </c>
      <c r="T10">
        <f t="shared" si="10"/>
        <v>16.345479690561422</v>
      </c>
      <c r="U10" t="str">
        <f t="shared" si="11"/>
        <v/>
      </c>
    </row>
    <row r="11" spans="1:21">
      <c r="A11">
        <v>1</v>
      </c>
      <c r="B11">
        <f>IF(A11=1,Inputs!$B$5,Inputs!$B$6)</f>
        <v>4</v>
      </c>
      <c r="C11">
        <f>Inputs!$B$9</f>
        <v>15</v>
      </c>
      <c r="D11">
        <v>12</v>
      </c>
      <c r="E11">
        <f>B11*Inputs!$B$4</f>
        <v>60</v>
      </c>
      <c r="F11">
        <f>B11*COMBIN(Inputs!$B$4,D11)</f>
        <v>1820.0000000000002</v>
      </c>
      <c r="G11">
        <f>(Inputs!$B$4-D11+1)*B11^D11</f>
        <v>67108864</v>
      </c>
      <c r="H11">
        <f>B11*(Inputs!$B$4-D11+1)</f>
        <v>16</v>
      </c>
      <c r="I11" t="str">
        <f>IF(D11&lt;=B11,Inputs!$B$4*COMBIN(B11,D11),"")</f>
        <v/>
      </c>
      <c r="J11">
        <f t="shared" si="0"/>
        <v>5.9177101211290354E-7</v>
      </c>
      <c r="K11">
        <f t="shared" si="1"/>
        <v>2.1820373830234722E-2</v>
      </c>
      <c r="L11">
        <f t="shared" si="2"/>
        <v>5.2023825240694813E-9</v>
      </c>
      <c r="M11" t="str">
        <f t="shared" si="3"/>
        <v/>
      </c>
      <c r="N11">
        <f t="shared" si="4"/>
        <v>5.9177083699957223E-7</v>
      </c>
      <c r="O11">
        <f t="shared" si="5"/>
        <v>2.1584031619577559E-2</v>
      </c>
      <c r="P11">
        <f t="shared" si="6"/>
        <v>5.2023825240694813E-9</v>
      </c>
      <c r="Q11" t="str">
        <f t="shared" si="7"/>
        <v/>
      </c>
      <c r="R11">
        <f t="shared" si="8"/>
        <v>14.340146376667706</v>
      </c>
      <c r="S11">
        <f t="shared" si="9"/>
        <v>3.8358015145633271</v>
      </c>
      <c r="T11">
        <f t="shared" si="10"/>
        <v>19.074149138584716</v>
      </c>
      <c r="U11" t="str">
        <f t="shared" si="11"/>
        <v/>
      </c>
    </row>
    <row r="12" spans="1:21">
      <c r="A12">
        <v>1</v>
      </c>
      <c r="B12">
        <f>IF(A12=1,Inputs!$B$5,Inputs!$B$6)</f>
        <v>4</v>
      </c>
      <c r="C12">
        <f>Inputs!$B$9</f>
        <v>15</v>
      </c>
      <c r="D12">
        <v>13</v>
      </c>
      <c r="E12">
        <f>B12*Inputs!$B$4</f>
        <v>60</v>
      </c>
      <c r="F12">
        <f>B12*COMBIN(Inputs!$B$4,D12)</f>
        <v>420</v>
      </c>
      <c r="G12">
        <f>(Inputs!$B$4-D12+1)*B12^D12</f>
        <v>201326592</v>
      </c>
      <c r="H12">
        <f>B12*(Inputs!$B$4-D12+1)</f>
        <v>12</v>
      </c>
      <c r="I12" t="str">
        <f>IF(D12&lt;=B12,Inputs!$B$4*COMBIN(B12,D12),"")</f>
        <v/>
      </c>
      <c r="J12">
        <f t="shared" si="0"/>
        <v>8.5351588285514931E-9</v>
      </c>
      <c r="K12">
        <f t="shared" si="1"/>
        <v>4.0913200931690106E-3</v>
      </c>
      <c r="L12">
        <f t="shared" si="2"/>
        <v>2.4386168081575695E-10</v>
      </c>
      <c r="M12" t="str">
        <f t="shared" si="3"/>
        <v/>
      </c>
      <c r="N12">
        <f t="shared" si="4"/>
        <v>8.5351588285514931E-9</v>
      </c>
      <c r="O12">
        <f t="shared" si="5"/>
        <v>4.0829620454846394E-3</v>
      </c>
      <c r="P12">
        <f t="shared" si="6"/>
        <v>2.4386168081575695E-10</v>
      </c>
      <c r="Q12" t="str">
        <f t="shared" si="7"/>
        <v/>
      </c>
      <c r="R12">
        <f t="shared" si="8"/>
        <v>18.579071871786862</v>
      </c>
      <c r="S12">
        <f t="shared" si="9"/>
        <v>5.5009325624300933</v>
      </c>
      <c r="T12">
        <f t="shared" si="10"/>
        <v>22.134419933276277</v>
      </c>
      <c r="U12" t="str">
        <f t="shared" si="11"/>
        <v/>
      </c>
    </row>
    <row r="13" spans="1:21">
      <c r="A13">
        <v>1</v>
      </c>
      <c r="B13">
        <f>IF(A13=1,Inputs!$B$5,Inputs!$B$6)</f>
        <v>4</v>
      </c>
      <c r="C13">
        <f>Inputs!$B$9</f>
        <v>15</v>
      </c>
      <c r="D13">
        <v>14</v>
      </c>
      <c r="E13">
        <f>B13*Inputs!$B$4</f>
        <v>60</v>
      </c>
      <c r="F13">
        <f>B13*COMBIN(Inputs!$B$4,D13)</f>
        <v>60</v>
      </c>
      <c r="G13">
        <f>(Inputs!$B$4-D13+1)*B13^D13</f>
        <v>536870912</v>
      </c>
      <c r="H13">
        <f>B13*(Inputs!$B$4-D13+1)</f>
        <v>8</v>
      </c>
      <c r="I13" t="str">
        <f>IF(D13&lt;=B13,Inputs!$B$4*COMBIN(B13,D13),"")</f>
        <v/>
      </c>
      <c r="J13">
        <f t="shared" si="0"/>
        <v>5.1885464003352544E-11</v>
      </c>
      <c r="K13">
        <f t="shared" si="1"/>
        <v>4.6426327298371747E-4</v>
      </c>
      <c r="L13">
        <f t="shared" si="2"/>
        <v>6.9180618671136717E-12</v>
      </c>
      <c r="M13" t="str">
        <f t="shared" si="3"/>
        <v/>
      </c>
      <c r="N13">
        <f t="shared" si="4"/>
        <v>5.1885464003352544E-11</v>
      </c>
      <c r="O13">
        <f t="shared" si="5"/>
        <v>4.6415551946632494E-4</v>
      </c>
      <c r="P13">
        <f t="shared" si="6"/>
        <v>6.9180618671136717E-12</v>
      </c>
      <c r="Q13" t="str">
        <f t="shared" si="7"/>
        <v/>
      </c>
      <c r="R13">
        <f t="shared" si="8"/>
        <v>23.68198244199229</v>
      </c>
      <c r="S13">
        <f t="shared" si="9"/>
        <v>7.6752908906317279</v>
      </c>
      <c r="T13">
        <f t="shared" si="10"/>
        <v>25.696885462534553</v>
      </c>
      <c r="U13" t="str">
        <f t="shared" si="11"/>
        <v/>
      </c>
    </row>
    <row r="14" spans="1:21">
      <c r="A14">
        <v>1</v>
      </c>
      <c r="B14">
        <f>IF(A14=1,Inputs!$B$5,Inputs!$B$6)</f>
        <v>4</v>
      </c>
      <c r="C14">
        <f>Inputs!$B$9</f>
        <v>15</v>
      </c>
      <c r="D14">
        <v>15</v>
      </c>
      <c r="E14">
        <f>B14*Inputs!$B$4</f>
        <v>60</v>
      </c>
      <c r="F14">
        <f>B14*COMBIN(Inputs!$B$4,D14)</f>
        <v>4</v>
      </c>
      <c r="G14">
        <f>(Inputs!$B$4-D14+1)*B14^D14</f>
        <v>1073741824</v>
      </c>
      <c r="H14">
        <f>B14*(Inputs!$B$4-D14+1)</f>
        <v>4</v>
      </c>
      <c r="I14" t="str">
        <f>IF(D14&lt;=B14,Inputs!$B$4*COMBIN(B14,D14),"")</f>
        <v/>
      </c>
      <c r="J14">
        <f t="shared" si="0"/>
        <v>7.5196324642539908E-14</v>
      </c>
      <c r="K14">
        <f t="shared" si="1"/>
        <v>2.0185359694944237E-5</v>
      </c>
      <c r="L14">
        <f t="shared" si="2"/>
        <v>7.5196324642539908E-14</v>
      </c>
      <c r="M14" t="str">
        <f t="shared" si="3"/>
        <v/>
      </c>
      <c r="N14">
        <f t="shared" si="4"/>
        <v>7.5196324642539908E-14</v>
      </c>
      <c r="O14">
        <f t="shared" si="5"/>
        <v>2.0185155971907953E-5</v>
      </c>
      <c r="P14">
        <f t="shared" si="6"/>
        <v>7.5196324642539908E-14</v>
      </c>
      <c r="Q14" t="str">
        <f t="shared" si="7"/>
        <v/>
      </c>
      <c r="R14">
        <f t="shared" si="8"/>
        <v>30.218674039583593</v>
      </c>
      <c r="S14">
        <f t="shared" si="9"/>
        <v>10.810563076569682</v>
      </c>
      <c r="T14">
        <f t="shared" si="10"/>
        <v>30.218674039583593</v>
      </c>
      <c r="U14" t="str">
        <f t="shared" si="11"/>
        <v/>
      </c>
    </row>
    <row r="15" spans="1:21">
      <c r="A15">
        <v>2</v>
      </c>
      <c r="B15">
        <f>IF(A15=1,Inputs!$B$5,Inputs!$B$6)</f>
        <v>5</v>
      </c>
      <c r="C15">
        <f>Inputs!$B$9</f>
        <v>15</v>
      </c>
      <c r="D15">
        <v>3</v>
      </c>
      <c r="E15">
        <f>B15*Inputs!$B$4</f>
        <v>75</v>
      </c>
      <c r="F15">
        <f>B15*COMBIN(Inputs!$B$4,D15)</f>
        <v>2275.0000000000005</v>
      </c>
      <c r="G15">
        <f>(Inputs!$B$4-D15+1)*B15^D15</f>
        <v>1625</v>
      </c>
      <c r="H15">
        <f>B15*(Inputs!$B$4-D15+1)</f>
        <v>65</v>
      </c>
      <c r="I15">
        <f>IF(D15&lt;=B15,Inputs!$B$4*COMBIN(B15,D15),"")</f>
        <v>150</v>
      </c>
      <c r="J15">
        <f t="shared" si="0"/>
        <v>15.329507589781565</v>
      </c>
      <c r="K15">
        <f t="shared" si="1"/>
        <v>10.949648278415403</v>
      </c>
      <c r="L15">
        <f t="shared" si="2"/>
        <v>0.4379859311366161</v>
      </c>
      <c r="M15">
        <f t="shared" si="3"/>
        <v>1.0107367641614218</v>
      </c>
      <c r="N15">
        <f t="shared" si="4"/>
        <v>0.9999997799712439</v>
      </c>
      <c r="O15">
        <f t="shared" si="5"/>
        <v>0.99998243580807977</v>
      </c>
      <c r="P15">
        <f t="shared" si="6"/>
        <v>0.35466513807856237</v>
      </c>
      <c r="Q15">
        <f t="shared" si="7"/>
        <v>0.63604926509087356</v>
      </c>
      <c r="R15">
        <f t="shared" si="8"/>
        <v>2.2002878031015974E-7</v>
      </c>
      <c r="S15">
        <f t="shared" si="9"/>
        <v>1.756434617245252E-5</v>
      </c>
      <c r="T15">
        <f t="shared" si="10"/>
        <v>1.0365812076868104</v>
      </c>
      <c r="U15">
        <f t="shared" si="11"/>
        <v>0.45247925780724357</v>
      </c>
    </row>
    <row r="16" spans="1:21">
      <c r="A16">
        <v>2</v>
      </c>
      <c r="B16">
        <f>IF(A16=1,Inputs!$B$5,Inputs!$B$6)</f>
        <v>5</v>
      </c>
      <c r="C16">
        <f>Inputs!$B$9</f>
        <v>15</v>
      </c>
      <c r="D16">
        <v>4</v>
      </c>
      <c r="E16">
        <f>B16*Inputs!$B$4</f>
        <v>75</v>
      </c>
      <c r="F16">
        <f>B16*COMBIN(Inputs!$B$4,D16)</f>
        <v>6825</v>
      </c>
      <c r="G16">
        <f>(Inputs!$B$4-D16+1)*B16^D16</f>
        <v>7500</v>
      </c>
      <c r="H16">
        <f>B16*(Inputs!$B$4-D16+1)</f>
        <v>60</v>
      </c>
      <c r="I16">
        <f>IF(D16&lt;=B16,Inputs!$B$4*COMBIN(B16,D16),"")</f>
        <v>75</v>
      </c>
      <c r="J16">
        <f t="shared" si="0"/>
        <v>7.6647537948907809</v>
      </c>
      <c r="K16">
        <f t="shared" si="1"/>
        <v>8.4228063680118481</v>
      </c>
      <c r="L16">
        <f t="shared" si="2"/>
        <v>6.7382450944094785E-2</v>
      </c>
      <c r="M16">
        <f t="shared" si="3"/>
        <v>8.4228063680118467E-2</v>
      </c>
      <c r="N16">
        <f t="shared" si="4"/>
        <v>0.99953092777095853</v>
      </c>
      <c r="O16">
        <f t="shared" si="5"/>
        <v>0.99978020304465232</v>
      </c>
      <c r="P16">
        <f t="shared" si="6"/>
        <v>6.5162396564701353E-2</v>
      </c>
      <c r="Q16">
        <f t="shared" si="7"/>
        <v>8.077840887136567E-2</v>
      </c>
      <c r="R16">
        <f t="shared" si="8"/>
        <v>4.6918227783473033E-4</v>
      </c>
      <c r="S16">
        <f t="shared" si="9"/>
        <v>2.1982111423857285E-4</v>
      </c>
      <c r="T16">
        <f t="shared" si="10"/>
        <v>2.7308727162330997</v>
      </c>
      <c r="U16">
        <f t="shared" si="11"/>
        <v>2.5160455661024388</v>
      </c>
    </row>
    <row r="17" spans="1:21">
      <c r="A17">
        <v>2</v>
      </c>
      <c r="B17">
        <f>IF(A17=1,Inputs!$B$5,Inputs!$B$6)</f>
        <v>5</v>
      </c>
      <c r="C17">
        <f>Inputs!$B$9</f>
        <v>15</v>
      </c>
      <c r="D17">
        <v>5</v>
      </c>
      <c r="E17">
        <f>B17*Inputs!$B$4</f>
        <v>75</v>
      </c>
      <c r="F17">
        <f>B17*COMBIN(Inputs!$B$4,D17)</f>
        <v>15015</v>
      </c>
      <c r="G17">
        <f>(Inputs!$B$4-D17+1)*B17^D17</f>
        <v>34375</v>
      </c>
      <c r="H17">
        <f>B17*(Inputs!$B$4-D17+1)</f>
        <v>55</v>
      </c>
      <c r="I17">
        <f>IF(D17&lt;=B17,Inputs!$B$4*COMBIN(B17,D17),"")</f>
        <v>15</v>
      </c>
      <c r="J17">
        <f t="shared" si="0"/>
        <v>2.6124935469909421</v>
      </c>
      <c r="K17">
        <f t="shared" si="1"/>
        <v>5.9809833951257829</v>
      </c>
      <c r="L17">
        <f t="shared" si="2"/>
        <v>9.5695734322012536E-3</v>
      </c>
      <c r="M17">
        <f t="shared" si="3"/>
        <v>2.6098836633276145E-3</v>
      </c>
      <c r="N17">
        <f t="shared" si="4"/>
        <v>0.92664858965648977</v>
      </c>
      <c r="O17">
        <f t="shared" si="5"/>
        <v>0.9974736593208503</v>
      </c>
      <c r="P17">
        <f t="shared" si="6"/>
        <v>9.5239307739855006E-3</v>
      </c>
      <c r="Q17">
        <f t="shared" si="7"/>
        <v>2.6064808778946125E-3</v>
      </c>
      <c r="R17">
        <f t="shared" si="8"/>
        <v>7.6180868720778103E-2</v>
      </c>
      <c r="S17">
        <f t="shared" si="9"/>
        <v>2.5295372626708825E-3</v>
      </c>
      <c r="T17">
        <f t="shared" si="10"/>
        <v>4.6539476189700881</v>
      </c>
      <c r="U17">
        <f t="shared" si="11"/>
        <v>5.9497542900981548</v>
      </c>
    </row>
    <row r="18" spans="1:21">
      <c r="A18">
        <v>2</v>
      </c>
      <c r="B18">
        <f>IF(A18=1,Inputs!$B$5,Inputs!$B$6)</f>
        <v>5</v>
      </c>
      <c r="C18">
        <f>Inputs!$B$9</f>
        <v>15</v>
      </c>
      <c r="D18">
        <v>6</v>
      </c>
      <c r="E18">
        <f>B18*Inputs!$B$4</f>
        <v>75</v>
      </c>
      <c r="F18">
        <f>B18*COMBIN(Inputs!$B$4,D18)</f>
        <v>25025</v>
      </c>
      <c r="G18">
        <f>(Inputs!$B$4-D18+1)*B18^D18</f>
        <v>156250</v>
      </c>
      <c r="H18">
        <f>B18*(Inputs!$B$4-D18+1)</f>
        <v>50</v>
      </c>
      <c r="I18" t="str">
        <f>IF(D18&lt;=B18,Inputs!$B$4*COMBIN(B18,D18),"")</f>
        <v/>
      </c>
      <c r="J18">
        <f t="shared" si="0"/>
        <v>0.62202227309308145</v>
      </c>
      <c r="K18">
        <f t="shared" si="1"/>
        <v>3.8837554513803787</v>
      </c>
      <c r="L18">
        <f t="shared" si="2"/>
        <v>1.2428017444417211E-3</v>
      </c>
      <c r="M18" t="str">
        <f t="shared" si="3"/>
        <v/>
      </c>
      <c r="N18">
        <f t="shared" si="4"/>
        <v>0.46314233372247893</v>
      </c>
      <c r="O18">
        <f t="shared" si="5"/>
        <v>0.97942658254676562</v>
      </c>
      <c r="P18">
        <f t="shared" si="6"/>
        <v>1.2420297861838181E-3</v>
      </c>
      <c r="Q18" t="str">
        <f t="shared" si="7"/>
        <v/>
      </c>
      <c r="R18">
        <f t="shared" si="8"/>
        <v>0.76972085589134098</v>
      </c>
      <c r="S18">
        <f t="shared" si="9"/>
        <v>2.0787998417182398E-2</v>
      </c>
      <c r="T18">
        <f t="shared" si="10"/>
        <v>6.6910083133237874</v>
      </c>
      <c r="U18" t="str">
        <f t="shared" si="11"/>
        <v/>
      </c>
    </row>
    <row r="19" spans="1:21">
      <c r="A19">
        <v>2</v>
      </c>
      <c r="B19">
        <f>IF(A19=1,Inputs!$B$5,Inputs!$B$6)</f>
        <v>5</v>
      </c>
      <c r="C19">
        <f>Inputs!$B$9</f>
        <v>15</v>
      </c>
      <c r="D19">
        <v>7</v>
      </c>
      <c r="E19">
        <f>B19*Inputs!$B$4</f>
        <v>75</v>
      </c>
      <c r="F19">
        <f>B19*COMBIN(Inputs!$B$4,D19)</f>
        <v>32174.999999999996</v>
      </c>
      <c r="G19">
        <f>(Inputs!$B$4-D19+1)*B19^D19</f>
        <v>703125</v>
      </c>
      <c r="H19">
        <f>B19*(Inputs!$B$4-D19+1)</f>
        <v>45</v>
      </c>
      <c r="I19" t="str">
        <f>IF(D19&lt;=B19,Inputs!$B$4*COMBIN(B19,D19),"")</f>
        <v/>
      </c>
      <c r="J19">
        <f t="shared" si="0"/>
        <v>0.10431429424542359</v>
      </c>
      <c r="K19">
        <f t="shared" si="1"/>
        <v>2.2795955910276136</v>
      </c>
      <c r="L19">
        <f t="shared" si="2"/>
        <v>1.4589411782576727E-4</v>
      </c>
      <c r="M19" t="str">
        <f t="shared" si="3"/>
        <v/>
      </c>
      <c r="N19">
        <f t="shared" si="4"/>
        <v>9.9057907996357053E-2</v>
      </c>
      <c r="O19">
        <f t="shared" si="5"/>
        <v>0.8976744202682877</v>
      </c>
      <c r="P19">
        <f t="shared" si="6"/>
        <v>1.458834757964711E-4</v>
      </c>
      <c r="Q19" t="str">
        <f t="shared" si="7"/>
        <v/>
      </c>
      <c r="R19">
        <f t="shared" si="8"/>
        <v>2.3120506705958523</v>
      </c>
      <c r="S19">
        <f t="shared" si="9"/>
        <v>0.10794783736950339</v>
      </c>
      <c r="T19">
        <f t="shared" si="10"/>
        <v>8.832702365899145</v>
      </c>
      <c r="U19" t="str">
        <f t="shared" si="11"/>
        <v/>
      </c>
    </row>
    <row r="20" spans="1:21">
      <c r="A20">
        <v>2</v>
      </c>
      <c r="B20">
        <f>IF(A20=1,Inputs!$B$5,Inputs!$B$6)</f>
        <v>5</v>
      </c>
      <c r="C20">
        <f>Inputs!$B$9</f>
        <v>15</v>
      </c>
      <c r="D20">
        <v>8</v>
      </c>
      <c r="E20">
        <f>B20*Inputs!$B$4</f>
        <v>75</v>
      </c>
      <c r="F20">
        <f>B20*COMBIN(Inputs!$B$4,D20)</f>
        <v>32174.999999999996</v>
      </c>
      <c r="G20">
        <f>(Inputs!$B$4-D20+1)*B20^D20</f>
        <v>3125000</v>
      </c>
      <c r="H20">
        <f>B20*(Inputs!$B$4-D20+1)</f>
        <v>40</v>
      </c>
      <c r="I20" t="str">
        <f>IF(D20&lt;=B20,Inputs!$B$4*COMBIN(B20,D20),"")</f>
        <v/>
      </c>
      <c r="J20">
        <f t="shared" si="0"/>
        <v>1.2272269911226303E-2</v>
      </c>
      <c r="K20">
        <f t="shared" si="1"/>
        <v>1.191945407073262</v>
      </c>
      <c r="L20">
        <f t="shared" si="2"/>
        <v>1.5256901210537754E-5</v>
      </c>
      <c r="M20" t="str">
        <f t="shared" si="3"/>
        <v/>
      </c>
      <c r="N20">
        <f t="shared" si="4"/>
        <v>1.2197272715614216E-2</v>
      </c>
      <c r="O20">
        <f t="shared" si="5"/>
        <v>0.69636999482615825</v>
      </c>
      <c r="P20">
        <f t="shared" si="6"/>
        <v>1.5256784824613234E-5</v>
      </c>
      <c r="Q20" t="str">
        <f t="shared" si="7"/>
        <v/>
      </c>
      <c r="R20">
        <f t="shared" si="8"/>
        <v>4.4065429001339567</v>
      </c>
      <c r="S20">
        <f t="shared" si="9"/>
        <v>0.36187415813615531</v>
      </c>
      <c r="T20">
        <f t="shared" si="10"/>
        <v>11.090486247320404</v>
      </c>
      <c r="U20" t="str">
        <f t="shared" si="11"/>
        <v/>
      </c>
    </row>
    <row r="21" spans="1:21">
      <c r="A21">
        <v>2</v>
      </c>
      <c r="B21">
        <f>IF(A21=1,Inputs!$B$5,Inputs!$B$6)</f>
        <v>5</v>
      </c>
      <c r="C21">
        <f>Inputs!$B$9</f>
        <v>15</v>
      </c>
      <c r="D21">
        <v>9</v>
      </c>
      <c r="E21">
        <f>B21*Inputs!$B$4</f>
        <v>75</v>
      </c>
      <c r="F21">
        <f>B21*COMBIN(Inputs!$B$4,D21)</f>
        <v>25025</v>
      </c>
      <c r="G21">
        <f>(Inputs!$B$4-D21+1)*B21^D21</f>
        <v>13671875</v>
      </c>
      <c r="H21">
        <f>B21*(Inputs!$B$4-D21+1)</f>
        <v>35</v>
      </c>
      <c r="I21" t="str">
        <f>IF(D21&lt;=B21,Inputs!$B$4*COMBIN(B21,D21),"")</f>
        <v/>
      </c>
      <c r="J21">
        <f t="shared" si="0"/>
        <v>9.9724913043132499E-4</v>
      </c>
      <c r="K21">
        <f t="shared" si="1"/>
        <v>0.54482579241221862</v>
      </c>
      <c r="L21">
        <f t="shared" si="2"/>
        <v>1.3947540285752797E-6</v>
      </c>
      <c r="M21" t="str">
        <f t="shared" si="3"/>
        <v/>
      </c>
      <c r="N21">
        <f t="shared" si="4"/>
        <v>9.9675204277105411E-4</v>
      </c>
      <c r="O21">
        <f t="shared" si="5"/>
        <v>0.42005719502267069</v>
      </c>
      <c r="P21">
        <f t="shared" si="6"/>
        <v>1.3947530559388355E-6</v>
      </c>
      <c r="Q21" t="str">
        <f t="shared" si="7"/>
        <v/>
      </c>
      <c r="R21">
        <f t="shared" si="8"/>
        <v>6.9110085222732023</v>
      </c>
      <c r="S21">
        <f t="shared" si="9"/>
        <v>0.86736439835078394</v>
      </c>
      <c r="T21">
        <f t="shared" si="10"/>
        <v>13.482793179193358</v>
      </c>
      <c r="U21" t="str">
        <f t="shared" si="11"/>
        <v/>
      </c>
    </row>
    <row r="22" spans="1:21">
      <c r="A22">
        <v>2</v>
      </c>
      <c r="B22">
        <f>IF(A22=1,Inputs!$B$5,Inputs!$B$6)</f>
        <v>5</v>
      </c>
      <c r="C22">
        <f>Inputs!$B$9</f>
        <v>15</v>
      </c>
      <c r="D22">
        <v>10</v>
      </c>
      <c r="E22">
        <f>B22*Inputs!$B$4</f>
        <v>75</v>
      </c>
      <c r="F22">
        <f>B22*COMBIN(Inputs!$B$4,D22)</f>
        <v>15015</v>
      </c>
      <c r="G22">
        <f>(Inputs!$B$4-D22+1)*B22^D22</f>
        <v>58593750</v>
      </c>
      <c r="H22">
        <f>B22*(Inputs!$B$4-D22+1)</f>
        <v>30</v>
      </c>
      <c r="I22" t="str">
        <f>IF(D22&lt;=B22,Inputs!$B$4*COMBIN(B22,D22),"")</f>
        <v/>
      </c>
      <c r="J22">
        <f t="shared" si="0"/>
        <v>5.439540711443591E-5</v>
      </c>
      <c r="K22">
        <f t="shared" si="1"/>
        <v>0.21226978925151377</v>
      </c>
      <c r="L22">
        <f t="shared" si="2"/>
        <v>1.0868213209677505E-7</v>
      </c>
      <c r="M22" t="str">
        <f t="shared" si="3"/>
        <v/>
      </c>
      <c r="N22">
        <f t="shared" si="4"/>
        <v>5.4393927711116064E-5</v>
      </c>
      <c r="O22">
        <f t="shared" si="5"/>
        <v>0.19125352297565568</v>
      </c>
      <c r="P22">
        <f t="shared" si="6"/>
        <v>1.0868212618753148E-7</v>
      </c>
      <c r="Q22" t="str">
        <f t="shared" si="7"/>
        <v/>
      </c>
      <c r="R22">
        <f t="shared" si="8"/>
        <v>9.819258033290108</v>
      </c>
      <c r="S22">
        <f t="shared" si="9"/>
        <v>1.6541553856574103</v>
      </c>
      <c r="T22">
        <f t="shared" si="10"/>
        <v>16.034838488837163</v>
      </c>
      <c r="U22" t="str">
        <f t="shared" si="11"/>
        <v/>
      </c>
    </row>
    <row r="23" spans="1:21">
      <c r="A23">
        <v>2</v>
      </c>
      <c r="B23">
        <f>IF(A23=1,Inputs!$B$5,Inputs!$B$6)</f>
        <v>5</v>
      </c>
      <c r="C23">
        <f>Inputs!$B$9</f>
        <v>15</v>
      </c>
      <c r="D23">
        <v>11</v>
      </c>
      <c r="E23">
        <f>B23*Inputs!$B$4</f>
        <v>75</v>
      </c>
      <c r="F23">
        <f>B23*COMBIN(Inputs!$B$4,D23)</f>
        <v>6825</v>
      </c>
      <c r="G23">
        <f>(Inputs!$B$4-D23+1)*B23^D23</f>
        <v>244140625</v>
      </c>
      <c r="H23">
        <f>B23*(Inputs!$B$4-D23+1)</f>
        <v>25</v>
      </c>
      <c r="I23" t="str">
        <f>IF(D23&lt;=B23,Inputs!$B$4*COMBIN(B23,D23),"")</f>
        <v/>
      </c>
      <c r="J23">
        <f t="shared" si="0"/>
        <v>1.9019373116935629E-6</v>
      </c>
      <c r="K23">
        <f t="shared" si="1"/>
        <v>6.8035188862664658E-2</v>
      </c>
      <c r="L23">
        <f t="shared" si="2"/>
        <v>6.9668033395368607E-9</v>
      </c>
      <c r="M23" t="str">
        <f t="shared" si="3"/>
        <v/>
      </c>
      <c r="N23">
        <f t="shared" si="4"/>
        <v>1.9019355029792351E-6</v>
      </c>
      <c r="O23">
        <f t="shared" si="5"/>
        <v>6.5772401407864112E-2</v>
      </c>
      <c r="P23">
        <f t="shared" si="6"/>
        <v>6.9668033395368607E-9</v>
      </c>
      <c r="Q23" t="str">
        <f t="shared" si="7"/>
        <v/>
      </c>
      <c r="R23">
        <f t="shared" si="8"/>
        <v>13.172638504521592</v>
      </c>
      <c r="S23">
        <f t="shared" si="9"/>
        <v>2.7215549601282838</v>
      </c>
      <c r="T23">
        <f t="shared" si="10"/>
        <v>18.782109348720848</v>
      </c>
      <c r="U23" t="str">
        <f t="shared" si="11"/>
        <v/>
      </c>
    </row>
    <row r="24" spans="1:21">
      <c r="A24">
        <v>2</v>
      </c>
      <c r="B24">
        <f>IF(A24=1,Inputs!$B$5,Inputs!$B$6)</f>
        <v>5</v>
      </c>
      <c r="C24">
        <f>Inputs!$B$9</f>
        <v>15</v>
      </c>
      <c r="D24">
        <v>12</v>
      </c>
      <c r="E24">
        <f>B24*Inputs!$B$4</f>
        <v>75</v>
      </c>
      <c r="F24">
        <f>B24*COMBIN(Inputs!$B$4,D24)</f>
        <v>2275.0000000000005</v>
      </c>
      <c r="G24">
        <f>(Inputs!$B$4-D24+1)*B24^D24</f>
        <v>976562500</v>
      </c>
      <c r="H24">
        <f>B24*(Inputs!$B$4-D24+1)</f>
        <v>20</v>
      </c>
      <c r="I24" t="str">
        <f>IF(D24&lt;=B24,Inputs!$B$4*COMBIN(B24,D24),"")</f>
        <v/>
      </c>
      <c r="J24">
        <f t="shared" si="0"/>
        <v>3.9623693993615899E-8</v>
      </c>
      <c r="K24">
        <f t="shared" si="1"/>
        <v>1.7008797215666165E-2</v>
      </c>
      <c r="L24">
        <f t="shared" si="2"/>
        <v>3.4834016697684304E-10</v>
      </c>
      <c r="M24" t="str">
        <f t="shared" si="3"/>
        <v/>
      </c>
      <c r="N24">
        <f t="shared" si="4"/>
        <v>3.9623693215418143E-8</v>
      </c>
      <c r="O24">
        <f t="shared" si="5"/>
        <v>1.6864964254071801E-2</v>
      </c>
      <c r="P24">
        <f t="shared" si="6"/>
        <v>3.4834016697684304E-10</v>
      </c>
      <c r="Q24" t="str">
        <f t="shared" si="7"/>
        <v/>
      </c>
      <c r="R24">
        <f t="shared" si="8"/>
        <v>17.043838584083488</v>
      </c>
      <c r="S24">
        <f t="shared" si="9"/>
        <v>4.0825169300040161</v>
      </c>
      <c r="T24">
        <f t="shared" si="10"/>
        <v>21.777841622274842</v>
      </c>
      <c r="U24" t="str">
        <f t="shared" si="11"/>
        <v/>
      </c>
    </row>
    <row r="25" spans="1:21">
      <c r="A25">
        <v>2</v>
      </c>
      <c r="B25">
        <f>IF(A25=1,Inputs!$B$5,Inputs!$B$6)</f>
        <v>5</v>
      </c>
      <c r="C25">
        <f>Inputs!$B$9</f>
        <v>15</v>
      </c>
      <c r="D25">
        <v>13</v>
      </c>
      <c r="E25">
        <f>B25*Inputs!$B$4</f>
        <v>75</v>
      </c>
      <c r="F25">
        <f>B25*COMBIN(Inputs!$B$4,D25)</f>
        <v>525</v>
      </c>
      <c r="G25">
        <f>(Inputs!$B$4-D25+1)*B25^D25</f>
        <v>3662109375</v>
      </c>
      <c r="H25">
        <f>B25*(Inputs!$B$4-D25+1)</f>
        <v>15</v>
      </c>
      <c r="I25" t="str">
        <f>IF(D25&lt;=B25,Inputs!$B$4*COMBIN(B25,D25),"")</f>
        <v/>
      </c>
      <c r="J25">
        <f t="shared" si="0"/>
        <v>4.3542520872105379E-10</v>
      </c>
      <c r="K25">
        <f t="shared" si="1"/>
        <v>3.0372852170832436E-3</v>
      </c>
      <c r="L25">
        <f t="shared" si="2"/>
        <v>1.2440720249172966E-11</v>
      </c>
      <c r="M25" t="str">
        <f t="shared" si="3"/>
        <v/>
      </c>
      <c r="N25">
        <f t="shared" si="4"/>
        <v>4.3542520872105379E-10</v>
      </c>
      <c r="O25">
        <f t="shared" si="5"/>
        <v>3.0326773326718737E-3</v>
      </c>
      <c r="P25">
        <f t="shared" si="6"/>
        <v>1.2440720249172966E-11</v>
      </c>
      <c r="Q25" t="str">
        <f t="shared" si="7"/>
        <v/>
      </c>
      <c r="R25">
        <f t="shared" si="8"/>
        <v>21.55469807096063</v>
      </c>
      <c r="S25">
        <f t="shared" si="9"/>
        <v>5.7983094414701908</v>
      </c>
      <c r="T25">
        <f t="shared" si="10"/>
        <v>25.110046132450044</v>
      </c>
      <c r="U25" t="str">
        <f t="shared" si="11"/>
        <v/>
      </c>
    </row>
    <row r="26" spans="1:21">
      <c r="A26">
        <v>2</v>
      </c>
      <c r="B26">
        <f>IF(A26=1,Inputs!$B$5,Inputs!$B$6)</f>
        <v>5</v>
      </c>
      <c r="C26">
        <f>Inputs!$B$9</f>
        <v>15</v>
      </c>
      <c r="D26">
        <v>14</v>
      </c>
      <c r="E26">
        <f>B26*Inputs!$B$4</f>
        <v>75</v>
      </c>
      <c r="F26">
        <f>B26*COMBIN(Inputs!$B$4,D26)</f>
        <v>75</v>
      </c>
      <c r="G26">
        <f>(Inputs!$B$4-D26+1)*B26^D26</f>
        <v>12207031250</v>
      </c>
      <c r="H26">
        <f>B26*(Inputs!$B$4-D26+1)</f>
        <v>10</v>
      </c>
      <c r="I26" t="str">
        <f>IF(D26&lt;=B26,Inputs!$B$4*COMBIN(B26,D26),"")</f>
        <v/>
      </c>
      <c r="J26">
        <f t="shared" si="0"/>
        <v>2.0065677821246717E-12</v>
      </c>
      <c r="K26">
        <f t="shared" si="1"/>
        <v>3.2658980828852082E-4</v>
      </c>
      <c r="L26">
        <f t="shared" si="2"/>
        <v>2.6754237094995625E-13</v>
      </c>
      <c r="M26" t="str">
        <f t="shared" si="3"/>
        <v/>
      </c>
      <c r="N26">
        <f t="shared" si="4"/>
        <v>2.0065677821246717E-12</v>
      </c>
      <c r="O26">
        <f t="shared" si="5"/>
        <v>3.2653648364233678E-4</v>
      </c>
      <c r="P26">
        <f t="shared" si="6"/>
        <v>2.6754237094995625E-13</v>
      </c>
      <c r="Q26" t="str">
        <f t="shared" si="7"/>
        <v/>
      </c>
      <c r="R26">
        <f t="shared" si="8"/>
        <v>26.93459542450109</v>
      </c>
      <c r="S26">
        <f t="shared" si="9"/>
        <v>8.0269688738599854</v>
      </c>
      <c r="T26">
        <f t="shared" si="10"/>
        <v>28.949498445043353</v>
      </c>
      <c r="U26" t="str">
        <f t="shared" si="11"/>
        <v/>
      </c>
    </row>
    <row r="27" spans="1:21">
      <c r="A27">
        <v>2</v>
      </c>
      <c r="B27">
        <f>IF(A27=1,Inputs!$B$5,Inputs!$B$6)</f>
        <v>5</v>
      </c>
      <c r="C27">
        <f>Inputs!$B$9</f>
        <v>15</v>
      </c>
      <c r="D27">
        <v>15</v>
      </c>
      <c r="E27">
        <f>B27*Inputs!$B$4</f>
        <v>75</v>
      </c>
      <c r="F27">
        <f>B27*COMBIN(Inputs!$B$4,D27)</f>
        <v>5</v>
      </c>
      <c r="G27">
        <f>(Inputs!$B$4-D27+1)*B27^D27</f>
        <v>30517578125</v>
      </c>
      <c r="H27">
        <f>B27*(Inputs!$B$4-D27+1)</f>
        <v>5</v>
      </c>
      <c r="I27" t="str">
        <f>IF(D27&lt;=B27,Inputs!$B$4*COMBIN(B27,D27),"")</f>
        <v/>
      </c>
      <c r="J27">
        <f t="shared" si="0"/>
        <v>2.1929702536881659E-15</v>
      </c>
      <c r="K27">
        <f t="shared" si="1"/>
        <v>1.3384828208545935E-5</v>
      </c>
      <c r="L27">
        <f t="shared" si="2"/>
        <v>2.1929702536881659E-15</v>
      </c>
      <c r="M27" t="str">
        <f t="shared" si="3"/>
        <v/>
      </c>
      <c r="N27">
        <f t="shared" si="4"/>
        <v>2.1929702536881659E-15</v>
      </c>
      <c r="O27">
        <f t="shared" si="5"/>
        <v>1.3384738632105098E-5</v>
      </c>
      <c r="P27">
        <f t="shared" si="6"/>
        <v>2.1929702536881659E-15</v>
      </c>
      <c r="Q27" t="str">
        <f t="shared" si="7"/>
        <v/>
      </c>
      <c r="R27">
        <f t="shared" si="8"/>
        <v>33.753519489776615</v>
      </c>
      <c r="S27">
        <f t="shared" si="9"/>
        <v>11.221395408107893</v>
      </c>
      <c r="T27">
        <f t="shared" si="10"/>
        <v>33.753519489776615</v>
      </c>
      <c r="U27" t="str">
        <f t="shared" si="11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7"/>
  <sheetViews>
    <sheetView workbookViewId="0"/>
  </sheetViews>
  <sheetFormatPr defaultRowHeight="14.15"/>
  <cols>
    <col min="1" max="1" width="4.2109375" customWidth="1"/>
    <col min="2" max="2" width="8.2109375" customWidth="1"/>
    <col min="3" max="3" width="11.85546875" customWidth="1"/>
    <col min="4" max="4" width="4.85546875" customWidth="1"/>
    <col min="5" max="10" width="10.2109375" customWidth="1"/>
    <col min="11" max="11" width="11" customWidth="1"/>
    <col min="12" max="12" width="12.7109375" customWidth="1"/>
    <col min="13" max="15" width="10.2109375" customWidth="1"/>
    <col min="16" max="16" width="11.5" customWidth="1"/>
    <col min="17" max="18" width="11.640625" customWidth="1"/>
    <col min="19" max="19" width="12.640625" customWidth="1"/>
    <col min="20" max="20" width="14.35546875" customWidth="1"/>
    <col min="21" max="22" width="12.640625" customWidth="1"/>
    <col min="23" max="23" width="13.640625" customWidth="1"/>
    <col min="24" max="24" width="15.35546875" customWidth="1"/>
    <col min="25" max="25" width="11.140625" customWidth="1"/>
    <col min="26" max="26" width="11" customWidth="1"/>
    <col min="27" max="27" width="12" customWidth="1"/>
    <col min="28" max="28" width="13.7109375" customWidth="1"/>
  </cols>
  <sheetData>
    <row r="1" spans="1:28" ht="28.3">
      <c r="A1" s="19" t="s">
        <v>28</v>
      </c>
      <c r="B1" s="19" t="s">
        <v>29</v>
      </c>
      <c r="C1" s="19" t="s">
        <v>120</v>
      </c>
      <c r="D1" s="19" t="s">
        <v>30</v>
      </c>
      <c r="E1" s="20" t="s">
        <v>137</v>
      </c>
      <c r="F1" s="20" t="s">
        <v>138</v>
      </c>
      <c r="G1" s="20" t="s">
        <v>139</v>
      </c>
      <c r="H1" s="20" t="s">
        <v>140</v>
      </c>
      <c r="I1" s="20" t="s">
        <v>141</v>
      </c>
      <c r="J1" s="20" t="s">
        <v>142</v>
      </c>
      <c r="K1" s="20" t="s">
        <v>143</v>
      </c>
      <c r="L1" s="20" t="s">
        <v>144</v>
      </c>
      <c r="M1" s="21" t="s">
        <v>145</v>
      </c>
      <c r="N1" s="21" t="s">
        <v>146</v>
      </c>
      <c r="O1" s="21" t="s">
        <v>147</v>
      </c>
      <c r="P1" s="21" t="s">
        <v>148</v>
      </c>
      <c r="Q1" s="21" t="s">
        <v>149</v>
      </c>
      <c r="R1" s="21" t="s">
        <v>150</v>
      </c>
      <c r="S1" s="21" t="s">
        <v>151</v>
      </c>
      <c r="T1" s="21" t="s">
        <v>152</v>
      </c>
      <c r="U1" s="21" t="s">
        <v>153</v>
      </c>
      <c r="V1" s="21" t="s">
        <v>154</v>
      </c>
      <c r="W1" s="21" t="s">
        <v>155</v>
      </c>
      <c r="X1" s="21" t="s">
        <v>156</v>
      </c>
      <c r="Y1" s="20" t="s">
        <v>157</v>
      </c>
      <c r="Z1" s="20" t="s">
        <v>158</v>
      </c>
      <c r="AA1" s="20" t="s">
        <v>159</v>
      </c>
      <c r="AB1" s="20" t="s">
        <v>160</v>
      </c>
    </row>
    <row r="2" spans="1:28">
      <c r="A2">
        <f>Fixed_Opportunity!A2</f>
        <v>1</v>
      </c>
      <c r="B2">
        <f>Fixed_Opportunity!B2</f>
        <v>4</v>
      </c>
      <c r="C2">
        <f>Fixed_Opportunity!C2</f>
        <v>15</v>
      </c>
      <c r="D2">
        <f>Fixed_Opportunity!D2</f>
        <v>3</v>
      </c>
      <c r="E2">
        <f>IF(D2&gt;C2,"",Fixed_Opportunity!N2)</f>
        <v>0.99999999996907007</v>
      </c>
      <c r="F2">
        <f>IF(D2&gt;C2,"",Fixed_Opportunity!O2)</f>
        <v>0.99998431077721828</v>
      </c>
      <c r="G2">
        <f>IF(D2&gt;C2,"",Fixed_Opportunity!P2)</f>
        <v>0.49912992006885437</v>
      </c>
      <c r="H2">
        <f>IF(OR(D2&gt;C2,D2&gt;B2),"",Fixed_Opportunity!Q2)</f>
        <v>0.54967200167703711</v>
      </c>
      <c r="I2">
        <f>Marginal_Model!J2</f>
        <v>5.3185271770894223E-2</v>
      </c>
      <c r="J2">
        <f>Marginal_Model!K2</f>
        <v>2.4313267095265927E-2</v>
      </c>
      <c r="K2">
        <f>Marginal_Model!L2</f>
        <v>1.5195791934541204E-3</v>
      </c>
      <c r="L2">
        <f>IF(D2&gt;B2,"",Marginal_Model!M2)</f>
        <v>1.7533606078316774E-3</v>
      </c>
      <c r="M2">
        <f>IF(D2&gt;C2,"",Fixed_Opportunity!R2)</f>
        <v>3.0929925288115491E-11</v>
      </c>
      <c r="N2">
        <f>IF(D2&gt;C2,"",Fixed_Opportunity!S2)</f>
        <v>1.5689345858865983E-5</v>
      </c>
      <c r="O2">
        <f>IF(D2&gt;C2,"",Fixed_Opportunity!T2)</f>
        <v>0.69488885625919738</v>
      </c>
      <c r="P2">
        <f>IF(OR(D2&gt;C2,D2&gt;B2),"",Fixed_Opportunity!U2)</f>
        <v>0.59843353923653009</v>
      </c>
      <c r="Q2">
        <f>Marginal_Model!N2</f>
        <v>2.9339737673753432</v>
      </c>
      <c r="R2">
        <f>Marginal_Model!O2</f>
        <v>3.716733106624976</v>
      </c>
      <c r="S2">
        <f>Marginal_Model!P2</f>
        <v>6.4893218288647567</v>
      </c>
      <c r="T2">
        <f>IF(D2&gt;B2,"",Marginal_Model!Q2)</f>
        <v>6.3462209852240834</v>
      </c>
      <c r="U2">
        <f>IF(D2&gt;C2,"",Inputs!$B$7*M2+Inputs!$B$8*Q2)</f>
        <v>0.58679475349981247</v>
      </c>
      <c r="V2">
        <f>IF(D2&gt;C2,"",Inputs!$B$7*N2+Inputs!$B$8*R2)</f>
        <v>0.74335917280168218</v>
      </c>
      <c r="W2">
        <f>IF(D2&gt;C2,"",Inputs!$B$7*O2+Inputs!$B$8*S2)</f>
        <v>1.8537754507803093</v>
      </c>
      <c r="X2">
        <f>IF(OR(D2&gt;C2,D2&gt;B2),"",Inputs!$B$7*P2+Inputs!$B$8*T2)</f>
        <v>1.7479910284340405</v>
      </c>
      <c r="Y2">
        <f t="shared" ref="Y2:Y27" si="0">IF(D2&gt;C2,"",EXP(-U2))</f>
        <v>0.55610689083839826</v>
      </c>
      <c r="Z2">
        <f t="shared" ref="Z2:Z27" si="1">IF(D2&gt;C2,"",EXP(-V2))</f>
        <v>0.4755138963077804</v>
      </c>
      <c r="AA2">
        <f t="shared" ref="AA2:AA27" si="2">IF(D2&gt;C2,"",EXP(-W2))</f>
        <v>0.15664464435394132</v>
      </c>
      <c r="AB2">
        <f t="shared" ref="AB2:AB27" si="3">IF(OR(D2&gt;C2,D2&gt;B2),"",EXP(-X2))</f>
        <v>0.1741234012696195</v>
      </c>
    </row>
    <row r="3" spans="1:28">
      <c r="A3">
        <f>Fixed_Opportunity!A3</f>
        <v>1</v>
      </c>
      <c r="B3">
        <f>Fixed_Opportunity!B3</f>
        <v>4</v>
      </c>
      <c r="C3">
        <f>Fixed_Opportunity!C3</f>
        <v>15</v>
      </c>
      <c r="D3">
        <f>Fixed_Opportunity!D3</f>
        <v>4</v>
      </c>
      <c r="E3">
        <f>IF(D3&gt;C3,"",Fixed_Opportunity!N3)</f>
        <v>0.99999976967340842</v>
      </c>
      <c r="F3">
        <f>IF(D3&gt;C3,"",Fixed_Opportunity!O3)</f>
        <v>0.99981575030419834</v>
      </c>
      <c r="G3">
        <f>IF(D3&gt;C3,"",Fixed_Opportunity!P3)</f>
        <v>0.12572717198852157</v>
      </c>
      <c r="H3">
        <f>IF(OR(D3&gt;C3,D3&gt;B3),"",Fixed_Opportunity!Q3)</f>
        <v>4.1119070057055507E-2</v>
      </c>
      <c r="I3">
        <f>Marginal_Model!J3</f>
        <v>1.1196899320188258E-2</v>
      </c>
      <c r="J3">
        <f>Marginal_Model!K3</f>
        <v>3.1498969516133993E-3</v>
      </c>
      <c r="K3">
        <f>Marginal_Model!L3</f>
        <v>4.9217139868959364E-5</v>
      </c>
      <c r="L3">
        <f>IF(D3&gt;B3,"",Marginal_Model!M3)</f>
        <v>3.0760712418099601E-5</v>
      </c>
      <c r="M3">
        <f>IF(D3&gt;C3,"",Fixed_Opportunity!R3)</f>
        <v>2.3032661810224149E-7</v>
      </c>
      <c r="N3">
        <f>IF(D3&gt;C3,"",Fixed_Opportunity!S3)</f>
        <v>1.8426667186211991E-4</v>
      </c>
      <c r="O3">
        <f>IF(D3&gt;C3,"",Fixed_Opportunity!T3)</f>
        <v>2.073641021364272</v>
      </c>
      <c r="P3">
        <f>IF(OR(D3&gt;C3,D3&gt;B3),"",Fixed_Opportunity!U3)</f>
        <v>3.191283273434939</v>
      </c>
      <c r="Q3">
        <f>Marginal_Model!N3</f>
        <v>4.4921183854218931</v>
      </c>
      <c r="R3">
        <f>Marginal_Model!O3</f>
        <v>5.7603855404532265</v>
      </c>
      <c r="S3">
        <f>Marginal_Model!P3</f>
        <v>9.9192686238128989</v>
      </c>
      <c r="T3">
        <f>IF(D3&gt;B3,"",Marginal_Model!Q3)</f>
        <v>10.389272253058634</v>
      </c>
      <c r="U3">
        <f>IF(D3&gt;C3,"",Inputs!$B$7*M3+Inputs!$B$8*Q3)</f>
        <v>0.89842386134567287</v>
      </c>
      <c r="V3">
        <f>IF(D3&gt;C3,"",Inputs!$B$7*N3+Inputs!$B$8*R3)</f>
        <v>1.1522245214281348</v>
      </c>
      <c r="W3">
        <f>IF(D3&gt;C3,"",Inputs!$B$7*O3+Inputs!$B$8*S3)</f>
        <v>3.6427665418539972</v>
      </c>
      <c r="X3">
        <f>IF(OR(D3&gt;C3,D3&gt;B3),"",Inputs!$B$7*P3+Inputs!$B$8*T3)</f>
        <v>4.6308810693596776</v>
      </c>
      <c r="Y3">
        <f t="shared" si="0"/>
        <v>0.4072109751652444</v>
      </c>
      <c r="Z3">
        <f t="shared" si="1"/>
        <v>0.31593318695785988</v>
      </c>
      <c r="AA3">
        <f t="shared" si="2"/>
        <v>2.6179816129248083E-2</v>
      </c>
      <c r="AB3">
        <f t="shared" si="3"/>
        <v>9.7461682681029473E-3</v>
      </c>
    </row>
    <row r="4" spans="1:28">
      <c r="A4">
        <f>Fixed_Opportunity!A4</f>
        <v>1</v>
      </c>
      <c r="B4">
        <f>Fixed_Opportunity!B4</f>
        <v>4</v>
      </c>
      <c r="C4">
        <f>Fixed_Opportunity!C4</f>
        <v>15</v>
      </c>
      <c r="D4">
        <f>Fixed_Opportunity!D4</f>
        <v>5</v>
      </c>
      <c r="E4">
        <f>IF(D4&gt;C4,"",Fixed_Opportunity!N4)</f>
        <v>0.99864610680202093</v>
      </c>
      <c r="F4">
        <f>IF(D4&gt;C4,"",Fixed_Opportunity!O4)</f>
        <v>0.99795730421674655</v>
      </c>
      <c r="G4">
        <f>IF(D4&gt;C4,"",Fixed_Opportunity!P4)</f>
        <v>2.3902988340820053E-2</v>
      </c>
      <c r="H4" t="str">
        <f>IF(OR(D4&gt;C4,D4&gt;B4),"",Fixed_Opportunity!Q4)</f>
        <v/>
      </c>
      <c r="I4">
        <f>Marginal_Model!J4</f>
        <v>2.199390937894122E-3</v>
      </c>
      <c r="J4">
        <f>Marginal_Model!K4</f>
        <v>4.1248650556842138E-4</v>
      </c>
      <c r="K4">
        <f>Marginal_Model!L4</f>
        <v>1.611275412376646E-6</v>
      </c>
      <c r="L4" t="str">
        <f>IF(D4&gt;B4,"",Marginal_Model!M4)</f>
        <v/>
      </c>
      <c r="M4">
        <f>IF(D4&gt;C4,"",Fixed_Opportunity!R4)</f>
        <v>1.354810539456582E-3</v>
      </c>
      <c r="N4">
        <f>IF(D4&gt;C4,"",Fixed_Opportunity!S4)</f>
        <v>2.0447849317662948E-3</v>
      </c>
      <c r="O4">
        <f>IF(D4&gt;C4,"",Fixed_Opportunity!T4)</f>
        <v>3.7337517926801636</v>
      </c>
      <c r="P4" t="str">
        <f>IF(OR(D4&gt;C4,D4&gt;B4),"",Fixed_Opportunity!U4)</f>
        <v/>
      </c>
      <c r="Q4">
        <f>Marginal_Model!N4</f>
        <v>6.1195748033586721</v>
      </c>
      <c r="R4">
        <f>Marginal_Model!O4</f>
        <v>7.7933070664981692</v>
      </c>
      <c r="S4">
        <f>Marginal_Model!P4</f>
        <v>13.338484510977732</v>
      </c>
      <c r="T4" t="str">
        <f>IF(D4&gt;B4,"",Marginal_Model!Q4)</f>
        <v/>
      </c>
      <c r="U4">
        <f>IF(D4&gt;C4,"",Inputs!$B$7*M4+Inputs!$B$8*Q4)</f>
        <v>1.2249988091032993</v>
      </c>
      <c r="V4">
        <f>IF(D4&gt;C4,"",Inputs!$B$7*N4+Inputs!$B$8*R4)</f>
        <v>1.5602972412450464</v>
      </c>
      <c r="W4">
        <f>IF(D4&gt;C4,"",Inputs!$B$7*O4+Inputs!$B$8*S4)</f>
        <v>5.6546983363396768</v>
      </c>
      <c r="X4" t="str">
        <f>IF(OR(D4&gt;C4,D4&gt;B4),"",Inputs!$B$7*P4+Inputs!$B$8*T4)</f>
        <v/>
      </c>
      <c r="Y4">
        <f t="shared" si="0"/>
        <v>0.29375805015881723</v>
      </c>
      <c r="Z4">
        <f t="shared" si="1"/>
        <v>0.21007361937542082</v>
      </c>
      <c r="AA4">
        <f t="shared" si="2"/>
        <v>3.5010290607660425E-3</v>
      </c>
      <c r="AB4" t="str">
        <f t="shared" si="3"/>
        <v/>
      </c>
    </row>
    <row r="5" spans="1:28">
      <c r="A5">
        <f>Fixed_Opportunity!A5</f>
        <v>1</v>
      </c>
      <c r="B5">
        <f>Fixed_Opportunity!B5</f>
        <v>4</v>
      </c>
      <c r="C5">
        <f>Fixed_Opportunity!C5</f>
        <v>15</v>
      </c>
      <c r="D5">
        <f>Fixed_Opportunity!D5</f>
        <v>6</v>
      </c>
      <c r="E5">
        <f>IF(D5&gt;C5,"",Fixed_Opportunity!N5)</f>
        <v>0.86486023684960811</v>
      </c>
      <c r="F5">
        <f>IF(D5&gt;C5,"",Fixed_Opportunity!O5)</f>
        <v>0.98334202231551537</v>
      </c>
      <c r="G5">
        <f>IF(D5&gt;C5,"",Fixed_Opportunity!P5)</f>
        <v>3.9909076904460772E-3</v>
      </c>
      <c r="H5" t="str">
        <f>IF(OR(D5&gt;C5,D5&gt;B5),"",Fixed_Opportunity!Q5)</f>
        <v/>
      </c>
      <c r="I5">
        <f>Marginal_Model!J5</f>
        <v>3.9988926143529491E-4</v>
      </c>
      <c r="J5">
        <f>Marginal_Model!K5</f>
        <v>5.454367015780779E-5</v>
      </c>
      <c r="K5">
        <f>Marginal_Model!L5</f>
        <v>5.326530288848417E-8</v>
      </c>
      <c r="L5" t="str">
        <f>IF(D5&gt;B5,"",Marginal_Model!M5)</f>
        <v/>
      </c>
      <c r="M5">
        <f>IF(D5&gt;C5,"",Fixed_Opportunity!R5)</f>
        <v>0.14518736100145593</v>
      </c>
      <c r="N5">
        <f>IF(D5&gt;C5,"",Fixed_Opportunity!S5)</f>
        <v>1.6798282102354206E-2</v>
      </c>
      <c r="O5">
        <f>IF(D5&gt;C5,"",Fixed_Opportunity!T5)</f>
        <v>5.5237365826127274</v>
      </c>
      <c r="P5" t="str">
        <f>IF(OR(D5&gt;C5,D5&gt;B5),"",Fixed_Opportunity!U5)</f>
        <v/>
      </c>
      <c r="Q5">
        <f>Marginal_Model!N5</f>
        <v>7.8243228955970974</v>
      </c>
      <c r="R5">
        <f>Marginal_Model!O5</f>
        <v>9.8165088898551289</v>
      </c>
      <c r="S5">
        <f>Marginal_Model!P5</f>
        <v>16.747980695454583</v>
      </c>
      <c r="T5" t="str">
        <f>IF(D5&gt;B5,"",Marginal_Model!Q5)</f>
        <v/>
      </c>
      <c r="U5">
        <f>IF(D5&gt;C5,"",Inputs!$B$7*M5+Inputs!$B$8*Q5)</f>
        <v>1.6810144679205838</v>
      </c>
      <c r="V5">
        <f>IF(D5&gt;C5,"",Inputs!$B$7*N5+Inputs!$B$8*R5)</f>
        <v>1.9767404036529088</v>
      </c>
      <c r="W5">
        <f>IF(D5&gt;C5,"",Inputs!$B$7*O5+Inputs!$B$8*S5)</f>
        <v>7.7685854051810974</v>
      </c>
      <c r="X5" t="str">
        <f>IF(OR(D5&gt;C5,D5&gt;B5),"",Inputs!$B$7*P5+Inputs!$B$8*T5)</f>
        <v/>
      </c>
      <c r="Y5">
        <f t="shared" si="0"/>
        <v>0.18618500149000228</v>
      </c>
      <c r="Z5">
        <f t="shared" si="1"/>
        <v>0.13852002158072604</v>
      </c>
      <c r="AA5">
        <f t="shared" si="2"/>
        <v>4.2281095014898057E-4</v>
      </c>
      <c r="AB5" t="str">
        <f t="shared" si="3"/>
        <v/>
      </c>
    </row>
    <row r="6" spans="1:28">
      <c r="A6">
        <f>Fixed_Opportunity!A6</f>
        <v>1</v>
      </c>
      <c r="B6">
        <f>Fixed_Opportunity!B6</f>
        <v>4</v>
      </c>
      <c r="C6">
        <f>Fixed_Opportunity!C6</f>
        <v>15</v>
      </c>
      <c r="D6">
        <f>Fixed_Opportunity!D6</f>
        <v>7</v>
      </c>
      <c r="E6">
        <f>IF(D6&gt;C6,"",Fixed_Opportunity!N6)</f>
        <v>0.34876272984291867</v>
      </c>
      <c r="F6">
        <f>IF(D6&gt;C6,"",Fixed_Opportunity!O6)</f>
        <v>0.9143014713603892</v>
      </c>
      <c r="G6">
        <f>IF(D6&gt;C6,"",Fixed_Opportunity!P6)</f>
        <v>5.9965402776851473E-4</v>
      </c>
      <c r="H6" t="str">
        <f>IF(OR(D6&gt;C6,D6&gt;B6),"",Fixed_Opportunity!Q6)</f>
        <v/>
      </c>
      <c r="I6">
        <f>Marginal_Model!J6</f>
        <v>6.664821023921581E-5</v>
      </c>
      <c r="J6">
        <f>Marginal_Model!K6</f>
        <v>7.272489354374372E-6</v>
      </c>
      <c r="K6">
        <f>Marginal_Model!L6</f>
        <v>1.7755100962828057E-9</v>
      </c>
      <c r="L6" t="str">
        <f>IF(D6&gt;B6,"",Marginal_Model!M6)</f>
        <v/>
      </c>
      <c r="M6">
        <f>IF(D6&gt;C6,"",Fixed_Opportunity!R6)</f>
        <v>1.0533634451710172</v>
      </c>
      <c r="N6">
        <f>IF(D6&gt;C6,"",Fixed_Opportunity!S6)</f>
        <v>8.9594924537770293E-2</v>
      </c>
      <c r="O6">
        <f>IF(D6&gt;C6,"",Fixed_Opportunity!T6)</f>
        <v>7.4191576894434057</v>
      </c>
      <c r="P6" t="str">
        <f>IF(OR(D6&gt;C6,D6&gt;B6),"",Fixed_Opportunity!U6)</f>
        <v/>
      </c>
      <c r="Q6">
        <f>Marginal_Model!N6</f>
        <v>9.6160823648251519</v>
      </c>
      <c r="R6">
        <f>Marginal_Model!O6</f>
        <v>11.831411910397394</v>
      </c>
      <c r="S6">
        <f>Marginal_Model!P6</f>
        <v>20.149178077116737</v>
      </c>
      <c r="T6" t="str">
        <f>IF(D6&gt;B6,"",Marginal_Model!Q6)</f>
        <v/>
      </c>
      <c r="U6">
        <f>IF(D6&gt;C6,"",Inputs!$B$7*M6+Inputs!$B$8*Q6)</f>
        <v>2.7659072291018436</v>
      </c>
      <c r="V6">
        <f>IF(D6&gt;C6,"",Inputs!$B$7*N6+Inputs!$B$8*R6)</f>
        <v>2.4379583217096945</v>
      </c>
      <c r="W6">
        <f>IF(D6&gt;C6,"",Inputs!$B$7*O6+Inputs!$B$8*S6)</f>
        <v>9.9651617669780705</v>
      </c>
      <c r="X6" t="str">
        <f>IF(OR(D6&gt;C6,D6&gt;B6),"",Inputs!$B$7*P6+Inputs!$B$8*T6)</f>
        <v/>
      </c>
      <c r="Y6">
        <f t="shared" si="0"/>
        <v>6.2918991506830654E-2</v>
      </c>
      <c r="Z6">
        <f t="shared" si="1"/>
        <v>8.7338987666707391E-2</v>
      </c>
      <c r="AA6">
        <f t="shared" si="2"/>
        <v>4.7009456847255043E-5</v>
      </c>
      <c r="AB6" t="str">
        <f t="shared" si="3"/>
        <v/>
      </c>
    </row>
    <row r="7" spans="1:28">
      <c r="A7">
        <f>Fixed_Opportunity!A7</f>
        <v>1</v>
      </c>
      <c r="B7">
        <f>Fixed_Opportunity!B7</f>
        <v>4</v>
      </c>
      <c r="C7">
        <f>Fixed_Opportunity!C7</f>
        <v>15</v>
      </c>
      <c r="D7">
        <f>Fixed_Opportunity!D7</f>
        <v>8</v>
      </c>
      <c r="E7">
        <f>IF(D7&gt;C7,"",Fixed_Opportunity!N7)</f>
        <v>6.2685858511162817E-2</v>
      </c>
      <c r="F7">
        <f>IF(D7&gt;C7,"",Fixed_Opportunity!O7)</f>
        <v>0.73249001110889378</v>
      </c>
      <c r="G7">
        <f>IF(D7&gt;C7,"",Fixed_Opportunity!P7)</f>
        <v>8.0477619149976753E-5</v>
      </c>
      <c r="H7" t="str">
        <f>IF(OR(D7&gt;C7,D7&gt;B7),"",Fixed_Opportunity!Q7)</f>
        <v/>
      </c>
      <c r="I7">
        <f>Marginal_Model!J7</f>
        <v>1.0060107205919367E-5</v>
      </c>
      <c r="J7">
        <f>Marginal_Model!K7</f>
        <v>9.7576377081752583E-7</v>
      </c>
      <c r="K7">
        <f>Marginal_Model!L7</f>
        <v>5.9555894214936879E-11</v>
      </c>
      <c r="L7" t="str">
        <f>IF(D7&gt;B7,"",Marginal_Model!M7)</f>
        <v/>
      </c>
      <c r="M7">
        <f>IF(D7&gt;C7,"",Fixed_Opportunity!R7)</f>
        <v>2.769619398868421</v>
      </c>
      <c r="N7">
        <f>IF(D7&gt;C7,"",Fixed_Opportunity!S7)</f>
        <v>0.31130557489530331</v>
      </c>
      <c r="O7">
        <f>IF(D7&gt;C7,"",Fixed_Opportunity!T7)</f>
        <v>9.4275314351769666</v>
      </c>
      <c r="P7" t="str">
        <f>IF(OR(D7&gt;C7,D7&gt;B7),"",Fixed_Opportunity!U7)</f>
        <v/>
      </c>
      <c r="Q7">
        <f>Marginal_Model!N7</f>
        <v>11.506932736697438</v>
      </c>
      <c r="R7">
        <f>Marginal_Model!O7</f>
        <v>13.840045317926064</v>
      </c>
      <c r="S7">
        <f>Marginal_Model!P7</f>
        <v>23.544105845765298</v>
      </c>
      <c r="T7" t="str">
        <f>IF(D7&gt;B7,"",Marginal_Model!Q7)</f>
        <v/>
      </c>
      <c r="U7">
        <f>IF(D7&gt;C7,"",Inputs!$B$7*M7+Inputs!$B$8*Q7)</f>
        <v>4.5170820664342237</v>
      </c>
      <c r="V7">
        <f>IF(D7&gt;C7,"",Inputs!$B$7*N7+Inputs!$B$8*R7)</f>
        <v>3.0170535235014548</v>
      </c>
      <c r="W7">
        <f>IF(D7&gt;C7,"",Inputs!$B$7*O7+Inputs!$B$8*S7)</f>
        <v>12.250846317294631</v>
      </c>
      <c r="X7" t="str">
        <f>IF(OR(D7&gt;C7,D7&gt;B7),"",Inputs!$B$7*P7+Inputs!$B$8*T7)</f>
        <v/>
      </c>
      <c r="Y7">
        <f t="shared" si="0"/>
        <v>1.0920843517741382E-2</v>
      </c>
      <c r="Z7">
        <f t="shared" si="1"/>
        <v>4.8945222052578639E-2</v>
      </c>
      <c r="AA7">
        <f t="shared" si="2"/>
        <v>4.781069377717132E-6</v>
      </c>
      <c r="AB7" t="str">
        <f t="shared" si="3"/>
        <v/>
      </c>
    </row>
    <row r="8" spans="1:28">
      <c r="A8">
        <f>Fixed_Opportunity!A8</f>
        <v>1</v>
      </c>
      <c r="B8">
        <f>Fixed_Opportunity!B8</f>
        <v>4</v>
      </c>
      <c r="C8">
        <f>Fixed_Opportunity!C8</f>
        <v>15</v>
      </c>
      <c r="D8">
        <f>Fixed_Opportunity!D8</f>
        <v>9</v>
      </c>
      <c r="E8">
        <f>IF(D8&gt;C8,"",Fixed_Opportunity!N8)</f>
        <v>6.7550784172143441E-3</v>
      </c>
      <c r="F8">
        <f>IF(D8&gt;C8,"",Fixed_Opportunity!O8)</f>
        <v>0.46273439314242737</v>
      </c>
      <c r="G8">
        <f>IF(D8&gt;C8,"",Fixed_Opportunity!P8)</f>
        <v>9.4796714732447995E-6</v>
      </c>
      <c r="H8" t="str">
        <f>IF(OR(D8&gt;C8,D8&gt;B8),"",Fixed_Opportunity!Q8)</f>
        <v/>
      </c>
      <c r="I8">
        <f>Marginal_Model!J8</f>
        <v>1.3542452007968379E-6</v>
      </c>
      <c r="J8">
        <f>Marginal_Model!K8</f>
        <v>1.3135281530235925E-7</v>
      </c>
      <c r="K8">
        <f>Marginal_Model!L8</f>
        <v>2.004284901464222E-12</v>
      </c>
      <c r="L8" t="str">
        <f>IF(D8&gt;B8,"",Marginal_Model!M8)</f>
        <v/>
      </c>
      <c r="M8">
        <f>IF(D8&gt;C8,"",Fixed_Opportunity!R8)</f>
        <v>4.9974606988713539</v>
      </c>
      <c r="N8">
        <f>IF(D8&gt;C8,"",Fixed_Opportunity!S8)</f>
        <v>0.77060205442374252</v>
      </c>
      <c r="O8">
        <f>IF(D8&gt;C8,"",Fixed_Opportunity!T8)</f>
        <v>11.566360897018845</v>
      </c>
      <c r="P8" t="str">
        <f>IF(OR(D8&gt;C8,D8&gt;B8),"",Fixed_Opportunity!U8)</f>
        <v/>
      </c>
      <c r="Q8">
        <f>Marginal_Model!N8</f>
        <v>13.512266306223552</v>
      </c>
      <c r="R8">
        <f>Marginal_Model!O8</f>
        <v>15.845378887452178</v>
      </c>
      <c r="S8">
        <f>Marginal_Model!P8</f>
        <v>26.935733776411304</v>
      </c>
      <c r="T8" t="str">
        <f>IF(D8&gt;B8,"",Marginal_Model!Q8)</f>
        <v/>
      </c>
      <c r="U8">
        <f>IF(D8&gt;C8,"",Inputs!$B$7*M8+Inputs!$B$8*Q8)</f>
        <v>6.7004218203417931</v>
      </c>
      <c r="V8">
        <f>IF(D8&gt;C8,"",Inputs!$B$7*N8+Inputs!$B$8*R8)</f>
        <v>3.7855574210294289</v>
      </c>
      <c r="W8">
        <f>IF(D8&gt;C8,"",Inputs!$B$7*O8+Inputs!$B$8*S8)</f>
        <v>14.640235472897336</v>
      </c>
      <c r="X8" t="str">
        <f>IF(OR(D8&gt;C8,D8&gt;B8),"",Inputs!$B$7*P8+Inputs!$B$8*T8)</f>
        <v/>
      </c>
      <c r="Y8">
        <f t="shared" si="0"/>
        <v>1.2303927884881371E-3</v>
      </c>
      <c r="Z8">
        <f t="shared" si="1"/>
        <v>2.2696207906438257E-2</v>
      </c>
      <c r="AA8">
        <f t="shared" si="2"/>
        <v>4.3835556094972061E-7</v>
      </c>
      <c r="AB8" t="str">
        <f t="shared" si="3"/>
        <v/>
      </c>
    </row>
    <row r="9" spans="1:28">
      <c r="A9">
        <f>Fixed_Opportunity!A9</f>
        <v>1</v>
      </c>
      <c r="B9">
        <f>Fixed_Opportunity!B9</f>
        <v>4</v>
      </c>
      <c r="C9">
        <f>Fixed_Opportunity!C9</f>
        <v>15</v>
      </c>
      <c r="D9">
        <f>Fixed_Opportunity!D9</f>
        <v>10</v>
      </c>
      <c r="E9">
        <f>IF(D9&gt;C9,"",Fixed_Opportunity!N9)</f>
        <v>4.7833242584427449E-4</v>
      </c>
      <c r="F9">
        <f>IF(D9&gt;C9,"",Fixed_Opportunity!O9)</f>
        <v>0.22166118574806515</v>
      </c>
      <c r="G9">
        <f>IF(D9&gt;C9,"",Fixed_Opportunity!P9)</f>
        <v>9.5593733184795582E-7</v>
      </c>
      <c r="H9" t="str">
        <f>IF(OR(D9&gt;C9,D9&gt;B9),"",Fixed_Opportunity!Q9)</f>
        <v/>
      </c>
      <c r="I9">
        <f>Marginal_Model!J9</f>
        <v>1.5932296479962799E-7</v>
      </c>
      <c r="J9">
        <f>Marginal_Model!K9</f>
        <v>1.7660882729728973E-8</v>
      </c>
      <c r="K9">
        <f>Marginal_Model!L9</f>
        <v>6.7370921057620899E-14</v>
      </c>
      <c r="L9" t="str">
        <f>IF(D9&gt;B9,"",Marginal_Model!M9)</f>
        <v/>
      </c>
      <c r="M9">
        <f>IF(D9&gt;C9,"",Fixed_Opportunity!R9)</f>
        <v>7.6452046156301323</v>
      </c>
      <c r="N9">
        <f>IF(D9&gt;C9,"",Fixed_Opportunity!S9)</f>
        <v>1.5066052532486622</v>
      </c>
      <c r="O9">
        <f>IF(D9&gt;C9,"",Fixed_Opportunity!T9)</f>
        <v>13.860573478503964</v>
      </c>
      <c r="P9" t="str">
        <f>IF(OR(D9&gt;C9,D9&gt;B9),"",Fixed_Opportunity!U9)</f>
        <v/>
      </c>
      <c r="Q9">
        <f>Marginal_Model!N9</f>
        <v>15.652332469719823</v>
      </c>
      <c r="R9">
        <f>Marginal_Model!O9</f>
        <v>17.851913658323927</v>
      </c>
      <c r="S9">
        <f>Marginal_Model!P9</f>
        <v>30.32856290840294</v>
      </c>
      <c r="T9" t="str">
        <f>IF(D9&gt;B9,"",Marginal_Model!Q9)</f>
        <v/>
      </c>
      <c r="U9">
        <f>IF(D9&gt;C9,"",Inputs!$B$7*M9+Inputs!$B$8*Q9)</f>
        <v>9.2466301864480691</v>
      </c>
      <c r="V9">
        <f>IF(D9&gt;C9,"",Inputs!$B$7*N9+Inputs!$B$8*R9)</f>
        <v>4.7756669342637146</v>
      </c>
      <c r="W9">
        <f>IF(D9&gt;C9,"",Inputs!$B$7*O9+Inputs!$B$8*S9)</f>
        <v>17.154171364483759</v>
      </c>
      <c r="X9" t="str">
        <f>IF(OR(D9&gt;C9,D9&gt;B9),"",Inputs!$B$7*P9+Inputs!$B$8*T9)</f>
        <v/>
      </c>
      <c r="Y9">
        <f t="shared" si="0"/>
        <v>9.6436076727323384E-5</v>
      </c>
      <c r="Z9">
        <f t="shared" si="1"/>
        <v>8.4324583162718163E-3</v>
      </c>
      <c r="AA9">
        <f t="shared" si="2"/>
        <v>3.5484446455552813E-8</v>
      </c>
      <c r="AB9" t="str">
        <f t="shared" si="3"/>
        <v/>
      </c>
    </row>
    <row r="10" spans="1:28">
      <c r="A10">
        <f>Fixed_Opportunity!A10</f>
        <v>1</v>
      </c>
      <c r="B10">
        <f>Fixed_Opportunity!B10</f>
        <v>4</v>
      </c>
      <c r="C10">
        <f>Fixed_Opportunity!C10</f>
        <v>15</v>
      </c>
      <c r="D10">
        <f>Fixed_Opportunity!D10</f>
        <v>11</v>
      </c>
      <c r="E10">
        <f>IF(D10&gt;C10,"",Fixed_Opportunity!N10)</f>
        <v>2.1747348218137397E-5</v>
      </c>
      <c r="F10">
        <f>IF(D10&gt;C10,"",Fixed_Opportunity!O10)</f>
        <v>8.0137538577503831E-2</v>
      </c>
      <c r="G10">
        <f>IF(D10&gt;C10,"",Fixed_Opportunity!P10)</f>
        <v>7.9661479190917817E-8</v>
      </c>
      <c r="H10" t="str">
        <f>IF(OR(D10&gt;C10,D10&gt;B10),"",Fixed_Opportunity!Q10)</f>
        <v/>
      </c>
      <c r="I10">
        <f>Marginal_Model!J10</f>
        <v>1.5932296479962801E-8</v>
      </c>
      <c r="J10">
        <f>Marginal_Model!K10</f>
        <v>2.3547843639638631E-9</v>
      </c>
      <c r="K10">
        <f>Marginal_Model!L10</f>
        <v>2.2456973685873634E-15</v>
      </c>
      <c r="L10" t="str">
        <f>IF(D10&gt;B10,"",Marginal_Model!M10)</f>
        <v/>
      </c>
      <c r="M10">
        <f>IF(D10&gt;C10,"",Fixed_Opportunity!R10)</f>
        <v>10.736018728867728</v>
      </c>
      <c r="N10">
        <f>IF(D10&gt;C10,"",Fixed_Opportunity!S10)</f>
        <v>2.5240108882774708</v>
      </c>
      <c r="O10">
        <f>IF(D10&gt;C10,"",Fixed_Opportunity!T10)</f>
        <v>16.345479690561422</v>
      </c>
      <c r="P10" t="str">
        <f>IF(OR(D10&gt;C10,D10&gt;B10),"",Fixed_Opportunity!U10)</f>
        <v/>
      </c>
      <c r="Q10">
        <f>Marginal_Model!N10</f>
        <v>17.95491756271387</v>
      </c>
      <c r="R10">
        <f>Marginal_Model!O10</f>
        <v>19.86681667886619</v>
      </c>
      <c r="S10">
        <f>Marginal_Model!P10</f>
        <v>33.729760290065094</v>
      </c>
      <c r="T10" t="str">
        <f>IF(D10&gt;B10,"",Marginal_Model!Q10)</f>
        <v/>
      </c>
      <c r="U10">
        <f>IF(D10&gt;C10,"",Inputs!$B$7*M10+Inputs!$B$8*Q10)</f>
        <v>12.179798495636955</v>
      </c>
      <c r="V10">
        <f>IF(D10&gt;C10,"",Inputs!$B$7*N10+Inputs!$B$8*R10)</f>
        <v>5.9925720463952139</v>
      </c>
      <c r="W10">
        <f>IF(D10&gt;C10,"",Inputs!$B$7*O10+Inputs!$B$8*S10)</f>
        <v>19.822335810462157</v>
      </c>
      <c r="X10" t="str">
        <f>IF(OR(D10&gt;C10,D10&gt;B10),"",Inputs!$B$7*P10+Inputs!$B$8*T10)</f>
        <v/>
      </c>
      <c r="Y10">
        <f t="shared" si="0"/>
        <v>5.1331117915367361E-6</v>
      </c>
      <c r="Z10">
        <f t="shared" si="1"/>
        <v>2.4972327844094123E-3</v>
      </c>
      <c r="AA10">
        <f t="shared" si="2"/>
        <v>2.4618916712368652E-9</v>
      </c>
      <c r="AB10" t="str">
        <f t="shared" si="3"/>
        <v/>
      </c>
    </row>
    <row r="11" spans="1:28">
      <c r="A11">
        <f>Fixed_Opportunity!A11</f>
        <v>1</v>
      </c>
      <c r="B11">
        <f>Fixed_Opportunity!B11</f>
        <v>4</v>
      </c>
      <c r="C11">
        <f>Fixed_Opportunity!C11</f>
        <v>15</v>
      </c>
      <c r="D11">
        <f>Fixed_Opportunity!D11</f>
        <v>12</v>
      </c>
      <c r="E11">
        <f>IF(D11&gt;C11,"",Fixed_Opportunity!N11)</f>
        <v>5.9177083699957223E-7</v>
      </c>
      <c r="F11">
        <f>IF(D11&gt;C11,"",Fixed_Opportunity!O11)</f>
        <v>2.1584031619577559E-2</v>
      </c>
      <c r="G11">
        <f>IF(D11&gt;C11,"",Fixed_Opportunity!P11)</f>
        <v>5.2023825240694813E-9</v>
      </c>
      <c r="H11" t="str">
        <f>IF(OR(D11&gt;C11,D11&gt;B11),"",Fixed_Opportunity!Q11)</f>
        <v/>
      </c>
      <c r="I11">
        <f>Marginal_Model!J11</f>
        <v>1.3005956310173714E-9</v>
      </c>
      <c r="J11">
        <f>Marginal_Model!K11</f>
        <v>3.0756367202793319E-10</v>
      </c>
      <c r="K11">
        <f>Marginal_Model!L11</f>
        <v>7.3328893668158814E-17</v>
      </c>
      <c r="L11" t="str">
        <f>IF(D11&gt;B11,"",Marginal_Model!M11)</f>
        <v/>
      </c>
      <c r="M11">
        <f>IF(D11&gt;C11,"",Fixed_Opportunity!R11)</f>
        <v>14.340146376667706</v>
      </c>
      <c r="N11">
        <f>IF(D11&gt;C11,"",Fixed_Opportunity!S11)</f>
        <v>3.8358015145633271</v>
      </c>
      <c r="O11">
        <f>IF(D11&gt;C11,"",Fixed_Opportunity!T11)</f>
        <v>19.074149138584716</v>
      </c>
      <c r="P11" t="str">
        <f>IF(OR(D11&gt;C11,D11&gt;B11),"",Fixed_Opportunity!U11)</f>
        <v/>
      </c>
      <c r="Q11">
        <f>Marginal_Model!N11</f>
        <v>20.460443499704606</v>
      </c>
      <c r="R11">
        <f>Marginal_Model!O11</f>
        <v>21.902338986611191</v>
      </c>
      <c r="S11">
        <f>Marginal_Model!P11</f>
        <v>37.151576958929986</v>
      </c>
      <c r="T11" t="str">
        <f>IF(D11&gt;B11,"",Marginal_Model!Q11)</f>
        <v/>
      </c>
      <c r="U11">
        <f>IF(D11&gt;C11,"",Inputs!$B$7*M11+Inputs!$B$8*Q11)</f>
        <v>15.564205801275087</v>
      </c>
      <c r="V11">
        <f>IF(D11&gt;C11,"",Inputs!$B$7*N11+Inputs!$B$8*R11)</f>
        <v>7.4491090089728988</v>
      </c>
      <c r="W11">
        <f>IF(D11&gt;C11,"",Inputs!$B$7*O11+Inputs!$B$8*S11)</f>
        <v>22.68963470265377</v>
      </c>
      <c r="X11" t="str">
        <f>IF(OR(D11&gt;C11,D11&gt;B11),"",Inputs!$B$7*P11+Inputs!$B$8*T11)</f>
        <v/>
      </c>
      <c r="Y11">
        <f t="shared" si="0"/>
        <v>1.740008241454342E-7</v>
      </c>
      <c r="Z11">
        <f t="shared" si="1"/>
        <v>5.819599023146394E-4</v>
      </c>
      <c r="AA11">
        <f t="shared" si="2"/>
        <v>1.3996416328062946E-10</v>
      </c>
      <c r="AB11" t="str">
        <f t="shared" si="3"/>
        <v/>
      </c>
    </row>
    <row r="12" spans="1:28">
      <c r="A12">
        <f>Fixed_Opportunity!A12</f>
        <v>1</v>
      </c>
      <c r="B12">
        <f>Fixed_Opportunity!B12</f>
        <v>4</v>
      </c>
      <c r="C12">
        <f>Fixed_Opportunity!C12</f>
        <v>15</v>
      </c>
      <c r="D12">
        <f>Fixed_Opportunity!D12</f>
        <v>13</v>
      </c>
      <c r="E12">
        <f>IF(D12&gt;C12,"",Fixed_Opportunity!N12)</f>
        <v>8.5351588285514931E-9</v>
      </c>
      <c r="F12">
        <f>IF(D12&gt;C12,"",Fixed_Opportunity!O12)</f>
        <v>4.0829620454846394E-3</v>
      </c>
      <c r="G12">
        <f>IF(D12&gt;C12,"",Fixed_Opportunity!P12)</f>
        <v>2.4386168081575695E-10</v>
      </c>
      <c r="H12" t="str">
        <f>IF(OR(D12&gt;C12,D12&gt;B12),"",Fixed_Opportunity!Q12)</f>
        <v/>
      </c>
      <c r="I12">
        <f>Marginal_Model!J12</f>
        <v>8.128722693858571E-11</v>
      </c>
      <c r="J12">
        <f>Marginal_Model!K12</f>
        <v>3.8445459003491648E-11</v>
      </c>
      <c r="K12">
        <f>Marginal_Model!L12</f>
        <v>2.2915279271299629E-18</v>
      </c>
      <c r="L12" t="str">
        <f>IF(D12&gt;B12,"",Marginal_Model!M12)</f>
        <v/>
      </c>
      <c r="M12">
        <f>IF(D12&gt;C12,"",Fixed_Opportunity!R12)</f>
        <v>18.579071871786862</v>
      </c>
      <c r="N12">
        <f>IF(D12&gt;C12,"",Fixed_Opportunity!S12)</f>
        <v>5.5009325624300933</v>
      </c>
      <c r="O12">
        <f>IF(D12&gt;C12,"",Fixed_Opportunity!T12)</f>
        <v>22.134419933276277</v>
      </c>
      <c r="P12" t="str">
        <f>IF(OR(D12&gt;C12,D12&gt;B12),"",Fixed_Opportunity!U12)</f>
        <v/>
      </c>
      <c r="Q12">
        <f>Marginal_Model!N12</f>
        <v>23.233032221944384</v>
      </c>
      <c r="R12">
        <f>Marginal_Model!O12</f>
        <v>23.981780528291026</v>
      </c>
      <c r="S12">
        <f>Marginal_Model!P12</f>
        <v>40.617312861729715</v>
      </c>
      <c r="T12" t="str">
        <f>IF(D12&gt;B12,"",Marginal_Model!Q12)</f>
        <v/>
      </c>
      <c r="U12">
        <f>IF(D12&gt;C12,"",Inputs!$B$7*M12+Inputs!$B$8*Q12)</f>
        <v>19.509863941818367</v>
      </c>
      <c r="V12">
        <f>IF(D12&gt;C12,"",Inputs!$B$7*N12+Inputs!$B$8*R12)</f>
        <v>9.1971021556022787</v>
      </c>
      <c r="W12">
        <f>IF(D12&gt;C12,"",Inputs!$B$7*O12+Inputs!$B$8*S12)</f>
        <v>25.830998518966965</v>
      </c>
      <c r="X12" t="str">
        <f>IF(OR(D12&gt;C12,D12&gt;B12),"",Inputs!$B$7*P12+Inputs!$B$8*T12)</f>
        <v/>
      </c>
      <c r="Y12">
        <f t="shared" si="0"/>
        <v>3.3649122824288189E-9</v>
      </c>
      <c r="Z12">
        <f t="shared" si="1"/>
        <v>1.0133262295104354E-4</v>
      </c>
      <c r="AA12">
        <f t="shared" si="2"/>
        <v>6.0497841696088488E-12</v>
      </c>
      <c r="AB12" t="str">
        <f t="shared" si="3"/>
        <v/>
      </c>
    </row>
    <row r="13" spans="1:28">
      <c r="A13">
        <f>Fixed_Opportunity!A13</f>
        <v>1</v>
      </c>
      <c r="B13">
        <f>Fixed_Opportunity!B13</f>
        <v>4</v>
      </c>
      <c r="C13">
        <f>Fixed_Opportunity!C13</f>
        <v>15</v>
      </c>
      <c r="D13">
        <f>Fixed_Opportunity!D13</f>
        <v>14</v>
      </c>
      <c r="E13">
        <f>IF(D13&gt;C13,"",Fixed_Opportunity!N13)</f>
        <v>5.1885464003352544E-11</v>
      </c>
      <c r="F13">
        <f>IF(D13&gt;C13,"",Fixed_Opportunity!O13)</f>
        <v>4.6415551946632494E-4</v>
      </c>
      <c r="G13">
        <f>IF(D13&gt;C13,"",Fixed_Opportunity!P13)</f>
        <v>6.9180618671136717E-12</v>
      </c>
      <c r="H13" t="str">
        <f>IF(OR(D13&gt;C13,D13&gt;B13),"",Fixed_Opportunity!Q13)</f>
        <v/>
      </c>
      <c r="I13">
        <f>Marginal_Model!J13</f>
        <v>3.4590309335568387E-12</v>
      </c>
      <c r="J13">
        <f>Marginal_Model!K13</f>
        <v>4.3626052769919598E-12</v>
      </c>
      <c r="K13">
        <f>Marginal_Model!L13</f>
        <v>6.5007884457587597E-20</v>
      </c>
      <c r="L13" t="str">
        <f>IF(D13&gt;B13,"",Marginal_Model!M13)</f>
        <v/>
      </c>
      <c r="M13">
        <f>IF(D13&gt;C13,"",Fixed_Opportunity!R13)</f>
        <v>23.68198244199229</v>
      </c>
      <c r="N13">
        <f>IF(D13&gt;C13,"",Fixed_Opportunity!S13)</f>
        <v>7.6752908906317279</v>
      </c>
      <c r="O13">
        <f>IF(D13&gt;C13,"",Fixed_Opportunity!T13)</f>
        <v>25.696885462534553</v>
      </c>
      <c r="P13" t="str">
        <f>IF(OR(D13&gt;C13,D13&gt;B13),"",Fixed_Opportunity!U13)</f>
        <v/>
      </c>
      <c r="Q13">
        <f>Marginal_Model!N13</f>
        <v>26.3900326430945</v>
      </c>
      <c r="R13">
        <f>Marginal_Model!O13</f>
        <v>26.157951696429414</v>
      </c>
      <c r="S13">
        <f>Marginal_Model!P13</f>
        <v>44.179778390987991</v>
      </c>
      <c r="T13" t="str">
        <f>IF(D13&gt;B13,"",Marginal_Model!Q13)</f>
        <v/>
      </c>
      <c r="U13">
        <f>IF(D13&gt;C13,"",Inputs!$B$7*M13+Inputs!$B$8*Q13)</f>
        <v>24.22359248221273</v>
      </c>
      <c r="V13">
        <f>IF(D13&gt;C13,"",Inputs!$B$7*N13+Inputs!$B$8*R13)</f>
        <v>11.371823051791264</v>
      </c>
      <c r="W13">
        <f>IF(D13&gt;C13,"",Inputs!$B$7*O13+Inputs!$B$8*S13)</f>
        <v>29.393464048225241</v>
      </c>
      <c r="X13" t="str">
        <f>IF(OR(D13&gt;C13,D13&gt;B13),"",Inputs!$B$7*P13+Inputs!$B$8*T13)</f>
        <v/>
      </c>
      <c r="Y13">
        <f t="shared" si="0"/>
        <v>3.0187521200780056E-11</v>
      </c>
      <c r="Z13">
        <f t="shared" si="1"/>
        <v>1.1515425750818239E-5</v>
      </c>
      <c r="AA13">
        <f t="shared" si="2"/>
        <v>1.7162508282578324E-13</v>
      </c>
      <c r="AB13" t="str">
        <f t="shared" si="3"/>
        <v/>
      </c>
    </row>
    <row r="14" spans="1:28">
      <c r="A14">
        <f>Fixed_Opportunity!A14</f>
        <v>1</v>
      </c>
      <c r="B14">
        <f>Fixed_Opportunity!B14</f>
        <v>4</v>
      </c>
      <c r="C14">
        <f>Fixed_Opportunity!C14</f>
        <v>15</v>
      </c>
      <c r="D14">
        <f>Fixed_Opportunity!D14</f>
        <v>15</v>
      </c>
      <c r="E14">
        <f>IF(D14&gt;C14,"",Fixed_Opportunity!N14)</f>
        <v>7.5196324642539908E-14</v>
      </c>
      <c r="F14">
        <f>IF(D14&gt;C14,"",Fixed_Opportunity!O14)</f>
        <v>2.0185155971907953E-5</v>
      </c>
      <c r="G14">
        <f>IF(D14&gt;C14,"",Fixed_Opportunity!P14)</f>
        <v>7.5196324642539908E-14</v>
      </c>
      <c r="H14" t="str">
        <f>IF(OR(D14&gt;C14,D14&gt;B14),"",Fixed_Opportunity!Q14)</f>
        <v/>
      </c>
      <c r="I14">
        <f>Marginal_Model!J14</f>
        <v>7.5196324642539971E-14</v>
      </c>
      <c r="J14">
        <f>Marginal_Model!K14</f>
        <v>3.7935698060799651E-13</v>
      </c>
      <c r="K14">
        <f>Marginal_Model!L14</f>
        <v>1.4132148795127738E-21</v>
      </c>
      <c r="L14" t="str">
        <f>IF(D14&gt;B14,"",Marginal_Model!M14)</f>
        <v/>
      </c>
      <c r="M14">
        <f>IF(D14&gt;C14,"",Fixed_Opportunity!R14)</f>
        <v>30.218674039583593</v>
      </c>
      <c r="N14">
        <f>IF(D14&gt;C14,"",Fixed_Opportunity!S14)</f>
        <v>10.810563076569682</v>
      </c>
      <c r="O14">
        <f>IF(D14&gt;C14,"",Fixed_Opportunity!T14)</f>
        <v>30.218674039583593</v>
      </c>
      <c r="P14" t="str">
        <f>IF(OR(D14&gt;C14,D14&gt;B14),"",Fixed_Opportunity!U14)</f>
        <v/>
      </c>
      <c r="Q14">
        <f>Marginal_Model!N14</f>
        <v>30.218674039583593</v>
      </c>
      <c r="R14">
        <f>Marginal_Model!O14</f>
        <v>28.600298731798617</v>
      </c>
      <c r="S14">
        <f>Marginal_Model!P14</f>
        <v>48.008419787477088</v>
      </c>
      <c r="T14" t="str">
        <f>IF(D14&gt;B14,"",Marginal_Model!Q14)</f>
        <v/>
      </c>
      <c r="U14">
        <f>IF(D14&gt;C14,"",Inputs!$B$7*M14+Inputs!$B$8*Q14)</f>
        <v>30.218674039583593</v>
      </c>
      <c r="V14">
        <f>IF(D14&gt;C14,"",Inputs!$B$7*N14+Inputs!$B$8*R14)</f>
        <v>14.368510207615468</v>
      </c>
      <c r="W14">
        <f>IF(D14&gt;C14,"",Inputs!$B$7*O14+Inputs!$B$8*S14)</f>
        <v>33.776623189162294</v>
      </c>
      <c r="X14" t="str">
        <f>IF(OR(D14&gt;C14,D14&gt;B14),"",Inputs!$B$7*P14+Inputs!$B$8*T14)</f>
        <v/>
      </c>
      <c r="Y14">
        <f t="shared" si="0"/>
        <v>7.5196324642540034E-14</v>
      </c>
      <c r="Z14">
        <f t="shared" si="1"/>
        <v>5.7522175615738375E-7</v>
      </c>
      <c r="AA14">
        <f t="shared" si="2"/>
        <v>2.1428853295457254E-15</v>
      </c>
      <c r="AB14" t="str">
        <f t="shared" si="3"/>
        <v/>
      </c>
    </row>
    <row r="15" spans="1:28">
      <c r="A15">
        <f>Fixed_Opportunity!A15</f>
        <v>2</v>
      </c>
      <c r="B15">
        <f>Fixed_Opportunity!B15</f>
        <v>5</v>
      </c>
      <c r="C15">
        <f>Fixed_Opportunity!C15</f>
        <v>15</v>
      </c>
      <c r="D15">
        <f>Fixed_Opportunity!D15</f>
        <v>3</v>
      </c>
      <c r="E15">
        <f>IF(D15&gt;C15,"",Fixed_Opportunity!N15)</f>
        <v>0.9999997799712439</v>
      </c>
      <c r="F15">
        <f>IF(D15&gt;C15,"",Fixed_Opportunity!O15)</f>
        <v>0.99998243580807977</v>
      </c>
      <c r="G15">
        <f>IF(D15&gt;C15,"",Fixed_Opportunity!P15)</f>
        <v>0.35466513807856237</v>
      </c>
      <c r="H15">
        <f>IF(OR(D15&gt;C15,D15&gt;B15),"",Fixed_Opportunity!Q15)</f>
        <v>0.63604926509087356</v>
      </c>
      <c r="I15">
        <f>Marginal_Model!J15</f>
        <v>3.3691225472047399E-2</v>
      </c>
      <c r="J15">
        <f>Marginal_Model!K15</f>
        <v>2.4065161051462423E-2</v>
      </c>
      <c r="K15">
        <f>Marginal_Model!L15</f>
        <v>9.6260644205849687E-4</v>
      </c>
      <c r="L15">
        <f>IF(D15&gt;B15,"",Marginal_Model!M15)</f>
        <v>2.2213994816734544E-3</v>
      </c>
      <c r="M15">
        <f>IF(D15&gt;C15,"",Fixed_Opportunity!R15)</f>
        <v>2.2002878031015974E-7</v>
      </c>
      <c r="N15">
        <f>IF(D15&gt;C15,"",Fixed_Opportunity!S15)</f>
        <v>1.756434617245252E-5</v>
      </c>
      <c r="O15">
        <f>IF(D15&gt;C15,"",Fixed_Opportunity!T15)</f>
        <v>1.0365812076868104</v>
      </c>
      <c r="P15">
        <f>IF(OR(D15&gt;C15,D15&gt;B15),"",Fixed_Opportunity!U15)</f>
        <v>0.45247925780724357</v>
      </c>
      <c r="Q15">
        <f>Marginal_Model!N15</f>
        <v>3.3905178472757651</v>
      </c>
      <c r="R15">
        <f>Marginal_Model!O15</f>
        <v>3.7269900838969785</v>
      </c>
      <c r="S15">
        <f>Marginal_Model!P15</f>
        <v>6.9458659087651791</v>
      </c>
      <c r="T15">
        <f>IF(D15&gt;B15,"",Marginal_Model!Q15)</f>
        <v>6.1096178845645603</v>
      </c>
      <c r="U15">
        <f>IF(D15&gt;C15,"",Inputs!$B$7*M15+Inputs!$B$8*Q15)</f>
        <v>0.67810374547817709</v>
      </c>
      <c r="V15">
        <f>IF(D15&gt;C15,"",Inputs!$B$7*N15+Inputs!$B$8*R15)</f>
        <v>0.74541206825633355</v>
      </c>
      <c r="W15">
        <f>IF(D15&gt;C15,"",Inputs!$B$7*O15+Inputs!$B$8*S15)</f>
        <v>2.2184381479024839</v>
      </c>
      <c r="X15">
        <f>IF(OR(D15&gt;C15,D15&gt;B15),"",Inputs!$B$7*P15+Inputs!$B$8*T15)</f>
        <v>1.5839069831587067</v>
      </c>
      <c r="Y15">
        <f t="shared" si="0"/>
        <v>0.50757857854612887</v>
      </c>
      <c r="Z15">
        <f t="shared" si="1"/>
        <v>0.47453871730417979</v>
      </c>
      <c r="AA15">
        <f t="shared" si="2"/>
        <v>0.10877887272792965</v>
      </c>
      <c r="AB15">
        <f t="shared" si="3"/>
        <v>0.2051719269749866</v>
      </c>
    </row>
    <row r="16" spans="1:28">
      <c r="A16">
        <f>Fixed_Opportunity!A16</f>
        <v>2</v>
      </c>
      <c r="B16">
        <f>Fixed_Opportunity!B16</f>
        <v>5</v>
      </c>
      <c r="C16">
        <f>Fixed_Opportunity!C16</f>
        <v>15</v>
      </c>
      <c r="D16">
        <f>Fixed_Opportunity!D16</f>
        <v>4</v>
      </c>
      <c r="E16">
        <f>IF(D16&gt;C16,"",Fixed_Opportunity!N16)</f>
        <v>0.99953092777095853</v>
      </c>
      <c r="F16">
        <f>IF(D16&gt;C16,"",Fixed_Opportunity!O16)</f>
        <v>0.99978020304465232</v>
      </c>
      <c r="G16">
        <f>IF(D16&gt;C16,"",Fixed_Opportunity!P16)</f>
        <v>6.5162396564701353E-2</v>
      </c>
      <c r="H16">
        <f>IF(OR(D16&gt;C16,D16&gt;B16),"",Fixed_Opportunity!Q16)</f>
        <v>8.077840887136567E-2</v>
      </c>
      <c r="I16">
        <f>Marginal_Model!J16</f>
        <v>5.6152042453412329E-3</v>
      </c>
      <c r="J16">
        <f>Marginal_Model!K16</f>
        <v>3.0852770578797973E-3</v>
      </c>
      <c r="K16">
        <f>Marginal_Model!L16</f>
        <v>2.468221646303838E-5</v>
      </c>
      <c r="L16">
        <f>IF(D16&gt;B16,"",Marginal_Model!M16)</f>
        <v>6.1705541157595955E-5</v>
      </c>
      <c r="M16">
        <f>IF(D16&gt;C16,"",Fixed_Opportunity!R16)</f>
        <v>4.6918227783473033E-4</v>
      </c>
      <c r="N16">
        <f>IF(D16&gt;C16,"",Fixed_Opportunity!S16)</f>
        <v>2.1982111423857285E-4</v>
      </c>
      <c r="O16">
        <f>IF(D16&gt;C16,"",Fixed_Opportunity!T16)</f>
        <v>2.7308727162330997</v>
      </c>
      <c r="P16">
        <f>IF(OR(D16&gt;C16,D16&gt;B16),"",Fixed_Opportunity!U16)</f>
        <v>2.5160455661024388</v>
      </c>
      <c r="Q16">
        <f>Marginal_Model!N16</f>
        <v>5.1822773165038205</v>
      </c>
      <c r="R16">
        <f>Marginal_Model!O16</f>
        <v>5.7811138175925247</v>
      </c>
      <c r="S16">
        <f>Marginal_Model!P16</f>
        <v>10.609427554894825</v>
      </c>
      <c r="T16">
        <f>IF(D16&gt;B16,"",Marginal_Model!Q16)</f>
        <v>9.6931368230206711</v>
      </c>
      <c r="U16">
        <f>IF(D16&gt;C16,"",Inputs!$B$7*M16+Inputs!$B$8*Q16)</f>
        <v>1.0368308091230316</v>
      </c>
      <c r="V16">
        <f>IF(D16&gt;C16,"",Inputs!$B$7*N16+Inputs!$B$8*R16)</f>
        <v>1.1563986204098955</v>
      </c>
      <c r="W16">
        <f>IF(D16&gt;C16,"",Inputs!$B$7*O16+Inputs!$B$8*S16)</f>
        <v>4.3065836839654441</v>
      </c>
      <c r="X16">
        <f>IF(OR(D16&gt;C16,D16&gt;B16),"",Inputs!$B$7*P16+Inputs!$B$8*T16)</f>
        <v>3.951463817486085</v>
      </c>
      <c r="Y16">
        <f t="shared" si="0"/>
        <v>0.35457662419777575</v>
      </c>
      <c r="Z16">
        <f t="shared" si="1"/>
        <v>0.31461719900657387</v>
      </c>
      <c r="AA16">
        <f t="shared" si="2"/>
        <v>1.3479521327397525E-2</v>
      </c>
      <c r="AB16">
        <f t="shared" si="3"/>
        <v>1.9226537025294796E-2</v>
      </c>
    </row>
    <row r="17" spans="1:28">
      <c r="A17">
        <f>Fixed_Opportunity!A17</f>
        <v>2</v>
      </c>
      <c r="B17">
        <f>Fixed_Opportunity!B17</f>
        <v>5</v>
      </c>
      <c r="C17">
        <f>Fixed_Opportunity!C17</f>
        <v>15</v>
      </c>
      <c r="D17">
        <f>Fixed_Opportunity!D17</f>
        <v>5</v>
      </c>
      <c r="E17">
        <f>IF(D17&gt;C17,"",Fixed_Opportunity!N17)</f>
        <v>0.92664858965648977</v>
      </c>
      <c r="F17">
        <f>IF(D17&gt;C17,"",Fixed_Opportunity!O17)</f>
        <v>0.9974736593208503</v>
      </c>
      <c r="G17">
        <f>IF(D17&gt;C17,"",Fixed_Opportunity!P17)</f>
        <v>9.5239307739855006E-3</v>
      </c>
      <c r="H17">
        <f>IF(OR(D17&gt;C17,D17&gt;B17),"",Fixed_Opportunity!Q17)</f>
        <v>2.6064808778946125E-3</v>
      </c>
      <c r="I17">
        <f>Marginal_Model!J17</f>
        <v>8.6996122110920499E-4</v>
      </c>
      <c r="J17">
        <f>Marginal_Model!K17</f>
        <v>3.9833389244926961E-4</v>
      </c>
      <c r="K17">
        <f>Marginal_Model!L17</f>
        <v>6.3733422791883147E-7</v>
      </c>
      <c r="L17">
        <f>IF(D17&gt;B17,"",Marginal_Model!M17)</f>
        <v>8.6909212898022475E-7</v>
      </c>
      <c r="M17">
        <f>IF(D17&gt;C17,"",Fixed_Opportunity!R17)</f>
        <v>7.6180868720778103E-2</v>
      </c>
      <c r="N17">
        <f>IF(D17&gt;C17,"",Fixed_Opportunity!S17)</f>
        <v>2.5295372626708825E-3</v>
      </c>
      <c r="O17">
        <f>IF(D17&gt;C17,"",Fixed_Opportunity!T17)</f>
        <v>4.6539476189700881</v>
      </c>
      <c r="P17">
        <f>IF(OR(D17&gt;C17,D17&gt;B17),"",Fixed_Opportunity!U17)</f>
        <v>5.9497542900981548</v>
      </c>
      <c r="Q17">
        <f>Marginal_Model!N17</f>
        <v>7.0470619207467653</v>
      </c>
      <c r="R17">
        <f>Marginal_Model!O17</f>
        <v>7.8282199786294244</v>
      </c>
      <c r="S17">
        <f>Marginal_Model!P17</f>
        <v>14.265971628365826</v>
      </c>
      <c r="T17">
        <f>IF(D17&gt;B17,"",Marginal_Model!Q17)</f>
        <v>13.955816700061986</v>
      </c>
      <c r="U17">
        <f>IF(D17&gt;C17,"",Inputs!$B$7*M17+Inputs!$B$8*Q17)</f>
        <v>1.4703570791259752</v>
      </c>
      <c r="V17">
        <f>IF(D17&gt;C17,"",Inputs!$B$7*N17+Inputs!$B$8*R17)</f>
        <v>1.5676676255360211</v>
      </c>
      <c r="W17">
        <f>IF(D17&gt;C17,"",Inputs!$B$7*O17+Inputs!$B$8*S17)</f>
        <v>6.5763524208492354</v>
      </c>
      <c r="X17">
        <f>IF(OR(D17&gt;C17,D17&gt;B17),"",Inputs!$B$7*P17+Inputs!$B$8*T17)</f>
        <v>7.5509667720909199</v>
      </c>
      <c r="Y17">
        <f t="shared" si="0"/>
        <v>0.22984339825207159</v>
      </c>
      <c r="Z17">
        <f t="shared" si="1"/>
        <v>0.2085309879477503</v>
      </c>
      <c r="AA17">
        <f t="shared" si="2"/>
        <v>1.392920828775915E-3</v>
      </c>
      <c r="AB17">
        <f t="shared" si="3"/>
        <v>5.2560174431316676E-4</v>
      </c>
    </row>
    <row r="18" spans="1:28">
      <c r="A18">
        <f>Fixed_Opportunity!A18</f>
        <v>2</v>
      </c>
      <c r="B18">
        <f>Fixed_Opportunity!B18</f>
        <v>5</v>
      </c>
      <c r="C18">
        <f>Fixed_Opportunity!C18</f>
        <v>15</v>
      </c>
      <c r="D18">
        <f>Fixed_Opportunity!D18</f>
        <v>6</v>
      </c>
      <c r="E18">
        <f>IF(D18&gt;C18,"",Fixed_Opportunity!N18)</f>
        <v>0.46314233372247893</v>
      </c>
      <c r="F18">
        <f>IF(D18&gt;C18,"",Fixed_Opportunity!O18)</f>
        <v>0.97942658254676562</v>
      </c>
      <c r="G18">
        <f>IF(D18&gt;C18,"",Fixed_Opportunity!P18)</f>
        <v>1.2420297861838181E-3</v>
      </c>
      <c r="H18" t="str">
        <f>IF(OR(D18&gt;C18,D18&gt;B18),"",Fixed_Opportunity!Q18)</f>
        <v/>
      </c>
      <c r="I18">
        <f>Marginal_Model!J18</f>
        <v>1.2428017444417213E-4</v>
      </c>
      <c r="J18">
        <f>Marginal_Model!K18</f>
        <v>5.1731674344060982E-5</v>
      </c>
      <c r="K18">
        <f>Marginal_Model!L18</f>
        <v>1.6554135790099519E-8</v>
      </c>
      <c r="L18" t="str">
        <f>IF(D18&gt;B18,"",Marginal_Model!M18)</f>
        <v/>
      </c>
      <c r="M18">
        <f>IF(D18&gt;C18,"",Fixed_Opportunity!R18)</f>
        <v>0.76972085589134098</v>
      </c>
      <c r="N18">
        <f>IF(D18&gt;C18,"",Fixed_Opportunity!S18)</f>
        <v>2.0787998417182398E-2</v>
      </c>
      <c r="O18">
        <f>IF(D18&gt;C18,"",Fixed_Opportunity!T18)</f>
        <v>6.6910083133237874</v>
      </c>
      <c r="P18" t="str">
        <f>IF(OR(D18&gt;C18,D18&gt;B18),"",Fixed_Opportunity!U18)</f>
        <v/>
      </c>
      <c r="Q18">
        <f>Marginal_Model!N18</f>
        <v>8.9929720698020787</v>
      </c>
      <c r="R18">
        <f>Marginal_Model!O18</f>
        <v>9.8694403074890626</v>
      </c>
      <c r="S18">
        <f>Marginal_Model!P18</f>
        <v>17.916629869659563</v>
      </c>
      <c r="T18" t="str">
        <f>IF(D18&gt;B18,"",Marginal_Model!Q18)</f>
        <v/>
      </c>
      <c r="U18">
        <f>IF(D18&gt;C18,"",Inputs!$B$7*M18+Inputs!$B$8*Q18)</f>
        <v>2.4143710986734881</v>
      </c>
      <c r="V18">
        <f>IF(D18&gt;C18,"",Inputs!$B$7*N18+Inputs!$B$8*R18)</f>
        <v>1.990518460231558</v>
      </c>
      <c r="W18">
        <f>IF(D18&gt;C18,"",Inputs!$B$7*O18+Inputs!$B$8*S18)</f>
        <v>8.9361326245909414</v>
      </c>
      <c r="X18" t="str">
        <f>IF(OR(D18&gt;C18,D18&gt;B18),"",Inputs!$B$7*P18+Inputs!$B$8*T18)</f>
        <v/>
      </c>
      <c r="Y18">
        <f t="shared" si="0"/>
        <v>8.9423559836598859E-2</v>
      </c>
      <c r="Z18">
        <f t="shared" si="1"/>
        <v>0.13662457267235414</v>
      </c>
      <c r="AA18">
        <f t="shared" si="2"/>
        <v>1.3154880630585479E-4</v>
      </c>
      <c r="AB18" t="str">
        <f t="shared" si="3"/>
        <v/>
      </c>
    </row>
    <row r="19" spans="1:28">
      <c r="A19">
        <f>Fixed_Opportunity!A19</f>
        <v>2</v>
      </c>
      <c r="B19">
        <f>Fixed_Opportunity!B19</f>
        <v>5</v>
      </c>
      <c r="C19">
        <f>Fixed_Opportunity!C19</f>
        <v>15</v>
      </c>
      <c r="D19">
        <f>Fixed_Opportunity!D19</f>
        <v>7</v>
      </c>
      <c r="E19">
        <f>IF(D19&gt;C19,"",Fixed_Opportunity!N19)</f>
        <v>9.9057907996357053E-2</v>
      </c>
      <c r="F19">
        <f>IF(D19&gt;C19,"",Fixed_Opportunity!O19)</f>
        <v>0.8976744202682877</v>
      </c>
      <c r="G19">
        <f>IF(D19&gt;C19,"",Fixed_Opportunity!P19)</f>
        <v>1.458834757964711E-4</v>
      </c>
      <c r="H19" t="str">
        <f>IF(OR(D19&gt;C19,D19&gt;B19),"",Fixed_Opportunity!Q19)</f>
        <v/>
      </c>
      <c r="I19">
        <f>Marginal_Model!J19</f>
        <v>1.6210457536196364E-5</v>
      </c>
      <c r="J19">
        <f>Marginal_Model!K19</f>
        <v>6.7476096970514322E-6</v>
      </c>
      <c r="K19">
        <f>Marginal_Model!L19</f>
        <v>4.3184702061129177E-10</v>
      </c>
      <c r="L19" t="str">
        <f>IF(D19&gt;B19,"",Marginal_Model!M19)</f>
        <v/>
      </c>
      <c r="M19">
        <f>IF(D19&gt;C19,"",Fixed_Opportunity!R19)</f>
        <v>2.3120506705958523</v>
      </c>
      <c r="N19">
        <f>IF(D19&gt;C19,"",Fixed_Opportunity!S19)</f>
        <v>0.10794783736950339</v>
      </c>
      <c r="O19">
        <f>IF(D19&gt;C19,"",Fixed_Opportunity!T19)</f>
        <v>8.832702365899145</v>
      </c>
      <c r="P19" t="str">
        <f>IF(OR(D19&gt;C19,D19&gt;B19),"",Fixed_Opportunity!U19)</f>
        <v/>
      </c>
      <c r="Q19">
        <f>Marginal_Model!N19</f>
        <v>11.029853997063119</v>
      </c>
      <c r="R19">
        <f>Marginal_Model!O19</f>
        <v>11.906322234750103</v>
      </c>
      <c r="S19">
        <f>Marginal_Model!P19</f>
        <v>21.562949709354704</v>
      </c>
      <c r="T19" t="str">
        <f>IF(D19&gt;B19,"",Marginal_Model!Q19)</f>
        <v/>
      </c>
      <c r="U19">
        <f>IF(D19&gt;C19,"",Inputs!$B$7*M19+Inputs!$B$8*Q19)</f>
        <v>4.0556113358893056</v>
      </c>
      <c r="V19">
        <f>IF(D19&gt;C19,"",Inputs!$B$7*N19+Inputs!$B$8*R19)</f>
        <v>2.4676227168456228</v>
      </c>
      <c r="W19">
        <f>IF(D19&gt;C19,"",Inputs!$B$7*O19+Inputs!$B$8*S19)</f>
        <v>11.378751834590258</v>
      </c>
      <c r="X19" t="str">
        <f>IF(OR(D19&gt;C19,D19&gt;B19),"",Inputs!$B$7*P19+Inputs!$B$8*T19)</f>
        <v/>
      </c>
      <c r="Y19">
        <f t="shared" si="0"/>
        <v>1.7324885621019744E-2</v>
      </c>
      <c r="Z19">
        <f t="shared" si="1"/>
        <v>8.4786180366115224E-2</v>
      </c>
      <c r="AA19">
        <f t="shared" si="2"/>
        <v>1.1435913646105979E-5</v>
      </c>
      <c r="AB19" t="str">
        <f t="shared" si="3"/>
        <v/>
      </c>
    </row>
    <row r="20" spans="1:28">
      <c r="A20">
        <f>Fixed_Opportunity!A20</f>
        <v>2</v>
      </c>
      <c r="B20">
        <f>Fixed_Opportunity!B20</f>
        <v>5</v>
      </c>
      <c r="C20">
        <f>Fixed_Opportunity!C20</f>
        <v>15</v>
      </c>
      <c r="D20">
        <f>Fixed_Opportunity!D20</f>
        <v>8</v>
      </c>
      <c r="E20">
        <f>IF(D20&gt;C20,"",Fixed_Opportunity!N20)</f>
        <v>1.2197272715614216E-2</v>
      </c>
      <c r="F20">
        <f>IF(D20&gt;C20,"",Fixed_Opportunity!O20)</f>
        <v>0.69636999482615825</v>
      </c>
      <c r="G20">
        <f>IF(D20&gt;C20,"",Fixed_Opportunity!P20)</f>
        <v>1.5256784824613234E-5</v>
      </c>
      <c r="H20" t="str">
        <f>IF(OR(D20&gt;C20,D20&gt;B20),"",Fixed_Opportunity!Q20)</f>
        <v/>
      </c>
      <c r="I20">
        <f>Marginal_Model!J20</f>
        <v>1.9071126513172193E-6</v>
      </c>
      <c r="J20">
        <f>Marginal_Model!K20</f>
        <v>8.8204048327469711E-7</v>
      </c>
      <c r="K20">
        <f>Marginal_Model!L20</f>
        <v>1.1290118185916125E-11</v>
      </c>
      <c r="L20" t="str">
        <f>IF(D20&gt;B20,"",Marginal_Model!M20)</f>
        <v/>
      </c>
      <c r="M20">
        <f>IF(D20&gt;C20,"",Fixed_Opportunity!R20)</f>
        <v>4.4065429001339567</v>
      </c>
      <c r="N20">
        <f>IF(D20&gt;C20,"",Fixed_Opportunity!S20)</f>
        <v>0.36187415813615531</v>
      </c>
      <c r="O20">
        <f>IF(D20&gt;C20,"",Fixed_Opportunity!T20)</f>
        <v>11.090486247320404</v>
      </c>
      <c r="P20" t="str">
        <f>IF(OR(D20&gt;C20,D20&gt;B20),"",Fixed_Opportunity!U20)</f>
        <v/>
      </c>
      <c r="Q20">
        <f>Marginal_Model!N20</f>
        <v>13.169920160559389</v>
      </c>
      <c r="R20">
        <f>Marginal_Model!O20</f>
        <v>13.941027882588546</v>
      </c>
      <c r="S20">
        <f>Marginal_Model!P20</f>
        <v>25.207093269627251</v>
      </c>
      <c r="T20" t="str">
        <f>IF(D20&gt;B20,"",Marginal_Model!Q20)</f>
        <v/>
      </c>
      <c r="U20">
        <f>IF(D20&gt;C20,"",Inputs!$B$7*M20+Inputs!$B$8*Q20)</f>
        <v>6.1592183522190425</v>
      </c>
      <c r="V20">
        <f>IF(D20&gt;C20,"",Inputs!$B$7*N20+Inputs!$B$8*R20)</f>
        <v>3.0777049030266328</v>
      </c>
      <c r="W20">
        <f>IF(D20&gt;C20,"",Inputs!$B$7*O20+Inputs!$B$8*S20)</f>
        <v>13.913807651781774</v>
      </c>
      <c r="X20" t="str">
        <f>IF(OR(D20&gt;C20,D20&gt;B20),"",Inputs!$B$7*P20+Inputs!$B$8*T20)</f>
        <v/>
      </c>
      <c r="Y20">
        <f t="shared" si="0"/>
        <v>2.1139049552486677E-3</v>
      </c>
      <c r="Z20">
        <f t="shared" si="1"/>
        <v>4.6064858737039256E-2</v>
      </c>
      <c r="AA20">
        <f t="shared" si="2"/>
        <v>9.0637958397857385E-7</v>
      </c>
      <c r="AB20" t="str">
        <f t="shared" si="3"/>
        <v/>
      </c>
    </row>
    <row r="21" spans="1:28">
      <c r="A21">
        <f>Fixed_Opportunity!A21</f>
        <v>2</v>
      </c>
      <c r="B21">
        <f>Fixed_Opportunity!B21</f>
        <v>5</v>
      </c>
      <c r="C21">
        <f>Fixed_Opportunity!C21</f>
        <v>15</v>
      </c>
      <c r="D21">
        <f>Fixed_Opportunity!D21</f>
        <v>9</v>
      </c>
      <c r="E21">
        <f>IF(D21&gt;C21,"",Fixed_Opportunity!N21)</f>
        <v>9.9675204277105411E-4</v>
      </c>
      <c r="F21">
        <f>IF(D21&gt;C21,"",Fixed_Opportunity!O21)</f>
        <v>0.42005719502267069</v>
      </c>
      <c r="G21">
        <f>IF(D21&gt;C21,"",Fixed_Opportunity!P21)</f>
        <v>1.3947530559388355E-6</v>
      </c>
      <c r="H21" t="str">
        <f>IF(OR(D21&gt;C21,D21&gt;B21),"",Fixed_Opportunity!Q21)</f>
        <v/>
      </c>
      <c r="I21">
        <f>Marginal_Model!J21</f>
        <v>1.9925057551075426E-7</v>
      </c>
      <c r="J21">
        <f>Marginal_Model!K21</f>
        <v>1.1519185415900895E-7</v>
      </c>
      <c r="K21">
        <f>Marginal_Model!L21</f>
        <v>2.9489114664706294E-13</v>
      </c>
      <c r="L21" t="str">
        <f>IF(D21&gt;B21,"",Marginal_Model!M21)</f>
        <v/>
      </c>
      <c r="M21">
        <f>IF(D21&gt;C21,"",Fixed_Opportunity!R21)</f>
        <v>6.9110085222732023</v>
      </c>
      <c r="N21">
        <f>IF(D21&gt;C21,"",Fixed_Opportunity!S21)</f>
        <v>0.86736439835078394</v>
      </c>
      <c r="O21">
        <f>IF(D21&gt;C21,"",Fixed_Opportunity!T21)</f>
        <v>13.482793179193358</v>
      </c>
      <c r="P21" t="str">
        <f>IF(OR(D21&gt;C21,D21&gt;B21),"",Fixed_Opportunity!U21)</f>
        <v/>
      </c>
      <c r="Q21">
        <f>Marginal_Model!N21</f>
        <v>15.428702630895042</v>
      </c>
      <c r="R21">
        <f>Marginal_Model!O21</f>
        <v>15.976666801609991</v>
      </c>
      <c r="S21">
        <f>Marginal_Model!P21</f>
        <v>28.852170101082791</v>
      </c>
      <c r="T21" t="str">
        <f>IF(D21&gt;B21,"",Marginal_Model!Q21)</f>
        <v/>
      </c>
      <c r="U21">
        <f>IF(D21&gt;C21,"",Inputs!$B$7*M21+Inputs!$B$8*Q21)</f>
        <v>8.6145473439975699</v>
      </c>
      <c r="V21">
        <f>IF(D21&gt;C21,"",Inputs!$B$7*N21+Inputs!$B$8*R21)</f>
        <v>3.8892248790026245</v>
      </c>
      <c r="W21">
        <f>IF(D21&gt;C21,"",Inputs!$B$7*O21+Inputs!$B$8*S21)</f>
        <v>16.556668563571243</v>
      </c>
      <c r="X21" t="str">
        <f>IF(OR(D21&gt;C21,D21&gt;B21),"",Inputs!$B$7*P21+Inputs!$B$8*T21)</f>
        <v/>
      </c>
      <c r="Y21">
        <f t="shared" si="0"/>
        <v>1.8144692994779077E-4</v>
      </c>
      <c r="Z21">
        <f t="shared" si="1"/>
        <v>2.0461199798447838E-2</v>
      </c>
      <c r="AA21">
        <f t="shared" si="2"/>
        <v>6.449561734639023E-8</v>
      </c>
      <c r="AB21" t="str">
        <f t="shared" si="3"/>
        <v/>
      </c>
    </row>
    <row r="22" spans="1:28">
      <c r="A22">
        <f>Fixed_Opportunity!A22</f>
        <v>2</v>
      </c>
      <c r="B22">
        <f>Fixed_Opportunity!B22</f>
        <v>5</v>
      </c>
      <c r="C22">
        <f>Fixed_Opportunity!C22</f>
        <v>15</v>
      </c>
      <c r="D22">
        <f>Fixed_Opportunity!D22</f>
        <v>10</v>
      </c>
      <c r="E22">
        <f>IF(D22&gt;C22,"",Fixed_Opportunity!N22)</f>
        <v>5.4393927711116064E-5</v>
      </c>
      <c r="F22">
        <f>IF(D22&gt;C22,"",Fixed_Opportunity!O22)</f>
        <v>0.19125352297565568</v>
      </c>
      <c r="G22">
        <f>IF(D22&gt;C22,"",Fixed_Opportunity!P22)</f>
        <v>1.0868212618753148E-7</v>
      </c>
      <c r="H22" t="str">
        <f>IF(OR(D22&gt;C22,D22&gt;B22),"",Fixed_Opportunity!Q22)</f>
        <v/>
      </c>
      <c r="I22">
        <f>Marginal_Model!J22</f>
        <v>1.8113688682795842E-8</v>
      </c>
      <c r="J22">
        <f>Marginal_Model!K22</f>
        <v>1.4959981059611549E-8</v>
      </c>
      <c r="K22">
        <f>Marginal_Model!L22</f>
        <v>7.6595103025211163E-15</v>
      </c>
      <c r="L22" t="str">
        <f>IF(D22&gt;B22,"",Marginal_Model!M22)</f>
        <v/>
      </c>
      <c r="M22">
        <f>IF(D22&gt;C22,"",Fixed_Opportunity!R22)</f>
        <v>9.819258033290108</v>
      </c>
      <c r="N22">
        <f>IF(D22&gt;C22,"",Fixed_Opportunity!S22)</f>
        <v>1.6541553856574103</v>
      </c>
      <c r="O22">
        <f>IF(D22&gt;C22,"",Fixed_Opportunity!T22)</f>
        <v>16.034838488837163</v>
      </c>
      <c r="P22" t="str">
        <f>IF(OR(D22&gt;C22,D22&gt;B22),"",Fixed_Opportunity!U22)</f>
        <v/>
      </c>
      <c r="Q22">
        <f>Marginal_Model!N22</f>
        <v>17.826597903693411</v>
      </c>
      <c r="R22">
        <f>Marginal_Model!O22</f>
        <v>18.017887130469628</v>
      </c>
      <c r="S22">
        <f>Marginal_Model!P22</f>
        <v>32.502828342376532</v>
      </c>
      <c r="T22" t="str">
        <f>IF(D22&gt;B22,"",Marginal_Model!Q22)</f>
        <v/>
      </c>
      <c r="U22">
        <f>IF(D22&gt;C22,"",Inputs!$B$7*M22+Inputs!$B$8*Q22)</f>
        <v>11.420726007370767</v>
      </c>
      <c r="V22">
        <f>IF(D22&gt;C22,"",Inputs!$B$7*N22+Inputs!$B$8*R22)</f>
        <v>4.9269017346198529</v>
      </c>
      <c r="W22">
        <f>IF(D22&gt;C22,"",Inputs!$B$7*O22+Inputs!$B$8*S22)</f>
        <v>19.328436459545038</v>
      </c>
      <c r="X22" t="str">
        <f>IF(OR(D22&gt;C22,D22&gt;B22),"",Inputs!$B$7*P22+Inputs!$B$8*T22)</f>
        <v/>
      </c>
      <c r="Y22">
        <f t="shared" si="0"/>
        <v>1.0965835221863369E-5</v>
      </c>
      <c r="Z22">
        <f t="shared" si="1"/>
        <v>7.2489276266609328E-3</v>
      </c>
      <c r="AA22">
        <f t="shared" si="2"/>
        <v>4.0342861735151187E-9</v>
      </c>
      <c r="AB22" t="str">
        <f t="shared" si="3"/>
        <v/>
      </c>
    </row>
    <row r="23" spans="1:28">
      <c r="A23">
        <f>Fixed_Opportunity!A23</f>
        <v>2</v>
      </c>
      <c r="B23">
        <f>Fixed_Opportunity!B23</f>
        <v>5</v>
      </c>
      <c r="C23">
        <f>Fixed_Opportunity!C23</f>
        <v>15</v>
      </c>
      <c r="D23">
        <f>Fixed_Opportunity!D23</f>
        <v>11</v>
      </c>
      <c r="E23">
        <f>IF(D23&gt;C23,"",Fixed_Opportunity!N23)</f>
        <v>1.9019355029792351E-6</v>
      </c>
      <c r="F23">
        <f>IF(D23&gt;C23,"",Fixed_Opportunity!O23)</f>
        <v>6.5772401407864112E-2</v>
      </c>
      <c r="G23">
        <f>IF(D23&gt;C23,"",Fixed_Opportunity!P23)</f>
        <v>6.9668033395368607E-9</v>
      </c>
      <c r="H23" t="str">
        <f>IF(OR(D23&gt;C23,D23&gt;B23),"",Fixed_Opportunity!Q23)</f>
        <v/>
      </c>
      <c r="I23">
        <f>Marginal_Model!J23</f>
        <v>1.3933606679073726E-9</v>
      </c>
      <c r="J23">
        <f>Marginal_Model!K23</f>
        <v>1.9179462896937883E-9</v>
      </c>
      <c r="K23">
        <f>Marginal_Model!L23</f>
        <v>1.9639770006464401E-16</v>
      </c>
      <c r="L23" t="str">
        <f>IF(D23&gt;B23,"",Marginal_Model!M23)</f>
        <v/>
      </c>
      <c r="M23">
        <f>IF(D23&gt;C23,"",Fixed_Opportunity!R23)</f>
        <v>13.172638504521592</v>
      </c>
      <c r="N23">
        <f>IF(D23&gt;C23,"",Fixed_Opportunity!S23)</f>
        <v>2.7215549601282838</v>
      </c>
      <c r="O23">
        <f>IF(D23&gt;C23,"",Fixed_Opportunity!T23)</f>
        <v>18.782109348720848</v>
      </c>
      <c r="P23" t="str">
        <f>IF(OR(D23&gt;C23,D23&gt;B23),"",Fixed_Opportunity!U23)</f>
        <v/>
      </c>
      <c r="Q23">
        <f>Marginal_Model!N23</f>
        <v>20.391547261154951</v>
      </c>
      <c r="R23">
        <f>Marginal_Model!O23</f>
        <v>20.072010864165176</v>
      </c>
      <c r="S23">
        <f>Marginal_Model!P23</f>
        <v>36.166389988506175</v>
      </c>
      <c r="T23" t="str">
        <f>IF(D23&gt;B23,"",Marginal_Model!Q23)</f>
        <v/>
      </c>
      <c r="U23">
        <f>IF(D23&gt;C23,"",Inputs!$B$7*M23+Inputs!$B$8*Q23)</f>
        <v>14.616420255848263</v>
      </c>
      <c r="V23">
        <f>IF(D23&gt;C23,"",Inputs!$B$7*N23+Inputs!$B$8*R23)</f>
        <v>6.1916461409356618</v>
      </c>
      <c r="W23">
        <f>IF(D23&gt;C23,"",Inputs!$B$7*O23+Inputs!$B$8*S23)</f>
        <v>22.258965476677911</v>
      </c>
      <c r="X23" t="str">
        <f>IF(OR(D23&gt;C23,D23&gt;B23),"",Inputs!$B$7*P23+Inputs!$B$8*T23)</f>
        <v/>
      </c>
      <c r="Y23">
        <f t="shared" si="0"/>
        <v>4.4892039637413067E-7</v>
      </c>
      <c r="Z23">
        <f t="shared" si="1"/>
        <v>2.0464552253130928E-3</v>
      </c>
      <c r="AA23">
        <f t="shared" si="2"/>
        <v>2.1530500252784915E-10</v>
      </c>
      <c r="AB23" t="str">
        <f t="shared" si="3"/>
        <v/>
      </c>
    </row>
    <row r="24" spans="1:28">
      <c r="A24">
        <f>Fixed_Opportunity!A24</f>
        <v>2</v>
      </c>
      <c r="B24">
        <f>Fixed_Opportunity!B24</f>
        <v>5</v>
      </c>
      <c r="C24">
        <f>Fixed_Opportunity!C24</f>
        <v>15</v>
      </c>
      <c r="D24">
        <f>Fixed_Opportunity!D24</f>
        <v>12</v>
      </c>
      <c r="E24">
        <f>IF(D24&gt;C24,"",Fixed_Opportunity!N24)</f>
        <v>3.9623693215418143E-8</v>
      </c>
      <c r="F24">
        <f>IF(D24&gt;C24,"",Fixed_Opportunity!O24)</f>
        <v>1.6864964254071801E-2</v>
      </c>
      <c r="G24">
        <f>IF(D24&gt;C24,"",Fixed_Opportunity!P24)</f>
        <v>3.4834016697684304E-10</v>
      </c>
      <c r="H24" t="str">
        <f>IF(OR(D24&gt;C24,D24&gt;B24),"",Fixed_Opportunity!Q24)</f>
        <v/>
      </c>
      <c r="I24">
        <f>Marginal_Model!J24</f>
        <v>8.7085041744210785E-11</v>
      </c>
      <c r="J24">
        <f>Marginal_Model!K24</f>
        <v>2.3974328621172353E-10</v>
      </c>
      <c r="K24">
        <f>Marginal_Model!L24</f>
        <v>4.9099425016161006E-18</v>
      </c>
      <c r="L24" t="str">
        <f>IF(D24&gt;B24,"",Marginal_Model!M24)</f>
        <v/>
      </c>
      <c r="M24">
        <f>IF(D24&gt;C24,"",Fixed_Opportunity!R24)</f>
        <v>17.043838584083488</v>
      </c>
      <c r="N24">
        <f>IF(D24&gt;C24,"",Fixed_Opportunity!S24)</f>
        <v>4.0825169300040161</v>
      </c>
      <c r="O24">
        <f>IF(D24&gt;C24,"",Fixed_Opportunity!T24)</f>
        <v>21.777841622274842</v>
      </c>
      <c r="P24" t="str">
        <f>IF(OR(D24&gt;C24,D24&gt;B24),"",Fixed_Opportunity!U24)</f>
        <v/>
      </c>
      <c r="Q24">
        <f>Marginal_Model!N24</f>
        <v>23.164135983394729</v>
      </c>
      <c r="R24">
        <f>Marginal_Model!O24</f>
        <v>22.15145240584501</v>
      </c>
      <c r="S24">
        <f>Marginal_Model!P24</f>
        <v>39.855269442620113</v>
      </c>
      <c r="T24" t="str">
        <f>IF(D24&gt;B24,"",Marginal_Model!Q24)</f>
        <v/>
      </c>
      <c r="U24">
        <f>IF(D24&gt;C24,"",Inputs!$B$7*M24+Inputs!$B$8*Q24)</f>
        <v>18.267898063945736</v>
      </c>
      <c r="V24">
        <f>IF(D24&gt;C24,"",Inputs!$B$7*N24+Inputs!$B$8*R24)</f>
        <v>7.6963040251722141</v>
      </c>
      <c r="W24">
        <f>IF(D24&gt;C24,"",Inputs!$B$7*O24+Inputs!$B$8*S24)</f>
        <v>25.393327186343896</v>
      </c>
      <c r="X24" t="str">
        <f>IF(OR(D24&gt;C24,D24&gt;B24),"",Inputs!$B$7*P24+Inputs!$B$8*T24)</f>
        <v/>
      </c>
      <c r="Y24">
        <f t="shared" si="0"/>
        <v>1.1650717580420179E-8</v>
      </c>
      <c r="Z24">
        <f t="shared" si="1"/>
        <v>4.5450391743170475E-4</v>
      </c>
      <c r="AA24">
        <f t="shared" si="2"/>
        <v>9.3716945615545805E-12</v>
      </c>
      <c r="AB24" t="str">
        <f t="shared" si="3"/>
        <v/>
      </c>
    </row>
    <row r="25" spans="1:28">
      <c r="A25">
        <f>Fixed_Opportunity!A25</f>
        <v>2</v>
      </c>
      <c r="B25">
        <f>Fixed_Opportunity!B25</f>
        <v>5</v>
      </c>
      <c r="C25">
        <f>Fixed_Opportunity!C25</f>
        <v>15</v>
      </c>
      <c r="D25">
        <f>Fixed_Opportunity!D25</f>
        <v>13</v>
      </c>
      <c r="E25">
        <f>IF(D25&gt;C25,"",Fixed_Opportunity!N25)</f>
        <v>4.3542520872105379E-10</v>
      </c>
      <c r="F25">
        <f>IF(D25&gt;C25,"",Fixed_Opportunity!O25)</f>
        <v>3.0326773326718737E-3</v>
      </c>
      <c r="G25">
        <f>IF(D25&gt;C25,"",Fixed_Opportunity!P25)</f>
        <v>1.2440720249172966E-11</v>
      </c>
      <c r="H25" t="str">
        <f>IF(OR(D25&gt;C25,D25&gt;B25),"",Fixed_Opportunity!Q25)</f>
        <v/>
      </c>
      <c r="I25">
        <f>Marginal_Model!J25</f>
        <v>4.146906749724323E-12</v>
      </c>
      <c r="J25">
        <f>Marginal_Model!K25</f>
        <v>2.8540867406157561E-11</v>
      </c>
      <c r="K25">
        <f>Marginal_Model!L25</f>
        <v>1.1690339289562144E-19</v>
      </c>
      <c r="L25" t="str">
        <f>IF(D25&gt;B25,"",Marginal_Model!M25)</f>
        <v/>
      </c>
      <c r="M25">
        <f>IF(D25&gt;C25,"",Fixed_Opportunity!R25)</f>
        <v>21.55469807096063</v>
      </c>
      <c r="N25">
        <f>IF(D25&gt;C25,"",Fixed_Opportunity!S25)</f>
        <v>5.7983094414701908</v>
      </c>
      <c r="O25">
        <f>IF(D25&gt;C25,"",Fixed_Opportunity!T25)</f>
        <v>25.110046132450044</v>
      </c>
      <c r="P25" t="str">
        <f>IF(OR(D25&gt;C25,D25&gt;B25),"",Fixed_Opportunity!U25)</f>
        <v/>
      </c>
      <c r="Q25">
        <f>Marginal_Model!N25</f>
        <v>26.208658421118155</v>
      </c>
      <c r="R25">
        <f>Marginal_Model!O25</f>
        <v>24.279684111694277</v>
      </c>
      <c r="S25">
        <f>Marginal_Model!P25</f>
        <v>43.592939060903483</v>
      </c>
      <c r="T25" t="str">
        <f>IF(D25&gt;B25,"",Marginal_Model!Q25)</f>
        <v/>
      </c>
      <c r="U25">
        <f>IF(D25&gt;C25,"",Inputs!$B$7*M25+Inputs!$B$8*Q25)</f>
        <v>22.485490140992134</v>
      </c>
      <c r="V25">
        <f>IF(D25&gt;C25,"",Inputs!$B$7*N25+Inputs!$B$8*R25)</f>
        <v>9.4945843755150072</v>
      </c>
      <c r="W25">
        <f>IF(D25&gt;C25,"",Inputs!$B$7*O25+Inputs!$B$8*S25)</f>
        <v>28.806624718140732</v>
      </c>
      <c r="X25" t="str">
        <f>IF(OR(D25&gt;C25,D25&gt;B25),"",Inputs!$B$7*P25+Inputs!$B$8*T25)</f>
        <v/>
      </c>
      <c r="Y25">
        <f t="shared" si="0"/>
        <v>1.7166260901945752E-10</v>
      </c>
      <c r="Z25">
        <f t="shared" si="1"/>
        <v>7.5258298938816386E-5</v>
      </c>
      <c r="AA25">
        <f t="shared" si="2"/>
        <v>3.0863263211427744E-13</v>
      </c>
      <c r="AB25" t="str">
        <f t="shared" si="3"/>
        <v/>
      </c>
    </row>
    <row r="26" spans="1:28">
      <c r="A26">
        <f>Fixed_Opportunity!A26</f>
        <v>2</v>
      </c>
      <c r="B26">
        <f>Fixed_Opportunity!B26</f>
        <v>5</v>
      </c>
      <c r="C26">
        <f>Fixed_Opportunity!C26</f>
        <v>15</v>
      </c>
      <c r="D26">
        <f>Fixed_Opportunity!D26</f>
        <v>14</v>
      </c>
      <c r="E26">
        <f>IF(D26&gt;C26,"",Fixed_Opportunity!N26)</f>
        <v>2.0065677821246717E-12</v>
      </c>
      <c r="F26">
        <f>IF(D26&gt;C26,"",Fixed_Opportunity!O26)</f>
        <v>3.2653648364233678E-4</v>
      </c>
      <c r="G26">
        <f>IF(D26&gt;C26,"",Fixed_Opportunity!P26)</f>
        <v>2.6754237094995625E-13</v>
      </c>
      <c r="H26" t="str">
        <f>IF(OR(D26&gt;C26,D26&gt;B26),"",Fixed_Opportunity!Q26)</f>
        <v/>
      </c>
      <c r="I26">
        <f>Marginal_Model!J26</f>
        <v>1.3377118547497815E-13</v>
      </c>
      <c r="J26">
        <f>Marginal_Model!K26</f>
        <v>3.0689104737803827E-12</v>
      </c>
      <c r="K26">
        <f>Marginal_Model!L26</f>
        <v>2.5140514601208912E-21</v>
      </c>
      <c r="L26" t="str">
        <f>IF(D26&gt;B26,"",Marginal_Model!M26)</f>
        <v/>
      </c>
      <c r="M26">
        <f>IF(D26&gt;C26,"",Fixed_Opportunity!R26)</f>
        <v>26.93459542450109</v>
      </c>
      <c r="N26">
        <f>IF(D26&gt;C26,"",Fixed_Opportunity!S26)</f>
        <v>8.0269688738599854</v>
      </c>
      <c r="O26">
        <f>IF(D26&gt;C26,"",Fixed_Opportunity!T26)</f>
        <v>28.949498445043353</v>
      </c>
      <c r="P26" t="str">
        <f>IF(OR(D26&gt;C26,D26&gt;B26),"",Fixed_Opportunity!U26)</f>
        <v/>
      </c>
      <c r="Q26">
        <f>Marginal_Model!N26</f>
        <v>29.642645625603301</v>
      </c>
      <c r="R26">
        <f>Marginal_Model!O26</f>
        <v>26.50969851185349</v>
      </c>
      <c r="S26">
        <f>Marginal_Model!P26</f>
        <v>47.432391373496792</v>
      </c>
      <c r="T26" t="str">
        <f>IF(D26&gt;B26,"",Marginal_Model!Q26)</f>
        <v/>
      </c>
      <c r="U26">
        <f>IF(D26&gt;C26,"",Inputs!$B$7*M26+Inputs!$B$8*Q26)</f>
        <v>27.476205464721531</v>
      </c>
      <c r="V26">
        <f>IF(D26&gt;C26,"",Inputs!$B$7*N26+Inputs!$B$8*R26)</f>
        <v>11.723514801458684</v>
      </c>
      <c r="W26">
        <f>IF(D26&gt;C26,"",Inputs!$B$7*O26+Inputs!$B$8*S26)</f>
        <v>32.646077030734041</v>
      </c>
      <c r="X26" t="str">
        <f>IF(OR(D26&gt;C26,D26&gt;B26),"",Inputs!$B$7*P26+Inputs!$B$8*T26)</f>
        <v/>
      </c>
      <c r="Y26">
        <f t="shared" si="0"/>
        <v>1.1674427246092824E-12</v>
      </c>
      <c r="Z26">
        <f t="shared" si="1"/>
        <v>8.1010667983446648E-6</v>
      </c>
      <c r="AA26">
        <f t="shared" si="2"/>
        <v>6.6372609056833964E-15</v>
      </c>
      <c r="AB26" t="str">
        <f t="shared" si="3"/>
        <v/>
      </c>
    </row>
    <row r="27" spans="1:28">
      <c r="A27">
        <f>Fixed_Opportunity!A27</f>
        <v>2</v>
      </c>
      <c r="B27">
        <f>Fixed_Opportunity!B27</f>
        <v>5</v>
      </c>
      <c r="C27">
        <f>Fixed_Opportunity!C27</f>
        <v>15</v>
      </c>
      <c r="D27">
        <f>Fixed_Opportunity!D27</f>
        <v>15</v>
      </c>
      <c r="E27">
        <f>IF(D27&gt;C27,"",Fixed_Opportunity!N27)</f>
        <v>2.1929702536881659E-15</v>
      </c>
      <c r="F27">
        <f>IF(D27&gt;C27,"",Fixed_Opportunity!O27)</f>
        <v>1.3384738632105098E-5</v>
      </c>
      <c r="G27">
        <f>IF(D27&gt;C27,"",Fixed_Opportunity!P27)</f>
        <v>2.1929702536881659E-15</v>
      </c>
      <c r="H27" t="str">
        <f>IF(OR(D27&gt;C27,D27&gt;B27),"",Fixed_Opportunity!Q27)</f>
        <v/>
      </c>
      <c r="I27">
        <f>Marginal_Model!J27</f>
        <v>2.1929702536881667E-15</v>
      </c>
      <c r="J27">
        <f>Marginal_Model!K27</f>
        <v>2.515500388344576E-13</v>
      </c>
      <c r="K27">
        <f>Marginal_Model!L27</f>
        <v>4.1213958362637565E-23</v>
      </c>
      <c r="L27" t="str">
        <f>IF(D27&gt;B27,"",Marginal_Model!M27)</f>
        <v/>
      </c>
      <c r="M27">
        <f>IF(D27&gt;C27,"",Fixed_Opportunity!R27)</f>
        <v>33.753519489776615</v>
      </c>
      <c r="N27">
        <f>IF(D27&gt;C27,"",Fixed_Opportunity!S27)</f>
        <v>11.221395408107893</v>
      </c>
      <c r="O27">
        <f>IF(D27&gt;C27,"",Fixed_Opportunity!T27)</f>
        <v>33.753519489776615</v>
      </c>
      <c r="P27" t="str">
        <f>IF(OR(D27&gt;C27,D27&gt;B27),"",Fixed_Opportunity!U27)</f>
        <v/>
      </c>
      <c r="Q27">
        <f>Marginal_Model!N27</f>
        <v>33.753519489776615</v>
      </c>
      <c r="R27">
        <f>Marginal_Model!O27</f>
        <v>29.0111344635927</v>
      </c>
      <c r="S27">
        <f>Marginal_Model!P27</f>
        <v>51.543265237670106</v>
      </c>
      <c r="T27" t="str">
        <f>IF(D27&gt;B27,"",Marginal_Model!Q27)</f>
        <v/>
      </c>
      <c r="U27">
        <f>IF(D27&gt;C27,"",Inputs!$B$7*M27+Inputs!$B$8*Q27)</f>
        <v>33.753519489776615</v>
      </c>
      <c r="V27">
        <f>IF(D27&gt;C27,"",Inputs!$B$7*N27+Inputs!$B$8*R27)</f>
        <v>14.779343219204854</v>
      </c>
      <c r="W27">
        <f>IF(D27&gt;C27,"",Inputs!$B$7*O27+Inputs!$B$8*S27)</f>
        <v>37.311468639355311</v>
      </c>
      <c r="X27" t="str">
        <f>IF(OR(D27&gt;C27,D27&gt;B27),"",Inputs!$B$7*P27+Inputs!$B$8*T27)</f>
        <v/>
      </c>
      <c r="Y27">
        <f t="shared" si="0"/>
        <v>2.1929702536881592E-15</v>
      </c>
      <c r="Z27">
        <f t="shared" si="1"/>
        <v>3.8142819587516711E-7</v>
      </c>
      <c r="AA27">
        <f t="shared" si="2"/>
        <v>6.2493530197087097E-17</v>
      </c>
      <c r="AB27" t="str">
        <f t="shared" si="3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0"/>
  <sheetViews>
    <sheetView tabSelected="1" topLeftCell="A16" workbookViewId="0"/>
  </sheetViews>
  <sheetFormatPr defaultRowHeight="14.15"/>
  <cols>
    <col min="1" max="1" width="60.5" customWidth="1"/>
    <col min="2" max="5" width="11.2109375" customWidth="1"/>
    <col min="6" max="8" width="14.640625" customWidth="1"/>
    <col min="9" max="9" width="11.35546875" customWidth="1"/>
    <col min="10" max="12" width="11.2109375" customWidth="1"/>
    <col min="13" max="13" width="12.35546875" customWidth="1"/>
  </cols>
  <sheetData>
    <row r="1" spans="1:13" ht="17.600000000000001">
      <c r="A1" s="22" t="s">
        <v>161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.3">
      <c r="A2" s="23" t="s">
        <v>162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>
      <c r="A4" s="24" t="s">
        <v>163</v>
      </c>
    </row>
    <row r="5" spans="1:13" ht="28.3">
      <c r="A5" s="25" t="s">
        <v>91</v>
      </c>
      <c r="B5" s="25" t="s">
        <v>164</v>
      </c>
      <c r="C5" s="25" t="s">
        <v>165</v>
      </c>
      <c r="D5" s="25" t="s">
        <v>166</v>
      </c>
      <c r="E5" s="25" t="s">
        <v>167</v>
      </c>
      <c r="F5" s="25" t="s">
        <v>107</v>
      </c>
      <c r="G5" s="25" t="s">
        <v>108</v>
      </c>
      <c r="H5" s="25" t="s">
        <v>109</v>
      </c>
      <c r="I5" s="25" t="s">
        <v>110</v>
      </c>
      <c r="J5" s="25" t="s">
        <v>111</v>
      </c>
      <c r="K5" s="25" t="s">
        <v>112</v>
      </c>
      <c r="L5" s="25" t="s">
        <v>113</v>
      </c>
      <c r="M5" s="25" t="s">
        <v>114</v>
      </c>
    </row>
    <row r="6" spans="1:13">
      <c r="A6" s="3">
        <v>3</v>
      </c>
      <c r="B6" s="26">
        <f>IF($A6&gt;Inputs!$B$9,"",Combined_Fixed_Model!E2)</f>
        <v>0.99999999996907007</v>
      </c>
      <c r="C6" s="26">
        <f>IF($A6&gt;Inputs!$B$9,"",Combined_Fixed_Model!F2)</f>
        <v>0.99998431077721828</v>
      </c>
      <c r="D6" s="26">
        <f>IF($A6&gt;Inputs!$B$9,"",Combined_Fixed_Model!G2)</f>
        <v>0.49912992006885437</v>
      </c>
      <c r="E6" s="26">
        <f>IF(OR($A6&gt;Inputs!$B$9,$A6&gt;4),"",Combined_Fixed_Model!H2)</f>
        <v>0.54967200167703711</v>
      </c>
      <c r="F6" s="26">
        <f>IF($A6&gt;Inputs!$B$9,"",Combined_Fixed_Model!I2)</f>
        <v>5.3185271770894223E-2</v>
      </c>
      <c r="G6" s="26">
        <f>IF($A6&gt;Inputs!$B$9,"",Combined_Fixed_Model!J2)</f>
        <v>2.4313267095265927E-2</v>
      </c>
      <c r="H6" s="26">
        <f>IF($A6&gt;Inputs!$B$9,"",Combined_Fixed_Model!K2)</f>
        <v>1.5195791934541204E-3</v>
      </c>
      <c r="I6" s="26">
        <f>IF(OR($A6&gt;Inputs!$B$9,$A6&gt;4),"",Combined_Fixed_Model!L2)</f>
        <v>1.7533606078316774E-3</v>
      </c>
      <c r="J6" s="26">
        <f>IF($A6&gt;Inputs!$B$9,"",Combined_Fixed_Model!Y2)</f>
        <v>0.55610689083839826</v>
      </c>
      <c r="K6" s="26">
        <f>IF($A6&gt;Inputs!$B$9,"",Combined_Fixed_Model!Z2)</f>
        <v>0.4755138963077804</v>
      </c>
      <c r="L6" s="26">
        <f>IF($A6&gt;Inputs!$B$9,"",Combined_Fixed_Model!AA2)</f>
        <v>0.15664464435394132</v>
      </c>
      <c r="M6" s="26">
        <f>IF(OR($A6&gt;Inputs!$B$9,$A6&gt;4),"",Combined_Fixed_Model!AB2)</f>
        <v>0.1741234012696195</v>
      </c>
    </row>
    <row r="7" spans="1:13">
      <c r="A7" s="3">
        <v>4</v>
      </c>
      <c r="B7" s="26">
        <f>IF($A7&gt;Inputs!$B$9,"",Combined_Fixed_Model!E3)</f>
        <v>0.99999976967340842</v>
      </c>
      <c r="C7" s="26">
        <f>IF($A7&gt;Inputs!$B$9,"",Combined_Fixed_Model!F3)</f>
        <v>0.99981575030419834</v>
      </c>
      <c r="D7" s="26">
        <f>IF($A7&gt;Inputs!$B$9,"",Combined_Fixed_Model!G3)</f>
        <v>0.12572717198852157</v>
      </c>
      <c r="E7" s="26">
        <f>IF(OR($A7&gt;Inputs!$B$9,$A7&gt;4),"",Combined_Fixed_Model!H3)</f>
        <v>4.1119070057055507E-2</v>
      </c>
      <c r="F7" s="26">
        <f>IF($A7&gt;Inputs!$B$9,"",Combined_Fixed_Model!I3)</f>
        <v>1.1196899320188258E-2</v>
      </c>
      <c r="G7" s="26">
        <f>IF($A7&gt;Inputs!$B$9,"",Combined_Fixed_Model!J3)</f>
        <v>3.1498969516133993E-3</v>
      </c>
      <c r="H7" s="26">
        <f>IF($A7&gt;Inputs!$B$9,"",Combined_Fixed_Model!K3)</f>
        <v>4.9217139868959364E-5</v>
      </c>
      <c r="I7" s="26">
        <f>IF(OR($A7&gt;Inputs!$B$9,$A7&gt;4),"",Combined_Fixed_Model!L3)</f>
        <v>3.0760712418099601E-5</v>
      </c>
      <c r="J7" s="26">
        <f>IF($A7&gt;Inputs!$B$9,"",Combined_Fixed_Model!Y3)</f>
        <v>0.4072109751652444</v>
      </c>
      <c r="K7" s="26">
        <f>IF($A7&gt;Inputs!$B$9,"",Combined_Fixed_Model!Z3)</f>
        <v>0.31593318695785988</v>
      </c>
      <c r="L7" s="26">
        <f>IF($A7&gt;Inputs!$B$9,"",Combined_Fixed_Model!AA3)</f>
        <v>2.6179816129248083E-2</v>
      </c>
      <c r="M7" s="26">
        <f>IF(OR($A7&gt;Inputs!$B$9,$A7&gt;4),"",Combined_Fixed_Model!AB3)</f>
        <v>9.7461682681029473E-3</v>
      </c>
    </row>
    <row r="8" spans="1:13">
      <c r="A8" s="3">
        <v>5</v>
      </c>
      <c r="B8" s="26">
        <f>IF($A8&gt;Inputs!$B$9,"",Combined_Fixed_Model!E4)</f>
        <v>0.99864610680202093</v>
      </c>
      <c r="C8" s="26">
        <f>IF($A8&gt;Inputs!$B$9,"",Combined_Fixed_Model!F4)</f>
        <v>0.99795730421674655</v>
      </c>
      <c r="D8" s="26">
        <f>IF($A8&gt;Inputs!$B$9,"",Combined_Fixed_Model!G4)</f>
        <v>2.3902988340820053E-2</v>
      </c>
      <c r="E8" s="26" t="str">
        <f>IF(OR($A8&gt;Inputs!$B$9,$A8&gt;4),"",Combined_Fixed_Model!H4)</f>
        <v/>
      </c>
      <c r="F8" s="26">
        <f>IF($A8&gt;Inputs!$B$9,"",Combined_Fixed_Model!I4)</f>
        <v>2.199390937894122E-3</v>
      </c>
      <c r="G8" s="26">
        <f>IF($A8&gt;Inputs!$B$9,"",Combined_Fixed_Model!J4)</f>
        <v>4.1248650556842138E-4</v>
      </c>
      <c r="H8" s="26">
        <f>IF($A8&gt;Inputs!$B$9,"",Combined_Fixed_Model!K4)</f>
        <v>1.611275412376646E-6</v>
      </c>
      <c r="I8" s="26" t="str">
        <f>IF(OR($A8&gt;Inputs!$B$9,$A8&gt;4),"",Combined_Fixed_Model!L4)</f>
        <v/>
      </c>
      <c r="J8" s="26">
        <f>IF($A8&gt;Inputs!$B$9,"",Combined_Fixed_Model!Y4)</f>
        <v>0.29375805015881723</v>
      </c>
      <c r="K8" s="26">
        <f>IF($A8&gt;Inputs!$B$9,"",Combined_Fixed_Model!Z4)</f>
        <v>0.21007361937542082</v>
      </c>
      <c r="L8" s="26">
        <f>IF($A8&gt;Inputs!$B$9,"",Combined_Fixed_Model!AA4)</f>
        <v>3.5010290607660425E-3</v>
      </c>
      <c r="M8" s="26" t="str">
        <f>IF(OR($A8&gt;Inputs!$B$9,$A8&gt;4),"",Combined_Fixed_Model!AB4)</f>
        <v/>
      </c>
    </row>
    <row r="9" spans="1:13">
      <c r="A9" s="3">
        <v>6</v>
      </c>
      <c r="B9" s="26">
        <f>IF($A9&gt;Inputs!$B$9,"",Combined_Fixed_Model!E5)</f>
        <v>0.86486023684960811</v>
      </c>
      <c r="C9" s="26">
        <f>IF($A9&gt;Inputs!$B$9,"",Combined_Fixed_Model!F5)</f>
        <v>0.98334202231551537</v>
      </c>
      <c r="D9" s="26">
        <f>IF($A9&gt;Inputs!$B$9,"",Combined_Fixed_Model!G5)</f>
        <v>3.9909076904460772E-3</v>
      </c>
      <c r="E9" s="26" t="str">
        <f>IF(OR($A9&gt;Inputs!$B$9,$A9&gt;4),"",Combined_Fixed_Model!H5)</f>
        <v/>
      </c>
      <c r="F9" s="26">
        <f>IF($A9&gt;Inputs!$B$9,"",Combined_Fixed_Model!I5)</f>
        <v>3.9988926143529491E-4</v>
      </c>
      <c r="G9" s="26">
        <f>IF($A9&gt;Inputs!$B$9,"",Combined_Fixed_Model!J5)</f>
        <v>5.454367015780779E-5</v>
      </c>
      <c r="H9" s="26">
        <f>IF($A9&gt;Inputs!$B$9,"",Combined_Fixed_Model!K5)</f>
        <v>5.326530288848417E-8</v>
      </c>
      <c r="I9" s="26" t="str">
        <f>IF(OR($A9&gt;Inputs!$B$9,$A9&gt;4),"",Combined_Fixed_Model!L5)</f>
        <v/>
      </c>
      <c r="J9" s="26">
        <f>IF($A9&gt;Inputs!$B$9,"",Combined_Fixed_Model!Y5)</f>
        <v>0.18618500149000228</v>
      </c>
      <c r="K9" s="26">
        <f>IF($A9&gt;Inputs!$B$9,"",Combined_Fixed_Model!Z5)</f>
        <v>0.13852002158072604</v>
      </c>
      <c r="L9" s="26">
        <f>IF($A9&gt;Inputs!$B$9,"",Combined_Fixed_Model!AA5)</f>
        <v>4.2281095014898057E-4</v>
      </c>
      <c r="M9" s="26" t="str">
        <f>IF(OR($A9&gt;Inputs!$B$9,$A9&gt;4),"",Combined_Fixed_Model!AB5)</f>
        <v/>
      </c>
    </row>
    <row r="10" spans="1:13">
      <c r="A10" s="3">
        <v>7</v>
      </c>
      <c r="B10" s="26">
        <f>IF($A10&gt;Inputs!$B$9,"",Combined_Fixed_Model!E6)</f>
        <v>0.34876272984291867</v>
      </c>
      <c r="C10" s="26">
        <f>IF($A10&gt;Inputs!$B$9,"",Combined_Fixed_Model!F6)</f>
        <v>0.9143014713603892</v>
      </c>
      <c r="D10" s="26">
        <f>IF($A10&gt;Inputs!$B$9,"",Combined_Fixed_Model!G6)</f>
        <v>5.9965402776851473E-4</v>
      </c>
      <c r="E10" s="26" t="str">
        <f>IF(OR($A10&gt;Inputs!$B$9,$A10&gt;4),"",Combined_Fixed_Model!H6)</f>
        <v/>
      </c>
      <c r="F10" s="26">
        <f>IF($A10&gt;Inputs!$B$9,"",Combined_Fixed_Model!I6)</f>
        <v>6.664821023921581E-5</v>
      </c>
      <c r="G10" s="26">
        <f>IF($A10&gt;Inputs!$B$9,"",Combined_Fixed_Model!J6)</f>
        <v>7.272489354374372E-6</v>
      </c>
      <c r="H10" s="26">
        <f>IF($A10&gt;Inputs!$B$9,"",Combined_Fixed_Model!K6)</f>
        <v>1.7755100962828057E-9</v>
      </c>
      <c r="I10" s="26" t="str">
        <f>IF(OR($A10&gt;Inputs!$B$9,$A10&gt;4),"",Combined_Fixed_Model!L6)</f>
        <v/>
      </c>
      <c r="J10" s="26">
        <f>IF($A10&gt;Inputs!$B$9,"",Combined_Fixed_Model!Y6)</f>
        <v>6.2918991506830654E-2</v>
      </c>
      <c r="K10" s="26">
        <f>IF($A10&gt;Inputs!$B$9,"",Combined_Fixed_Model!Z6)</f>
        <v>8.7338987666707391E-2</v>
      </c>
      <c r="L10" s="26">
        <f>IF($A10&gt;Inputs!$B$9,"",Combined_Fixed_Model!AA6)</f>
        <v>4.7009456847255043E-5</v>
      </c>
      <c r="M10" s="26" t="str">
        <f>IF(OR($A10&gt;Inputs!$B$9,$A10&gt;4),"",Combined_Fixed_Model!AB6)</f>
        <v/>
      </c>
    </row>
    <row r="11" spans="1:13">
      <c r="A11" s="3">
        <v>8</v>
      </c>
      <c r="B11" s="26">
        <f>IF($A11&gt;Inputs!$B$9,"",Combined_Fixed_Model!E7)</f>
        <v>6.2685858511162817E-2</v>
      </c>
      <c r="C11" s="26">
        <f>IF($A11&gt;Inputs!$B$9,"",Combined_Fixed_Model!F7)</f>
        <v>0.73249001110889378</v>
      </c>
      <c r="D11" s="26">
        <f>IF($A11&gt;Inputs!$B$9,"",Combined_Fixed_Model!G7)</f>
        <v>8.0477619149976753E-5</v>
      </c>
      <c r="E11" s="26" t="str">
        <f>IF(OR($A11&gt;Inputs!$B$9,$A11&gt;4),"",Combined_Fixed_Model!H7)</f>
        <v/>
      </c>
      <c r="F11" s="26">
        <f>IF($A11&gt;Inputs!$B$9,"",Combined_Fixed_Model!I7)</f>
        <v>1.0060107205919367E-5</v>
      </c>
      <c r="G11" s="26">
        <f>IF($A11&gt;Inputs!$B$9,"",Combined_Fixed_Model!J7)</f>
        <v>9.7576377081752583E-7</v>
      </c>
      <c r="H11" s="26">
        <f>IF($A11&gt;Inputs!$B$9,"",Combined_Fixed_Model!K7)</f>
        <v>5.9555894214936879E-11</v>
      </c>
      <c r="I11" s="26" t="str">
        <f>IF(OR($A11&gt;Inputs!$B$9,$A11&gt;4),"",Combined_Fixed_Model!L7)</f>
        <v/>
      </c>
      <c r="J11" s="26">
        <f>IF($A11&gt;Inputs!$B$9,"",Combined_Fixed_Model!Y7)</f>
        <v>1.0920843517741382E-2</v>
      </c>
      <c r="K11" s="26">
        <f>IF($A11&gt;Inputs!$B$9,"",Combined_Fixed_Model!Z7)</f>
        <v>4.8945222052578639E-2</v>
      </c>
      <c r="L11" s="26">
        <f>IF($A11&gt;Inputs!$B$9,"",Combined_Fixed_Model!AA7)</f>
        <v>4.781069377717132E-6</v>
      </c>
      <c r="M11" s="26" t="str">
        <f>IF(OR($A11&gt;Inputs!$B$9,$A11&gt;4),"",Combined_Fixed_Model!AB7)</f>
        <v/>
      </c>
    </row>
    <row r="12" spans="1:13">
      <c r="A12" s="3">
        <v>9</v>
      </c>
      <c r="B12" s="26">
        <f>IF($A12&gt;Inputs!$B$9,"",Combined_Fixed_Model!E8)</f>
        <v>6.7550784172143441E-3</v>
      </c>
      <c r="C12" s="26">
        <f>IF($A12&gt;Inputs!$B$9,"",Combined_Fixed_Model!F8)</f>
        <v>0.46273439314242737</v>
      </c>
      <c r="D12" s="26">
        <f>IF($A12&gt;Inputs!$B$9,"",Combined_Fixed_Model!G8)</f>
        <v>9.4796714732447995E-6</v>
      </c>
      <c r="E12" s="26" t="str">
        <f>IF(OR($A12&gt;Inputs!$B$9,$A12&gt;4),"",Combined_Fixed_Model!H8)</f>
        <v/>
      </c>
      <c r="F12" s="26">
        <f>IF($A12&gt;Inputs!$B$9,"",Combined_Fixed_Model!I8)</f>
        <v>1.3542452007968379E-6</v>
      </c>
      <c r="G12" s="26">
        <f>IF($A12&gt;Inputs!$B$9,"",Combined_Fixed_Model!J8)</f>
        <v>1.3135281530235925E-7</v>
      </c>
      <c r="H12" s="26">
        <f>IF($A12&gt;Inputs!$B$9,"",Combined_Fixed_Model!K8)</f>
        <v>2.004284901464222E-12</v>
      </c>
      <c r="I12" s="26" t="str">
        <f>IF(OR($A12&gt;Inputs!$B$9,$A12&gt;4),"",Combined_Fixed_Model!L8)</f>
        <v/>
      </c>
      <c r="J12" s="26">
        <f>IF($A12&gt;Inputs!$B$9,"",Combined_Fixed_Model!Y8)</f>
        <v>1.2303927884881371E-3</v>
      </c>
      <c r="K12" s="26">
        <f>IF($A12&gt;Inputs!$B$9,"",Combined_Fixed_Model!Z8)</f>
        <v>2.2696207906438257E-2</v>
      </c>
      <c r="L12" s="26">
        <f>IF($A12&gt;Inputs!$B$9,"",Combined_Fixed_Model!AA8)</f>
        <v>4.3835556094972061E-7</v>
      </c>
      <c r="M12" s="26" t="str">
        <f>IF(OR($A12&gt;Inputs!$B$9,$A12&gt;4),"",Combined_Fixed_Model!AB8)</f>
        <v/>
      </c>
    </row>
    <row r="13" spans="1:13">
      <c r="A13" s="3">
        <v>10</v>
      </c>
      <c r="B13" s="26">
        <f>IF($A13&gt;Inputs!$B$9,"",Combined_Fixed_Model!E9)</f>
        <v>4.7833242584427449E-4</v>
      </c>
      <c r="C13" s="26">
        <f>IF($A13&gt;Inputs!$B$9,"",Combined_Fixed_Model!F9)</f>
        <v>0.22166118574806515</v>
      </c>
      <c r="D13" s="26">
        <f>IF($A13&gt;Inputs!$B$9,"",Combined_Fixed_Model!G9)</f>
        <v>9.5593733184795582E-7</v>
      </c>
      <c r="E13" s="26" t="str">
        <f>IF(OR($A13&gt;Inputs!$B$9,$A13&gt;4),"",Combined_Fixed_Model!H9)</f>
        <v/>
      </c>
      <c r="F13" s="26">
        <f>IF($A13&gt;Inputs!$B$9,"",Combined_Fixed_Model!I9)</f>
        <v>1.5932296479962799E-7</v>
      </c>
      <c r="G13" s="26">
        <f>IF($A13&gt;Inputs!$B$9,"",Combined_Fixed_Model!J9)</f>
        <v>1.7660882729728973E-8</v>
      </c>
      <c r="H13" s="26">
        <f>IF($A13&gt;Inputs!$B$9,"",Combined_Fixed_Model!K9)</f>
        <v>6.7370921057620899E-14</v>
      </c>
      <c r="I13" s="26" t="str">
        <f>IF(OR($A13&gt;Inputs!$B$9,$A13&gt;4),"",Combined_Fixed_Model!L9)</f>
        <v/>
      </c>
      <c r="J13" s="26">
        <f>IF($A13&gt;Inputs!$B$9,"",Combined_Fixed_Model!Y9)</f>
        <v>9.6436076727323384E-5</v>
      </c>
      <c r="K13" s="26">
        <f>IF($A13&gt;Inputs!$B$9,"",Combined_Fixed_Model!Z9)</f>
        <v>8.4324583162718163E-3</v>
      </c>
      <c r="L13" s="26">
        <f>IF($A13&gt;Inputs!$B$9,"",Combined_Fixed_Model!AA9)</f>
        <v>3.5484446455552813E-8</v>
      </c>
      <c r="M13" s="26" t="str">
        <f>IF(OR($A13&gt;Inputs!$B$9,$A13&gt;4),"",Combined_Fixed_Model!AB9)</f>
        <v/>
      </c>
    </row>
    <row r="14" spans="1:13">
      <c r="A14" s="3">
        <v>11</v>
      </c>
      <c r="B14" s="26">
        <f>IF($A14&gt;Inputs!$B$9,"",Combined_Fixed_Model!E10)</f>
        <v>2.1747348218137397E-5</v>
      </c>
      <c r="C14" s="26">
        <f>IF($A14&gt;Inputs!$B$9,"",Combined_Fixed_Model!F10)</f>
        <v>8.0137538577503831E-2</v>
      </c>
      <c r="D14" s="26">
        <f>IF($A14&gt;Inputs!$B$9,"",Combined_Fixed_Model!G10)</f>
        <v>7.9661479190917817E-8</v>
      </c>
      <c r="E14" s="26" t="str">
        <f>IF(OR($A14&gt;Inputs!$B$9,$A14&gt;4),"",Combined_Fixed_Model!H10)</f>
        <v/>
      </c>
      <c r="F14" s="26">
        <f>IF($A14&gt;Inputs!$B$9,"",Combined_Fixed_Model!I10)</f>
        <v>1.5932296479962801E-8</v>
      </c>
      <c r="G14" s="26">
        <f>IF($A14&gt;Inputs!$B$9,"",Combined_Fixed_Model!J10)</f>
        <v>2.3547843639638631E-9</v>
      </c>
      <c r="H14" s="26">
        <f>IF($A14&gt;Inputs!$B$9,"",Combined_Fixed_Model!K10)</f>
        <v>2.2456973685873634E-15</v>
      </c>
      <c r="I14" s="26" t="str">
        <f>IF(OR($A14&gt;Inputs!$B$9,$A14&gt;4),"",Combined_Fixed_Model!L10)</f>
        <v/>
      </c>
      <c r="J14" s="26">
        <f>IF($A14&gt;Inputs!$B$9,"",Combined_Fixed_Model!Y10)</f>
        <v>5.1331117915367361E-6</v>
      </c>
      <c r="K14" s="26">
        <f>IF($A14&gt;Inputs!$B$9,"",Combined_Fixed_Model!Z10)</f>
        <v>2.4972327844094123E-3</v>
      </c>
      <c r="L14" s="26">
        <f>IF($A14&gt;Inputs!$B$9,"",Combined_Fixed_Model!AA10)</f>
        <v>2.4618916712368652E-9</v>
      </c>
      <c r="M14" s="26" t="str">
        <f>IF(OR($A14&gt;Inputs!$B$9,$A14&gt;4),"",Combined_Fixed_Model!AB10)</f>
        <v/>
      </c>
    </row>
    <row r="15" spans="1:13">
      <c r="A15" s="3">
        <v>12</v>
      </c>
      <c r="B15" s="26">
        <f>IF($A15&gt;Inputs!$B$9,"",Combined_Fixed_Model!E11)</f>
        <v>5.9177083699957223E-7</v>
      </c>
      <c r="C15" s="26">
        <f>IF($A15&gt;Inputs!$B$9,"",Combined_Fixed_Model!F11)</f>
        <v>2.1584031619577559E-2</v>
      </c>
      <c r="D15" s="26">
        <f>IF($A15&gt;Inputs!$B$9,"",Combined_Fixed_Model!G11)</f>
        <v>5.2023825240694813E-9</v>
      </c>
      <c r="E15" s="26" t="str">
        <f>IF(OR($A15&gt;Inputs!$B$9,$A15&gt;4),"",Combined_Fixed_Model!H11)</f>
        <v/>
      </c>
      <c r="F15" s="26">
        <f>IF($A15&gt;Inputs!$B$9,"",Combined_Fixed_Model!I11)</f>
        <v>1.3005956310173714E-9</v>
      </c>
      <c r="G15" s="26">
        <f>IF($A15&gt;Inputs!$B$9,"",Combined_Fixed_Model!J11)</f>
        <v>3.0756367202793319E-10</v>
      </c>
      <c r="H15" s="26">
        <f>IF($A15&gt;Inputs!$B$9,"",Combined_Fixed_Model!K11)</f>
        <v>7.3328893668158814E-17</v>
      </c>
      <c r="I15" s="26" t="str">
        <f>IF(OR($A15&gt;Inputs!$B$9,$A15&gt;4),"",Combined_Fixed_Model!L11)</f>
        <v/>
      </c>
      <c r="J15" s="26">
        <f>IF($A15&gt;Inputs!$B$9,"",Combined_Fixed_Model!Y11)</f>
        <v>1.740008241454342E-7</v>
      </c>
      <c r="K15" s="26">
        <f>IF($A15&gt;Inputs!$B$9,"",Combined_Fixed_Model!Z11)</f>
        <v>5.819599023146394E-4</v>
      </c>
      <c r="L15" s="26">
        <f>IF($A15&gt;Inputs!$B$9,"",Combined_Fixed_Model!AA11)</f>
        <v>1.3996416328062946E-10</v>
      </c>
      <c r="M15" s="26" t="str">
        <f>IF(OR($A15&gt;Inputs!$B$9,$A15&gt;4),"",Combined_Fixed_Model!AB11)</f>
        <v/>
      </c>
    </row>
    <row r="16" spans="1:13">
      <c r="A16" s="3">
        <v>13</v>
      </c>
      <c r="B16" s="26">
        <f>IF($A16&gt;Inputs!$B$9,"",Combined_Fixed_Model!E12)</f>
        <v>8.5351588285514931E-9</v>
      </c>
      <c r="C16" s="26">
        <f>IF($A16&gt;Inputs!$B$9,"",Combined_Fixed_Model!F12)</f>
        <v>4.0829620454846394E-3</v>
      </c>
      <c r="D16" s="26">
        <f>IF($A16&gt;Inputs!$B$9,"",Combined_Fixed_Model!G12)</f>
        <v>2.4386168081575695E-10</v>
      </c>
      <c r="E16" s="26" t="str">
        <f>IF(OR($A16&gt;Inputs!$B$9,$A16&gt;4),"",Combined_Fixed_Model!H12)</f>
        <v/>
      </c>
      <c r="F16" s="26">
        <f>IF($A16&gt;Inputs!$B$9,"",Combined_Fixed_Model!I12)</f>
        <v>8.128722693858571E-11</v>
      </c>
      <c r="G16" s="26">
        <f>IF($A16&gt;Inputs!$B$9,"",Combined_Fixed_Model!J12)</f>
        <v>3.8445459003491648E-11</v>
      </c>
      <c r="H16" s="26">
        <f>IF($A16&gt;Inputs!$B$9,"",Combined_Fixed_Model!K12)</f>
        <v>2.2915279271299629E-18</v>
      </c>
      <c r="I16" s="26" t="str">
        <f>IF(OR($A16&gt;Inputs!$B$9,$A16&gt;4),"",Combined_Fixed_Model!L12)</f>
        <v/>
      </c>
      <c r="J16" s="26">
        <f>IF($A16&gt;Inputs!$B$9,"",Combined_Fixed_Model!Y12)</f>
        <v>3.3649122824288189E-9</v>
      </c>
      <c r="K16" s="26">
        <f>IF($A16&gt;Inputs!$B$9,"",Combined_Fixed_Model!Z12)</f>
        <v>1.0133262295104354E-4</v>
      </c>
      <c r="L16" s="26">
        <f>IF($A16&gt;Inputs!$B$9,"",Combined_Fixed_Model!AA12)</f>
        <v>6.0497841696088488E-12</v>
      </c>
      <c r="M16" s="26" t="str">
        <f>IF(OR($A16&gt;Inputs!$B$9,$A16&gt;4),"",Combined_Fixed_Model!AB12)</f>
        <v/>
      </c>
    </row>
    <row r="17" spans="1:13">
      <c r="A17" s="3">
        <v>14</v>
      </c>
      <c r="B17" s="26">
        <f>IF($A17&gt;Inputs!$B$9,"",Combined_Fixed_Model!E13)</f>
        <v>5.1885464003352544E-11</v>
      </c>
      <c r="C17" s="26">
        <f>IF($A17&gt;Inputs!$B$9,"",Combined_Fixed_Model!F13)</f>
        <v>4.6415551946632494E-4</v>
      </c>
      <c r="D17" s="26">
        <f>IF($A17&gt;Inputs!$B$9,"",Combined_Fixed_Model!G13)</f>
        <v>6.9180618671136717E-12</v>
      </c>
      <c r="E17" s="26" t="str">
        <f>IF(OR($A17&gt;Inputs!$B$9,$A17&gt;4),"",Combined_Fixed_Model!H13)</f>
        <v/>
      </c>
      <c r="F17" s="26">
        <f>IF($A17&gt;Inputs!$B$9,"",Combined_Fixed_Model!I13)</f>
        <v>3.4590309335568387E-12</v>
      </c>
      <c r="G17" s="26">
        <f>IF($A17&gt;Inputs!$B$9,"",Combined_Fixed_Model!J13)</f>
        <v>4.3626052769919598E-12</v>
      </c>
      <c r="H17" s="26">
        <f>IF($A17&gt;Inputs!$B$9,"",Combined_Fixed_Model!K13)</f>
        <v>6.5007884457587597E-20</v>
      </c>
      <c r="I17" s="26" t="str">
        <f>IF(OR($A17&gt;Inputs!$B$9,$A17&gt;4),"",Combined_Fixed_Model!L13)</f>
        <v/>
      </c>
      <c r="J17" s="26">
        <f>IF($A17&gt;Inputs!$B$9,"",Combined_Fixed_Model!Y13)</f>
        <v>3.0187521200780056E-11</v>
      </c>
      <c r="K17" s="26">
        <f>IF($A17&gt;Inputs!$B$9,"",Combined_Fixed_Model!Z13)</f>
        <v>1.1515425750818239E-5</v>
      </c>
      <c r="L17" s="26">
        <f>IF($A17&gt;Inputs!$B$9,"",Combined_Fixed_Model!AA13)</f>
        <v>1.7162508282578324E-13</v>
      </c>
      <c r="M17" s="26" t="str">
        <f>IF(OR($A17&gt;Inputs!$B$9,$A17&gt;4),"",Combined_Fixed_Model!AB13)</f>
        <v/>
      </c>
    </row>
    <row r="18" spans="1:13">
      <c r="A18" s="3">
        <v>15</v>
      </c>
      <c r="B18" s="26">
        <f>IF($A18&gt;Inputs!$B$9,"",Combined_Fixed_Model!E14)</f>
        <v>7.5196324642539908E-14</v>
      </c>
      <c r="C18" s="26">
        <f>IF($A18&gt;Inputs!$B$9,"",Combined_Fixed_Model!F14)</f>
        <v>2.0185155971907953E-5</v>
      </c>
      <c r="D18" s="26">
        <f>IF($A18&gt;Inputs!$B$9,"",Combined_Fixed_Model!G14)</f>
        <v>7.5196324642539908E-14</v>
      </c>
      <c r="E18" s="26" t="str">
        <f>IF(OR($A18&gt;Inputs!$B$9,$A18&gt;4),"",Combined_Fixed_Model!H14)</f>
        <v/>
      </c>
      <c r="F18" s="26">
        <f>IF($A18&gt;Inputs!$B$9,"",Combined_Fixed_Model!I14)</f>
        <v>7.5196324642539971E-14</v>
      </c>
      <c r="G18" s="26">
        <f>IF($A18&gt;Inputs!$B$9,"",Combined_Fixed_Model!J14)</f>
        <v>3.7935698060799651E-13</v>
      </c>
      <c r="H18" s="26">
        <f>IF($A18&gt;Inputs!$B$9,"",Combined_Fixed_Model!K14)</f>
        <v>1.4132148795127738E-21</v>
      </c>
      <c r="I18" s="26" t="str">
        <f>IF(OR($A18&gt;Inputs!$B$9,$A18&gt;4),"",Combined_Fixed_Model!L14)</f>
        <v/>
      </c>
      <c r="J18" s="26">
        <f>IF($A18&gt;Inputs!$B$9,"",Combined_Fixed_Model!Y14)</f>
        <v>7.5196324642540034E-14</v>
      </c>
      <c r="K18" s="26">
        <f>IF($A18&gt;Inputs!$B$9,"",Combined_Fixed_Model!Z14)</f>
        <v>5.7522175615738375E-7</v>
      </c>
      <c r="L18" s="26">
        <f>IF($A18&gt;Inputs!$B$9,"",Combined_Fixed_Model!AA14)</f>
        <v>2.1428853295457254E-15</v>
      </c>
      <c r="M18" s="26" t="str">
        <f>IF(OR($A18&gt;Inputs!$B$9,$A18&gt;4),"",Combined_Fixed_Model!AB14)</f>
        <v/>
      </c>
    </row>
    <row r="21" spans="1:13">
      <c r="A21" s="24" t="s">
        <v>115</v>
      </c>
    </row>
    <row r="22" spans="1:13" ht="28.3">
      <c r="A22" s="25" t="s">
        <v>91</v>
      </c>
      <c r="B22" s="25" t="s">
        <v>164</v>
      </c>
      <c r="C22" s="25" t="s">
        <v>165</v>
      </c>
      <c r="D22" s="25" t="s">
        <v>166</v>
      </c>
      <c r="E22" s="25" t="s">
        <v>167</v>
      </c>
      <c r="F22" s="25" t="s">
        <v>107</v>
      </c>
      <c r="G22" s="25" t="s">
        <v>108</v>
      </c>
      <c r="H22" s="25" t="s">
        <v>109</v>
      </c>
      <c r="I22" s="25" t="s">
        <v>110</v>
      </c>
      <c r="J22" s="25" t="s">
        <v>111</v>
      </c>
      <c r="K22" s="25" t="s">
        <v>112</v>
      </c>
      <c r="L22" s="25" t="s">
        <v>113</v>
      </c>
      <c r="M22" s="25" t="s">
        <v>114</v>
      </c>
    </row>
    <row r="23" spans="1:13">
      <c r="A23" s="3">
        <v>3</v>
      </c>
      <c r="B23" s="27">
        <f>IF($A23&gt;Inputs!$B$9,"",Combined_Fixed_Model!M2)</f>
        <v>3.0929925288115491E-11</v>
      </c>
      <c r="C23" s="27">
        <f>IF($A23&gt;Inputs!$B$9,"",Combined_Fixed_Model!N2)</f>
        <v>1.5689345858865983E-5</v>
      </c>
      <c r="D23" s="27">
        <f>IF($A23&gt;Inputs!$B$9,"",Combined_Fixed_Model!O2)</f>
        <v>0.69488885625919738</v>
      </c>
      <c r="E23" s="27">
        <f>IF(OR($A23&gt;Inputs!$B$9,$A23&gt;4),"",Combined_Fixed_Model!P2)</f>
        <v>0.59843353923653009</v>
      </c>
      <c r="F23" s="27">
        <f>IF($A23&gt;Inputs!$B$9,"",Combined_Fixed_Model!Q2)</f>
        <v>2.9339737673753432</v>
      </c>
      <c r="G23" s="27">
        <f>IF($A23&gt;Inputs!$B$9,"",Combined_Fixed_Model!R2)</f>
        <v>3.716733106624976</v>
      </c>
      <c r="H23" s="27">
        <f>IF($A23&gt;Inputs!$B$9,"",Combined_Fixed_Model!S2)</f>
        <v>6.4893218288647567</v>
      </c>
      <c r="I23" s="27">
        <f>IF(OR($A23&gt;Inputs!$B$9,$A23&gt;4),"",Combined_Fixed_Model!T2)</f>
        <v>6.3462209852240834</v>
      </c>
      <c r="J23" s="27">
        <f>IF($A23&gt;Inputs!$B$9,"",Combined_Fixed_Model!U2)</f>
        <v>0.58679475349981247</v>
      </c>
      <c r="K23" s="27">
        <f>IF($A23&gt;Inputs!$B$9,"",Combined_Fixed_Model!V2)</f>
        <v>0.74335917280168218</v>
      </c>
      <c r="L23" s="27">
        <f>IF($A23&gt;Inputs!$B$9,"",Combined_Fixed_Model!W2)</f>
        <v>1.8537754507803093</v>
      </c>
      <c r="M23" s="27">
        <f>IF(OR($A23&gt;Inputs!$B$9,$A23&gt;4),"",Combined_Fixed_Model!X2)</f>
        <v>1.7479910284340405</v>
      </c>
    </row>
    <row r="24" spans="1:13">
      <c r="A24" s="3">
        <v>4</v>
      </c>
      <c r="B24" s="27">
        <f>IF($A24&gt;Inputs!$B$9,"",Combined_Fixed_Model!M3)</f>
        <v>2.3032661810224149E-7</v>
      </c>
      <c r="C24" s="27">
        <f>IF($A24&gt;Inputs!$B$9,"",Combined_Fixed_Model!N3)</f>
        <v>1.8426667186211991E-4</v>
      </c>
      <c r="D24" s="27">
        <f>IF($A24&gt;Inputs!$B$9,"",Combined_Fixed_Model!O3)</f>
        <v>2.073641021364272</v>
      </c>
      <c r="E24" s="27">
        <f>IF(OR($A24&gt;Inputs!$B$9,$A24&gt;4),"",Combined_Fixed_Model!P3)</f>
        <v>3.191283273434939</v>
      </c>
      <c r="F24" s="27">
        <f>IF($A24&gt;Inputs!$B$9,"",Combined_Fixed_Model!Q3)</f>
        <v>4.4921183854218931</v>
      </c>
      <c r="G24" s="27">
        <f>IF($A24&gt;Inputs!$B$9,"",Combined_Fixed_Model!R3)</f>
        <v>5.7603855404532265</v>
      </c>
      <c r="H24" s="27">
        <f>IF($A24&gt;Inputs!$B$9,"",Combined_Fixed_Model!S3)</f>
        <v>9.9192686238128989</v>
      </c>
      <c r="I24" s="27">
        <f>IF(OR($A24&gt;Inputs!$B$9,$A24&gt;4),"",Combined_Fixed_Model!T3)</f>
        <v>10.389272253058634</v>
      </c>
      <c r="J24" s="27">
        <f>IF($A24&gt;Inputs!$B$9,"",Combined_Fixed_Model!U3)</f>
        <v>0.89842386134567287</v>
      </c>
      <c r="K24" s="27">
        <f>IF($A24&gt;Inputs!$B$9,"",Combined_Fixed_Model!V3)</f>
        <v>1.1522245214281348</v>
      </c>
      <c r="L24" s="27">
        <f>IF($A24&gt;Inputs!$B$9,"",Combined_Fixed_Model!W3)</f>
        <v>3.6427665418539972</v>
      </c>
      <c r="M24" s="27">
        <f>IF(OR($A24&gt;Inputs!$B$9,$A24&gt;4),"",Combined_Fixed_Model!X3)</f>
        <v>4.6308810693596776</v>
      </c>
    </row>
    <row r="25" spans="1:13">
      <c r="A25" s="3">
        <v>5</v>
      </c>
      <c r="B25" s="27">
        <f>IF($A25&gt;Inputs!$B$9,"",Combined_Fixed_Model!M4)</f>
        <v>1.354810539456582E-3</v>
      </c>
      <c r="C25" s="27">
        <f>IF($A25&gt;Inputs!$B$9,"",Combined_Fixed_Model!N4)</f>
        <v>2.0447849317662948E-3</v>
      </c>
      <c r="D25" s="27">
        <f>IF($A25&gt;Inputs!$B$9,"",Combined_Fixed_Model!O4)</f>
        <v>3.7337517926801636</v>
      </c>
      <c r="E25" s="27" t="str">
        <f>IF(OR($A25&gt;Inputs!$B$9,$A25&gt;4),"",Combined_Fixed_Model!P4)</f>
        <v/>
      </c>
      <c r="F25" s="27">
        <f>IF($A25&gt;Inputs!$B$9,"",Combined_Fixed_Model!Q4)</f>
        <v>6.1195748033586721</v>
      </c>
      <c r="G25" s="27">
        <f>IF($A25&gt;Inputs!$B$9,"",Combined_Fixed_Model!R4)</f>
        <v>7.7933070664981692</v>
      </c>
      <c r="H25" s="27">
        <f>IF($A25&gt;Inputs!$B$9,"",Combined_Fixed_Model!S4)</f>
        <v>13.338484510977732</v>
      </c>
      <c r="I25" s="27" t="str">
        <f>IF(OR($A25&gt;Inputs!$B$9,$A25&gt;4),"",Combined_Fixed_Model!T4)</f>
        <v/>
      </c>
      <c r="J25" s="27">
        <f>IF($A25&gt;Inputs!$B$9,"",Combined_Fixed_Model!U4)</f>
        <v>1.2249988091032993</v>
      </c>
      <c r="K25" s="27">
        <f>IF($A25&gt;Inputs!$B$9,"",Combined_Fixed_Model!V4)</f>
        <v>1.5602972412450464</v>
      </c>
      <c r="L25" s="27">
        <f>IF($A25&gt;Inputs!$B$9,"",Combined_Fixed_Model!W4)</f>
        <v>5.6546983363396768</v>
      </c>
      <c r="M25" s="27" t="str">
        <f>IF(OR($A25&gt;Inputs!$B$9,$A25&gt;4),"",Combined_Fixed_Model!X4)</f>
        <v/>
      </c>
    </row>
    <row r="26" spans="1:13">
      <c r="A26" s="3">
        <v>6</v>
      </c>
      <c r="B26" s="27">
        <f>IF($A26&gt;Inputs!$B$9,"",Combined_Fixed_Model!M5)</f>
        <v>0.14518736100145593</v>
      </c>
      <c r="C26" s="27">
        <f>IF($A26&gt;Inputs!$B$9,"",Combined_Fixed_Model!N5)</f>
        <v>1.6798282102354206E-2</v>
      </c>
      <c r="D26" s="27">
        <f>IF($A26&gt;Inputs!$B$9,"",Combined_Fixed_Model!O5)</f>
        <v>5.5237365826127274</v>
      </c>
      <c r="E26" s="27" t="str">
        <f>IF(OR($A26&gt;Inputs!$B$9,$A26&gt;4),"",Combined_Fixed_Model!P5)</f>
        <v/>
      </c>
      <c r="F26" s="27">
        <f>IF($A26&gt;Inputs!$B$9,"",Combined_Fixed_Model!Q5)</f>
        <v>7.8243228955970974</v>
      </c>
      <c r="G26" s="27">
        <f>IF($A26&gt;Inputs!$B$9,"",Combined_Fixed_Model!R5)</f>
        <v>9.8165088898551289</v>
      </c>
      <c r="H26" s="27">
        <f>IF($A26&gt;Inputs!$B$9,"",Combined_Fixed_Model!S5)</f>
        <v>16.747980695454583</v>
      </c>
      <c r="I26" s="27" t="str">
        <f>IF(OR($A26&gt;Inputs!$B$9,$A26&gt;4),"",Combined_Fixed_Model!T5)</f>
        <v/>
      </c>
      <c r="J26" s="27">
        <f>IF($A26&gt;Inputs!$B$9,"",Combined_Fixed_Model!U5)</f>
        <v>1.6810144679205838</v>
      </c>
      <c r="K26" s="27">
        <f>IF($A26&gt;Inputs!$B$9,"",Combined_Fixed_Model!V5)</f>
        <v>1.9767404036529088</v>
      </c>
      <c r="L26" s="27">
        <f>IF($A26&gt;Inputs!$B$9,"",Combined_Fixed_Model!W5)</f>
        <v>7.7685854051810974</v>
      </c>
      <c r="M26" s="27" t="str">
        <f>IF(OR($A26&gt;Inputs!$B$9,$A26&gt;4),"",Combined_Fixed_Model!X5)</f>
        <v/>
      </c>
    </row>
    <row r="27" spans="1:13">
      <c r="A27" s="3">
        <v>7</v>
      </c>
      <c r="B27" s="27">
        <f>IF($A27&gt;Inputs!$B$9,"",Combined_Fixed_Model!M6)</f>
        <v>1.0533634451710172</v>
      </c>
      <c r="C27" s="27">
        <f>IF($A27&gt;Inputs!$B$9,"",Combined_Fixed_Model!N6)</f>
        <v>8.9594924537770293E-2</v>
      </c>
      <c r="D27" s="27">
        <f>IF($A27&gt;Inputs!$B$9,"",Combined_Fixed_Model!O6)</f>
        <v>7.4191576894434057</v>
      </c>
      <c r="E27" s="27" t="str">
        <f>IF(OR($A27&gt;Inputs!$B$9,$A27&gt;4),"",Combined_Fixed_Model!P6)</f>
        <v/>
      </c>
      <c r="F27" s="27">
        <f>IF($A27&gt;Inputs!$B$9,"",Combined_Fixed_Model!Q6)</f>
        <v>9.6160823648251519</v>
      </c>
      <c r="G27" s="27">
        <f>IF($A27&gt;Inputs!$B$9,"",Combined_Fixed_Model!R6)</f>
        <v>11.831411910397394</v>
      </c>
      <c r="H27" s="27">
        <f>IF($A27&gt;Inputs!$B$9,"",Combined_Fixed_Model!S6)</f>
        <v>20.149178077116737</v>
      </c>
      <c r="I27" s="27" t="str">
        <f>IF(OR($A27&gt;Inputs!$B$9,$A27&gt;4),"",Combined_Fixed_Model!T6)</f>
        <v/>
      </c>
      <c r="J27" s="27">
        <f>IF($A27&gt;Inputs!$B$9,"",Combined_Fixed_Model!U6)</f>
        <v>2.7659072291018436</v>
      </c>
      <c r="K27" s="27">
        <f>IF($A27&gt;Inputs!$B$9,"",Combined_Fixed_Model!V6)</f>
        <v>2.4379583217096945</v>
      </c>
      <c r="L27" s="27">
        <f>IF($A27&gt;Inputs!$B$9,"",Combined_Fixed_Model!W6)</f>
        <v>9.9651617669780705</v>
      </c>
      <c r="M27" s="27" t="str">
        <f>IF(OR($A27&gt;Inputs!$B$9,$A27&gt;4),"",Combined_Fixed_Model!X6)</f>
        <v/>
      </c>
    </row>
    <row r="28" spans="1:13">
      <c r="A28" s="3">
        <v>8</v>
      </c>
      <c r="B28" s="27">
        <f>IF($A28&gt;Inputs!$B$9,"",Combined_Fixed_Model!M7)</f>
        <v>2.769619398868421</v>
      </c>
      <c r="C28" s="27">
        <f>IF($A28&gt;Inputs!$B$9,"",Combined_Fixed_Model!N7)</f>
        <v>0.31130557489530331</v>
      </c>
      <c r="D28" s="27">
        <f>IF($A28&gt;Inputs!$B$9,"",Combined_Fixed_Model!O7)</f>
        <v>9.4275314351769666</v>
      </c>
      <c r="E28" s="27" t="str">
        <f>IF(OR($A28&gt;Inputs!$B$9,$A28&gt;4),"",Combined_Fixed_Model!P7)</f>
        <v/>
      </c>
      <c r="F28" s="27">
        <f>IF($A28&gt;Inputs!$B$9,"",Combined_Fixed_Model!Q7)</f>
        <v>11.506932736697438</v>
      </c>
      <c r="G28" s="27">
        <f>IF($A28&gt;Inputs!$B$9,"",Combined_Fixed_Model!R7)</f>
        <v>13.840045317926064</v>
      </c>
      <c r="H28" s="27">
        <f>IF($A28&gt;Inputs!$B$9,"",Combined_Fixed_Model!S7)</f>
        <v>23.544105845765298</v>
      </c>
      <c r="I28" s="27" t="str">
        <f>IF(OR($A28&gt;Inputs!$B$9,$A28&gt;4),"",Combined_Fixed_Model!T7)</f>
        <v/>
      </c>
      <c r="J28" s="27">
        <f>IF($A28&gt;Inputs!$B$9,"",Combined_Fixed_Model!U7)</f>
        <v>4.5170820664342237</v>
      </c>
      <c r="K28" s="27">
        <f>IF($A28&gt;Inputs!$B$9,"",Combined_Fixed_Model!V7)</f>
        <v>3.0170535235014548</v>
      </c>
      <c r="L28" s="27">
        <f>IF($A28&gt;Inputs!$B$9,"",Combined_Fixed_Model!W7)</f>
        <v>12.250846317294631</v>
      </c>
      <c r="M28" s="27" t="str">
        <f>IF(OR($A28&gt;Inputs!$B$9,$A28&gt;4),"",Combined_Fixed_Model!X7)</f>
        <v/>
      </c>
    </row>
    <row r="29" spans="1:13">
      <c r="A29" s="3">
        <v>9</v>
      </c>
      <c r="B29" s="27">
        <f>IF($A29&gt;Inputs!$B$9,"",Combined_Fixed_Model!M8)</f>
        <v>4.9974606988713539</v>
      </c>
      <c r="C29" s="27">
        <f>IF($A29&gt;Inputs!$B$9,"",Combined_Fixed_Model!N8)</f>
        <v>0.77060205442374252</v>
      </c>
      <c r="D29" s="27">
        <f>IF($A29&gt;Inputs!$B$9,"",Combined_Fixed_Model!O8)</f>
        <v>11.566360897018845</v>
      </c>
      <c r="E29" s="27" t="str">
        <f>IF(OR($A29&gt;Inputs!$B$9,$A29&gt;4),"",Combined_Fixed_Model!P8)</f>
        <v/>
      </c>
      <c r="F29" s="27">
        <f>IF($A29&gt;Inputs!$B$9,"",Combined_Fixed_Model!Q8)</f>
        <v>13.512266306223552</v>
      </c>
      <c r="G29" s="27">
        <f>IF($A29&gt;Inputs!$B$9,"",Combined_Fixed_Model!R8)</f>
        <v>15.845378887452178</v>
      </c>
      <c r="H29" s="27">
        <f>IF($A29&gt;Inputs!$B$9,"",Combined_Fixed_Model!S8)</f>
        <v>26.935733776411304</v>
      </c>
      <c r="I29" s="27" t="str">
        <f>IF(OR($A29&gt;Inputs!$B$9,$A29&gt;4),"",Combined_Fixed_Model!T8)</f>
        <v/>
      </c>
      <c r="J29" s="27">
        <f>IF($A29&gt;Inputs!$B$9,"",Combined_Fixed_Model!U8)</f>
        <v>6.7004218203417931</v>
      </c>
      <c r="K29" s="27">
        <f>IF($A29&gt;Inputs!$B$9,"",Combined_Fixed_Model!V8)</f>
        <v>3.7855574210294289</v>
      </c>
      <c r="L29" s="27">
        <f>IF($A29&gt;Inputs!$B$9,"",Combined_Fixed_Model!W8)</f>
        <v>14.640235472897336</v>
      </c>
      <c r="M29" s="27" t="str">
        <f>IF(OR($A29&gt;Inputs!$B$9,$A29&gt;4),"",Combined_Fixed_Model!X8)</f>
        <v/>
      </c>
    </row>
    <row r="30" spans="1:13">
      <c r="A30" s="3">
        <v>10</v>
      </c>
      <c r="B30" s="27">
        <f>IF($A30&gt;Inputs!$B$9,"",Combined_Fixed_Model!M9)</f>
        <v>7.6452046156301323</v>
      </c>
      <c r="C30" s="27">
        <f>IF($A30&gt;Inputs!$B$9,"",Combined_Fixed_Model!N9)</f>
        <v>1.5066052532486622</v>
      </c>
      <c r="D30" s="27">
        <f>IF($A30&gt;Inputs!$B$9,"",Combined_Fixed_Model!O9)</f>
        <v>13.860573478503964</v>
      </c>
      <c r="E30" s="27" t="str">
        <f>IF(OR($A30&gt;Inputs!$B$9,$A30&gt;4),"",Combined_Fixed_Model!P9)</f>
        <v/>
      </c>
      <c r="F30" s="27">
        <f>IF($A30&gt;Inputs!$B$9,"",Combined_Fixed_Model!Q9)</f>
        <v>15.652332469719823</v>
      </c>
      <c r="G30" s="27">
        <f>IF($A30&gt;Inputs!$B$9,"",Combined_Fixed_Model!R9)</f>
        <v>17.851913658323927</v>
      </c>
      <c r="H30" s="27">
        <f>IF($A30&gt;Inputs!$B$9,"",Combined_Fixed_Model!S9)</f>
        <v>30.32856290840294</v>
      </c>
      <c r="I30" s="27" t="str">
        <f>IF(OR($A30&gt;Inputs!$B$9,$A30&gt;4),"",Combined_Fixed_Model!T9)</f>
        <v/>
      </c>
      <c r="J30" s="27">
        <f>IF($A30&gt;Inputs!$B$9,"",Combined_Fixed_Model!U9)</f>
        <v>9.2466301864480691</v>
      </c>
      <c r="K30" s="27">
        <f>IF($A30&gt;Inputs!$B$9,"",Combined_Fixed_Model!V9)</f>
        <v>4.7756669342637146</v>
      </c>
      <c r="L30" s="27">
        <f>IF($A30&gt;Inputs!$B$9,"",Combined_Fixed_Model!W9)</f>
        <v>17.154171364483759</v>
      </c>
      <c r="M30" s="27" t="str">
        <f>IF(OR($A30&gt;Inputs!$B$9,$A30&gt;4),"",Combined_Fixed_Model!X9)</f>
        <v/>
      </c>
    </row>
    <row r="31" spans="1:13">
      <c r="A31" s="3">
        <v>11</v>
      </c>
      <c r="B31" s="27">
        <f>IF($A31&gt;Inputs!$B$9,"",Combined_Fixed_Model!M10)</f>
        <v>10.736018728867728</v>
      </c>
      <c r="C31" s="27">
        <f>IF($A31&gt;Inputs!$B$9,"",Combined_Fixed_Model!N10)</f>
        <v>2.5240108882774708</v>
      </c>
      <c r="D31" s="27">
        <f>IF($A31&gt;Inputs!$B$9,"",Combined_Fixed_Model!O10)</f>
        <v>16.345479690561422</v>
      </c>
      <c r="E31" s="27" t="str">
        <f>IF(OR($A31&gt;Inputs!$B$9,$A31&gt;4),"",Combined_Fixed_Model!P10)</f>
        <v/>
      </c>
      <c r="F31" s="27">
        <f>IF($A31&gt;Inputs!$B$9,"",Combined_Fixed_Model!Q10)</f>
        <v>17.95491756271387</v>
      </c>
      <c r="G31" s="27">
        <f>IF($A31&gt;Inputs!$B$9,"",Combined_Fixed_Model!R10)</f>
        <v>19.86681667886619</v>
      </c>
      <c r="H31" s="27">
        <f>IF($A31&gt;Inputs!$B$9,"",Combined_Fixed_Model!S10)</f>
        <v>33.729760290065094</v>
      </c>
      <c r="I31" s="27" t="str">
        <f>IF(OR($A31&gt;Inputs!$B$9,$A31&gt;4),"",Combined_Fixed_Model!T10)</f>
        <v/>
      </c>
      <c r="J31" s="27">
        <f>IF($A31&gt;Inputs!$B$9,"",Combined_Fixed_Model!U10)</f>
        <v>12.179798495636955</v>
      </c>
      <c r="K31" s="27">
        <f>IF($A31&gt;Inputs!$B$9,"",Combined_Fixed_Model!V10)</f>
        <v>5.9925720463952139</v>
      </c>
      <c r="L31" s="27">
        <f>IF($A31&gt;Inputs!$B$9,"",Combined_Fixed_Model!W10)</f>
        <v>19.822335810462157</v>
      </c>
      <c r="M31" s="27" t="str">
        <f>IF(OR($A31&gt;Inputs!$B$9,$A31&gt;4),"",Combined_Fixed_Model!X10)</f>
        <v/>
      </c>
    </row>
    <row r="32" spans="1:13">
      <c r="A32" s="3">
        <v>12</v>
      </c>
      <c r="B32" s="27">
        <f>IF($A32&gt;Inputs!$B$9,"",Combined_Fixed_Model!M11)</f>
        <v>14.340146376667706</v>
      </c>
      <c r="C32" s="27">
        <f>IF($A32&gt;Inputs!$B$9,"",Combined_Fixed_Model!N11)</f>
        <v>3.8358015145633271</v>
      </c>
      <c r="D32" s="27">
        <f>IF($A32&gt;Inputs!$B$9,"",Combined_Fixed_Model!O11)</f>
        <v>19.074149138584716</v>
      </c>
      <c r="E32" s="27" t="str">
        <f>IF(OR($A32&gt;Inputs!$B$9,$A32&gt;4),"",Combined_Fixed_Model!P11)</f>
        <v/>
      </c>
      <c r="F32" s="27">
        <f>IF($A32&gt;Inputs!$B$9,"",Combined_Fixed_Model!Q11)</f>
        <v>20.460443499704606</v>
      </c>
      <c r="G32" s="27">
        <f>IF($A32&gt;Inputs!$B$9,"",Combined_Fixed_Model!R11)</f>
        <v>21.902338986611191</v>
      </c>
      <c r="H32" s="27">
        <f>IF($A32&gt;Inputs!$B$9,"",Combined_Fixed_Model!S11)</f>
        <v>37.151576958929986</v>
      </c>
      <c r="I32" s="27" t="str">
        <f>IF(OR($A32&gt;Inputs!$B$9,$A32&gt;4),"",Combined_Fixed_Model!T11)</f>
        <v/>
      </c>
      <c r="J32" s="27">
        <f>IF($A32&gt;Inputs!$B$9,"",Combined_Fixed_Model!U11)</f>
        <v>15.564205801275087</v>
      </c>
      <c r="K32" s="27">
        <f>IF($A32&gt;Inputs!$B$9,"",Combined_Fixed_Model!V11)</f>
        <v>7.4491090089728988</v>
      </c>
      <c r="L32" s="27">
        <f>IF($A32&gt;Inputs!$B$9,"",Combined_Fixed_Model!W11)</f>
        <v>22.68963470265377</v>
      </c>
      <c r="M32" s="27" t="str">
        <f>IF(OR($A32&gt;Inputs!$B$9,$A32&gt;4),"",Combined_Fixed_Model!X11)</f>
        <v/>
      </c>
    </row>
    <row r="33" spans="1:13">
      <c r="A33" s="3">
        <v>13</v>
      </c>
      <c r="B33" s="27">
        <f>IF($A33&gt;Inputs!$B$9,"",Combined_Fixed_Model!M12)</f>
        <v>18.579071871786862</v>
      </c>
      <c r="C33" s="27">
        <f>IF($A33&gt;Inputs!$B$9,"",Combined_Fixed_Model!N12)</f>
        <v>5.5009325624300933</v>
      </c>
      <c r="D33" s="27">
        <f>IF($A33&gt;Inputs!$B$9,"",Combined_Fixed_Model!O12)</f>
        <v>22.134419933276277</v>
      </c>
      <c r="E33" s="27" t="str">
        <f>IF(OR($A33&gt;Inputs!$B$9,$A33&gt;4),"",Combined_Fixed_Model!P12)</f>
        <v/>
      </c>
      <c r="F33" s="27">
        <f>IF($A33&gt;Inputs!$B$9,"",Combined_Fixed_Model!Q12)</f>
        <v>23.233032221944384</v>
      </c>
      <c r="G33" s="27">
        <f>IF($A33&gt;Inputs!$B$9,"",Combined_Fixed_Model!R12)</f>
        <v>23.981780528291026</v>
      </c>
      <c r="H33" s="27">
        <f>IF($A33&gt;Inputs!$B$9,"",Combined_Fixed_Model!S12)</f>
        <v>40.617312861729715</v>
      </c>
      <c r="I33" s="27" t="str">
        <f>IF(OR($A33&gt;Inputs!$B$9,$A33&gt;4),"",Combined_Fixed_Model!T12)</f>
        <v/>
      </c>
      <c r="J33" s="27">
        <f>IF($A33&gt;Inputs!$B$9,"",Combined_Fixed_Model!U12)</f>
        <v>19.509863941818367</v>
      </c>
      <c r="K33" s="27">
        <f>IF($A33&gt;Inputs!$B$9,"",Combined_Fixed_Model!V12)</f>
        <v>9.1971021556022787</v>
      </c>
      <c r="L33" s="27">
        <f>IF($A33&gt;Inputs!$B$9,"",Combined_Fixed_Model!W12)</f>
        <v>25.830998518966965</v>
      </c>
      <c r="M33" s="27" t="str">
        <f>IF(OR($A33&gt;Inputs!$B$9,$A33&gt;4),"",Combined_Fixed_Model!X12)</f>
        <v/>
      </c>
    </row>
    <row r="34" spans="1:13">
      <c r="A34" s="3">
        <v>14</v>
      </c>
      <c r="B34" s="27">
        <f>IF($A34&gt;Inputs!$B$9,"",Combined_Fixed_Model!M13)</f>
        <v>23.68198244199229</v>
      </c>
      <c r="C34" s="27">
        <f>IF($A34&gt;Inputs!$B$9,"",Combined_Fixed_Model!N13)</f>
        <v>7.6752908906317279</v>
      </c>
      <c r="D34" s="27">
        <f>IF($A34&gt;Inputs!$B$9,"",Combined_Fixed_Model!O13)</f>
        <v>25.696885462534553</v>
      </c>
      <c r="E34" s="27" t="str">
        <f>IF(OR($A34&gt;Inputs!$B$9,$A34&gt;4),"",Combined_Fixed_Model!P13)</f>
        <v/>
      </c>
      <c r="F34" s="27">
        <f>IF($A34&gt;Inputs!$B$9,"",Combined_Fixed_Model!Q13)</f>
        <v>26.3900326430945</v>
      </c>
      <c r="G34" s="27">
        <f>IF($A34&gt;Inputs!$B$9,"",Combined_Fixed_Model!R13)</f>
        <v>26.157951696429414</v>
      </c>
      <c r="H34" s="27">
        <f>IF($A34&gt;Inputs!$B$9,"",Combined_Fixed_Model!S13)</f>
        <v>44.179778390987991</v>
      </c>
      <c r="I34" s="27" t="str">
        <f>IF(OR($A34&gt;Inputs!$B$9,$A34&gt;4),"",Combined_Fixed_Model!T13)</f>
        <v/>
      </c>
      <c r="J34" s="27">
        <f>IF($A34&gt;Inputs!$B$9,"",Combined_Fixed_Model!U13)</f>
        <v>24.22359248221273</v>
      </c>
      <c r="K34" s="27">
        <f>IF($A34&gt;Inputs!$B$9,"",Combined_Fixed_Model!V13)</f>
        <v>11.371823051791264</v>
      </c>
      <c r="L34" s="27">
        <f>IF($A34&gt;Inputs!$B$9,"",Combined_Fixed_Model!W13)</f>
        <v>29.393464048225241</v>
      </c>
      <c r="M34" s="27" t="str">
        <f>IF(OR($A34&gt;Inputs!$B$9,$A34&gt;4),"",Combined_Fixed_Model!X13)</f>
        <v/>
      </c>
    </row>
    <row r="35" spans="1:13">
      <c r="A35" s="3">
        <v>15</v>
      </c>
      <c r="B35" s="27">
        <f>IF($A35&gt;Inputs!$B$9,"",Combined_Fixed_Model!M14)</f>
        <v>30.218674039583593</v>
      </c>
      <c r="C35" s="27">
        <f>IF($A35&gt;Inputs!$B$9,"",Combined_Fixed_Model!N14)</f>
        <v>10.810563076569682</v>
      </c>
      <c r="D35" s="27">
        <f>IF($A35&gt;Inputs!$B$9,"",Combined_Fixed_Model!O14)</f>
        <v>30.218674039583593</v>
      </c>
      <c r="E35" s="27" t="str">
        <f>IF(OR($A35&gt;Inputs!$B$9,$A35&gt;4),"",Combined_Fixed_Model!P14)</f>
        <v/>
      </c>
      <c r="F35" s="27">
        <f>IF($A35&gt;Inputs!$B$9,"",Combined_Fixed_Model!Q14)</f>
        <v>30.218674039583593</v>
      </c>
      <c r="G35" s="27">
        <f>IF($A35&gt;Inputs!$B$9,"",Combined_Fixed_Model!R14)</f>
        <v>28.600298731798617</v>
      </c>
      <c r="H35" s="27">
        <f>IF($A35&gt;Inputs!$B$9,"",Combined_Fixed_Model!S14)</f>
        <v>48.008419787477088</v>
      </c>
      <c r="I35" s="27" t="str">
        <f>IF(OR($A35&gt;Inputs!$B$9,$A35&gt;4),"",Combined_Fixed_Model!T14)</f>
        <v/>
      </c>
      <c r="J35" s="27">
        <f>IF($A35&gt;Inputs!$B$9,"",Combined_Fixed_Model!U14)</f>
        <v>30.218674039583593</v>
      </c>
      <c r="K35" s="27">
        <f>IF($A35&gt;Inputs!$B$9,"",Combined_Fixed_Model!V14)</f>
        <v>14.368510207615468</v>
      </c>
      <c r="L35" s="27">
        <f>IF($A35&gt;Inputs!$B$9,"",Combined_Fixed_Model!W14)</f>
        <v>33.776623189162294</v>
      </c>
      <c r="M35" s="27" t="str">
        <f>IF(OR($A35&gt;Inputs!$B$9,$A35&gt;4),"",Combined_Fixed_Model!X14)</f>
        <v/>
      </c>
    </row>
    <row r="39" spans="1:13">
      <c r="A39" s="24" t="s">
        <v>168</v>
      </c>
    </row>
    <row r="40" spans="1:13" ht="28.3">
      <c r="A40" s="25" t="s">
        <v>91</v>
      </c>
      <c r="B40" s="25" t="s">
        <v>164</v>
      </c>
      <c r="C40" s="25" t="s">
        <v>165</v>
      </c>
      <c r="D40" s="25" t="s">
        <v>166</v>
      </c>
      <c r="E40" s="25" t="s">
        <v>167</v>
      </c>
      <c r="F40" s="25" t="s">
        <v>107</v>
      </c>
      <c r="G40" s="25" t="s">
        <v>108</v>
      </c>
      <c r="H40" s="25" t="s">
        <v>109</v>
      </c>
      <c r="I40" s="25" t="s">
        <v>110</v>
      </c>
      <c r="J40" s="25" t="s">
        <v>111</v>
      </c>
      <c r="K40" s="25" t="s">
        <v>112</v>
      </c>
      <c r="L40" s="25" t="s">
        <v>113</v>
      </c>
      <c r="M40" s="25" t="s">
        <v>114</v>
      </c>
    </row>
    <row r="41" spans="1:13">
      <c r="A41" s="3">
        <v>3</v>
      </c>
      <c r="B41" s="26">
        <f>IF($A41&gt;Inputs!$B$9,"",Combined_Fixed_Model!E15)</f>
        <v>0.9999997799712439</v>
      </c>
      <c r="C41" s="26">
        <f>IF($A41&gt;Inputs!$B$9,"",Combined_Fixed_Model!F15)</f>
        <v>0.99998243580807977</v>
      </c>
      <c r="D41" s="26">
        <f>IF($A41&gt;Inputs!$B$9,"",Combined_Fixed_Model!G15)</f>
        <v>0.35466513807856237</v>
      </c>
      <c r="E41" s="26">
        <f>IF(OR($A41&gt;Inputs!$B$9,$A41&gt;5),"",Combined_Fixed_Model!H15)</f>
        <v>0.63604926509087356</v>
      </c>
      <c r="F41" s="26">
        <f>IF($A41&gt;Inputs!$B$9,"",Combined_Fixed_Model!I15)</f>
        <v>3.3691225472047399E-2</v>
      </c>
      <c r="G41" s="26">
        <f>IF($A41&gt;Inputs!$B$9,"",Combined_Fixed_Model!J15)</f>
        <v>2.4065161051462423E-2</v>
      </c>
      <c r="H41" s="26">
        <f>IF($A41&gt;Inputs!$B$9,"",Combined_Fixed_Model!K15)</f>
        <v>9.6260644205849687E-4</v>
      </c>
      <c r="I41" s="26">
        <f>IF(OR($A41&gt;Inputs!$B$9,$A41&gt;5),"",Combined_Fixed_Model!L15)</f>
        <v>2.2213994816734544E-3</v>
      </c>
      <c r="J41" s="26">
        <f>IF($A41&gt;Inputs!$B$9,"",Combined_Fixed_Model!Y15)</f>
        <v>0.50757857854612887</v>
      </c>
      <c r="K41" s="26">
        <f>IF($A41&gt;Inputs!$B$9,"",Combined_Fixed_Model!Z15)</f>
        <v>0.47453871730417979</v>
      </c>
      <c r="L41" s="26">
        <f>IF($A41&gt;Inputs!$B$9,"",Combined_Fixed_Model!AA15)</f>
        <v>0.10877887272792965</v>
      </c>
      <c r="M41" s="26">
        <f>IF(OR($A41&gt;Inputs!$B$9,$A41&gt;5),"",Combined_Fixed_Model!AB15)</f>
        <v>0.2051719269749866</v>
      </c>
    </row>
    <row r="42" spans="1:13">
      <c r="A42" s="3">
        <v>4</v>
      </c>
      <c r="B42" s="26">
        <f>IF($A42&gt;Inputs!$B$9,"",Combined_Fixed_Model!E16)</f>
        <v>0.99953092777095853</v>
      </c>
      <c r="C42" s="26">
        <f>IF($A42&gt;Inputs!$B$9,"",Combined_Fixed_Model!F16)</f>
        <v>0.99978020304465232</v>
      </c>
      <c r="D42" s="26">
        <f>IF($A42&gt;Inputs!$B$9,"",Combined_Fixed_Model!G16)</f>
        <v>6.5162396564701353E-2</v>
      </c>
      <c r="E42" s="26">
        <f>IF(OR($A42&gt;Inputs!$B$9,$A42&gt;5),"",Combined_Fixed_Model!H16)</f>
        <v>8.077840887136567E-2</v>
      </c>
      <c r="F42" s="26">
        <f>IF($A42&gt;Inputs!$B$9,"",Combined_Fixed_Model!I16)</f>
        <v>5.6152042453412329E-3</v>
      </c>
      <c r="G42" s="26">
        <f>IF($A42&gt;Inputs!$B$9,"",Combined_Fixed_Model!J16)</f>
        <v>3.0852770578797973E-3</v>
      </c>
      <c r="H42" s="26">
        <f>IF($A42&gt;Inputs!$B$9,"",Combined_Fixed_Model!K16)</f>
        <v>2.468221646303838E-5</v>
      </c>
      <c r="I42" s="26">
        <f>IF(OR($A42&gt;Inputs!$B$9,$A42&gt;5),"",Combined_Fixed_Model!L16)</f>
        <v>6.1705541157595955E-5</v>
      </c>
      <c r="J42" s="26">
        <f>IF($A42&gt;Inputs!$B$9,"",Combined_Fixed_Model!Y16)</f>
        <v>0.35457662419777575</v>
      </c>
      <c r="K42" s="26">
        <f>IF($A42&gt;Inputs!$B$9,"",Combined_Fixed_Model!Z16)</f>
        <v>0.31461719900657387</v>
      </c>
      <c r="L42" s="26">
        <f>IF($A42&gt;Inputs!$B$9,"",Combined_Fixed_Model!AA16)</f>
        <v>1.3479521327397525E-2</v>
      </c>
      <c r="M42" s="26">
        <f>IF(OR($A42&gt;Inputs!$B$9,$A42&gt;5),"",Combined_Fixed_Model!AB16)</f>
        <v>1.9226537025294796E-2</v>
      </c>
    </row>
    <row r="43" spans="1:13">
      <c r="A43" s="3">
        <v>5</v>
      </c>
      <c r="B43" s="26">
        <f>IF($A43&gt;Inputs!$B$9,"",Combined_Fixed_Model!E17)</f>
        <v>0.92664858965648977</v>
      </c>
      <c r="C43" s="26">
        <f>IF($A43&gt;Inputs!$B$9,"",Combined_Fixed_Model!F17)</f>
        <v>0.9974736593208503</v>
      </c>
      <c r="D43" s="26">
        <f>IF($A43&gt;Inputs!$B$9,"",Combined_Fixed_Model!G17)</f>
        <v>9.5239307739855006E-3</v>
      </c>
      <c r="E43" s="26">
        <f>IF(OR($A43&gt;Inputs!$B$9,$A43&gt;5),"",Combined_Fixed_Model!H17)</f>
        <v>2.6064808778946125E-3</v>
      </c>
      <c r="F43" s="26">
        <f>IF($A43&gt;Inputs!$B$9,"",Combined_Fixed_Model!I17)</f>
        <v>8.6996122110920499E-4</v>
      </c>
      <c r="G43" s="26">
        <f>IF($A43&gt;Inputs!$B$9,"",Combined_Fixed_Model!J17)</f>
        <v>3.9833389244926961E-4</v>
      </c>
      <c r="H43" s="26">
        <f>IF($A43&gt;Inputs!$B$9,"",Combined_Fixed_Model!K17)</f>
        <v>6.3733422791883147E-7</v>
      </c>
      <c r="I43" s="26">
        <f>IF(OR($A43&gt;Inputs!$B$9,$A43&gt;5),"",Combined_Fixed_Model!L17)</f>
        <v>8.6909212898022475E-7</v>
      </c>
      <c r="J43" s="26">
        <f>IF($A43&gt;Inputs!$B$9,"",Combined_Fixed_Model!Y17)</f>
        <v>0.22984339825207159</v>
      </c>
      <c r="K43" s="26">
        <f>IF($A43&gt;Inputs!$B$9,"",Combined_Fixed_Model!Z17)</f>
        <v>0.2085309879477503</v>
      </c>
      <c r="L43" s="26">
        <f>IF($A43&gt;Inputs!$B$9,"",Combined_Fixed_Model!AA17)</f>
        <v>1.392920828775915E-3</v>
      </c>
      <c r="M43" s="26">
        <f>IF(OR($A43&gt;Inputs!$B$9,$A43&gt;5),"",Combined_Fixed_Model!AB17)</f>
        <v>5.2560174431316676E-4</v>
      </c>
    </row>
    <row r="44" spans="1:13">
      <c r="A44" s="3">
        <v>6</v>
      </c>
      <c r="B44" s="26">
        <f>IF($A44&gt;Inputs!$B$9,"",Combined_Fixed_Model!E18)</f>
        <v>0.46314233372247893</v>
      </c>
      <c r="C44" s="26">
        <f>IF($A44&gt;Inputs!$B$9,"",Combined_Fixed_Model!F18)</f>
        <v>0.97942658254676562</v>
      </c>
      <c r="D44" s="26">
        <f>IF($A44&gt;Inputs!$B$9,"",Combined_Fixed_Model!G18)</f>
        <v>1.2420297861838181E-3</v>
      </c>
      <c r="E44" s="26" t="str">
        <f>IF(OR($A44&gt;Inputs!$B$9,$A44&gt;5),"",Combined_Fixed_Model!H18)</f>
        <v/>
      </c>
      <c r="F44" s="26">
        <f>IF($A44&gt;Inputs!$B$9,"",Combined_Fixed_Model!I18)</f>
        <v>1.2428017444417213E-4</v>
      </c>
      <c r="G44" s="26">
        <f>IF($A44&gt;Inputs!$B$9,"",Combined_Fixed_Model!J18)</f>
        <v>5.1731674344060982E-5</v>
      </c>
      <c r="H44" s="26">
        <f>IF($A44&gt;Inputs!$B$9,"",Combined_Fixed_Model!K18)</f>
        <v>1.6554135790099519E-8</v>
      </c>
      <c r="I44" s="26" t="str">
        <f>IF(OR($A44&gt;Inputs!$B$9,$A44&gt;5),"",Combined_Fixed_Model!L18)</f>
        <v/>
      </c>
      <c r="J44" s="26">
        <f>IF($A44&gt;Inputs!$B$9,"",Combined_Fixed_Model!Y18)</f>
        <v>8.9423559836598859E-2</v>
      </c>
      <c r="K44" s="26">
        <f>IF($A44&gt;Inputs!$B$9,"",Combined_Fixed_Model!Z18)</f>
        <v>0.13662457267235414</v>
      </c>
      <c r="L44" s="26">
        <f>IF($A44&gt;Inputs!$B$9,"",Combined_Fixed_Model!AA18)</f>
        <v>1.3154880630585479E-4</v>
      </c>
      <c r="M44" s="26" t="str">
        <f>IF(OR($A44&gt;Inputs!$B$9,$A44&gt;5),"",Combined_Fixed_Model!AB18)</f>
        <v/>
      </c>
    </row>
    <row r="45" spans="1:13">
      <c r="A45" s="3">
        <v>7</v>
      </c>
      <c r="B45" s="26">
        <f>IF($A45&gt;Inputs!$B$9,"",Combined_Fixed_Model!E19)</f>
        <v>9.9057907996357053E-2</v>
      </c>
      <c r="C45" s="26">
        <f>IF($A45&gt;Inputs!$B$9,"",Combined_Fixed_Model!F19)</f>
        <v>0.8976744202682877</v>
      </c>
      <c r="D45" s="26">
        <f>IF($A45&gt;Inputs!$B$9,"",Combined_Fixed_Model!G19)</f>
        <v>1.458834757964711E-4</v>
      </c>
      <c r="E45" s="26" t="str">
        <f>IF(OR($A45&gt;Inputs!$B$9,$A45&gt;5),"",Combined_Fixed_Model!H19)</f>
        <v/>
      </c>
      <c r="F45" s="26">
        <f>IF($A45&gt;Inputs!$B$9,"",Combined_Fixed_Model!I19)</f>
        <v>1.6210457536196364E-5</v>
      </c>
      <c r="G45" s="26">
        <f>IF($A45&gt;Inputs!$B$9,"",Combined_Fixed_Model!J19)</f>
        <v>6.7476096970514322E-6</v>
      </c>
      <c r="H45" s="26">
        <f>IF($A45&gt;Inputs!$B$9,"",Combined_Fixed_Model!K19)</f>
        <v>4.3184702061129177E-10</v>
      </c>
      <c r="I45" s="26" t="str">
        <f>IF(OR($A45&gt;Inputs!$B$9,$A45&gt;5),"",Combined_Fixed_Model!L19)</f>
        <v/>
      </c>
      <c r="J45" s="26">
        <f>IF($A45&gt;Inputs!$B$9,"",Combined_Fixed_Model!Y19)</f>
        <v>1.7324885621019744E-2</v>
      </c>
      <c r="K45" s="26">
        <f>IF($A45&gt;Inputs!$B$9,"",Combined_Fixed_Model!Z19)</f>
        <v>8.4786180366115224E-2</v>
      </c>
      <c r="L45" s="26">
        <f>IF($A45&gt;Inputs!$B$9,"",Combined_Fixed_Model!AA19)</f>
        <v>1.1435913646105979E-5</v>
      </c>
      <c r="M45" s="26" t="str">
        <f>IF(OR($A45&gt;Inputs!$B$9,$A45&gt;5),"",Combined_Fixed_Model!AB19)</f>
        <v/>
      </c>
    </row>
    <row r="46" spans="1:13">
      <c r="A46" s="3">
        <v>8</v>
      </c>
      <c r="B46" s="26">
        <f>IF($A46&gt;Inputs!$B$9,"",Combined_Fixed_Model!E20)</f>
        <v>1.2197272715614216E-2</v>
      </c>
      <c r="C46" s="26">
        <f>IF($A46&gt;Inputs!$B$9,"",Combined_Fixed_Model!F20)</f>
        <v>0.69636999482615825</v>
      </c>
      <c r="D46" s="26">
        <f>IF($A46&gt;Inputs!$B$9,"",Combined_Fixed_Model!G20)</f>
        <v>1.5256784824613234E-5</v>
      </c>
      <c r="E46" s="26" t="str">
        <f>IF(OR($A46&gt;Inputs!$B$9,$A46&gt;5),"",Combined_Fixed_Model!H20)</f>
        <v/>
      </c>
      <c r="F46" s="26">
        <f>IF($A46&gt;Inputs!$B$9,"",Combined_Fixed_Model!I20)</f>
        <v>1.9071126513172193E-6</v>
      </c>
      <c r="G46" s="26">
        <f>IF($A46&gt;Inputs!$B$9,"",Combined_Fixed_Model!J20)</f>
        <v>8.8204048327469711E-7</v>
      </c>
      <c r="H46" s="26">
        <f>IF($A46&gt;Inputs!$B$9,"",Combined_Fixed_Model!K20)</f>
        <v>1.1290118185916125E-11</v>
      </c>
      <c r="I46" s="26" t="str">
        <f>IF(OR($A46&gt;Inputs!$B$9,$A46&gt;5),"",Combined_Fixed_Model!L20)</f>
        <v/>
      </c>
      <c r="J46" s="26">
        <f>IF($A46&gt;Inputs!$B$9,"",Combined_Fixed_Model!Y20)</f>
        <v>2.1139049552486677E-3</v>
      </c>
      <c r="K46" s="26">
        <f>IF($A46&gt;Inputs!$B$9,"",Combined_Fixed_Model!Z20)</f>
        <v>4.6064858737039256E-2</v>
      </c>
      <c r="L46" s="26">
        <f>IF($A46&gt;Inputs!$B$9,"",Combined_Fixed_Model!AA20)</f>
        <v>9.0637958397857385E-7</v>
      </c>
      <c r="M46" s="26" t="str">
        <f>IF(OR($A46&gt;Inputs!$B$9,$A46&gt;5),"",Combined_Fixed_Model!AB20)</f>
        <v/>
      </c>
    </row>
    <row r="47" spans="1:13">
      <c r="A47" s="3">
        <v>9</v>
      </c>
      <c r="B47" s="26">
        <f>IF($A47&gt;Inputs!$B$9,"",Combined_Fixed_Model!E21)</f>
        <v>9.9675204277105411E-4</v>
      </c>
      <c r="C47" s="26">
        <f>IF($A47&gt;Inputs!$B$9,"",Combined_Fixed_Model!F21)</f>
        <v>0.42005719502267069</v>
      </c>
      <c r="D47" s="26">
        <f>IF($A47&gt;Inputs!$B$9,"",Combined_Fixed_Model!G21)</f>
        <v>1.3947530559388355E-6</v>
      </c>
      <c r="E47" s="26" t="str">
        <f>IF(OR($A47&gt;Inputs!$B$9,$A47&gt;5),"",Combined_Fixed_Model!H21)</f>
        <v/>
      </c>
      <c r="F47" s="26">
        <f>IF($A47&gt;Inputs!$B$9,"",Combined_Fixed_Model!I21)</f>
        <v>1.9925057551075426E-7</v>
      </c>
      <c r="G47" s="26">
        <f>IF($A47&gt;Inputs!$B$9,"",Combined_Fixed_Model!J21)</f>
        <v>1.1519185415900895E-7</v>
      </c>
      <c r="H47" s="26">
        <f>IF($A47&gt;Inputs!$B$9,"",Combined_Fixed_Model!K21)</f>
        <v>2.9489114664706294E-13</v>
      </c>
      <c r="I47" s="26" t="str">
        <f>IF(OR($A47&gt;Inputs!$B$9,$A47&gt;5),"",Combined_Fixed_Model!L21)</f>
        <v/>
      </c>
      <c r="J47" s="26">
        <f>IF($A47&gt;Inputs!$B$9,"",Combined_Fixed_Model!Y21)</f>
        <v>1.8144692994779077E-4</v>
      </c>
      <c r="K47" s="26">
        <f>IF($A47&gt;Inputs!$B$9,"",Combined_Fixed_Model!Z21)</f>
        <v>2.0461199798447838E-2</v>
      </c>
      <c r="L47" s="26">
        <f>IF($A47&gt;Inputs!$B$9,"",Combined_Fixed_Model!AA21)</f>
        <v>6.449561734639023E-8</v>
      </c>
      <c r="M47" s="26" t="str">
        <f>IF(OR($A47&gt;Inputs!$B$9,$A47&gt;5),"",Combined_Fixed_Model!AB21)</f>
        <v/>
      </c>
    </row>
    <row r="48" spans="1:13">
      <c r="A48" s="3">
        <v>10</v>
      </c>
      <c r="B48" s="26">
        <f>IF($A48&gt;Inputs!$B$9,"",Combined_Fixed_Model!E22)</f>
        <v>5.4393927711116064E-5</v>
      </c>
      <c r="C48" s="26">
        <f>IF($A48&gt;Inputs!$B$9,"",Combined_Fixed_Model!F22)</f>
        <v>0.19125352297565568</v>
      </c>
      <c r="D48" s="26">
        <f>IF($A48&gt;Inputs!$B$9,"",Combined_Fixed_Model!G22)</f>
        <v>1.0868212618753148E-7</v>
      </c>
      <c r="E48" s="26" t="str">
        <f>IF(OR($A48&gt;Inputs!$B$9,$A48&gt;5),"",Combined_Fixed_Model!H22)</f>
        <v/>
      </c>
      <c r="F48" s="26">
        <f>IF($A48&gt;Inputs!$B$9,"",Combined_Fixed_Model!I22)</f>
        <v>1.8113688682795842E-8</v>
      </c>
      <c r="G48" s="26">
        <f>IF($A48&gt;Inputs!$B$9,"",Combined_Fixed_Model!J22)</f>
        <v>1.4959981059611549E-8</v>
      </c>
      <c r="H48" s="26">
        <f>IF($A48&gt;Inputs!$B$9,"",Combined_Fixed_Model!K22)</f>
        <v>7.6595103025211163E-15</v>
      </c>
      <c r="I48" s="26" t="str">
        <f>IF(OR($A48&gt;Inputs!$B$9,$A48&gt;5),"",Combined_Fixed_Model!L22)</f>
        <v/>
      </c>
      <c r="J48" s="26">
        <f>IF($A48&gt;Inputs!$B$9,"",Combined_Fixed_Model!Y22)</f>
        <v>1.0965835221863369E-5</v>
      </c>
      <c r="K48" s="26">
        <f>IF($A48&gt;Inputs!$B$9,"",Combined_Fixed_Model!Z22)</f>
        <v>7.2489276266609328E-3</v>
      </c>
      <c r="L48" s="26">
        <f>IF($A48&gt;Inputs!$B$9,"",Combined_Fixed_Model!AA22)</f>
        <v>4.0342861735151187E-9</v>
      </c>
      <c r="M48" s="26" t="str">
        <f>IF(OR($A48&gt;Inputs!$B$9,$A48&gt;5),"",Combined_Fixed_Model!AB22)</f>
        <v/>
      </c>
    </row>
    <row r="49" spans="1:13">
      <c r="A49" s="3">
        <v>11</v>
      </c>
      <c r="B49" s="26">
        <f>IF($A49&gt;Inputs!$B$9,"",Combined_Fixed_Model!E23)</f>
        <v>1.9019355029792351E-6</v>
      </c>
      <c r="C49" s="26">
        <f>IF($A49&gt;Inputs!$B$9,"",Combined_Fixed_Model!F23)</f>
        <v>6.5772401407864112E-2</v>
      </c>
      <c r="D49" s="26">
        <f>IF($A49&gt;Inputs!$B$9,"",Combined_Fixed_Model!G23)</f>
        <v>6.9668033395368607E-9</v>
      </c>
      <c r="E49" s="26" t="str">
        <f>IF(OR($A49&gt;Inputs!$B$9,$A49&gt;5),"",Combined_Fixed_Model!H23)</f>
        <v/>
      </c>
      <c r="F49" s="26">
        <f>IF($A49&gt;Inputs!$B$9,"",Combined_Fixed_Model!I23)</f>
        <v>1.3933606679073726E-9</v>
      </c>
      <c r="G49" s="26">
        <f>IF($A49&gt;Inputs!$B$9,"",Combined_Fixed_Model!J23)</f>
        <v>1.9179462896937883E-9</v>
      </c>
      <c r="H49" s="26">
        <f>IF($A49&gt;Inputs!$B$9,"",Combined_Fixed_Model!K23)</f>
        <v>1.9639770006464401E-16</v>
      </c>
      <c r="I49" s="26" t="str">
        <f>IF(OR($A49&gt;Inputs!$B$9,$A49&gt;5),"",Combined_Fixed_Model!L23)</f>
        <v/>
      </c>
      <c r="J49" s="26">
        <f>IF($A49&gt;Inputs!$B$9,"",Combined_Fixed_Model!Y23)</f>
        <v>4.4892039637413067E-7</v>
      </c>
      <c r="K49" s="26">
        <f>IF($A49&gt;Inputs!$B$9,"",Combined_Fixed_Model!Z23)</f>
        <v>2.0464552253130928E-3</v>
      </c>
      <c r="L49" s="26">
        <f>IF($A49&gt;Inputs!$B$9,"",Combined_Fixed_Model!AA23)</f>
        <v>2.1530500252784915E-10</v>
      </c>
      <c r="M49" s="26" t="str">
        <f>IF(OR($A49&gt;Inputs!$B$9,$A49&gt;5),"",Combined_Fixed_Model!AB23)</f>
        <v/>
      </c>
    </row>
    <row r="50" spans="1:13">
      <c r="A50" s="3">
        <v>12</v>
      </c>
      <c r="B50" s="26">
        <f>IF($A50&gt;Inputs!$B$9,"",Combined_Fixed_Model!E24)</f>
        <v>3.9623693215418143E-8</v>
      </c>
      <c r="C50" s="26">
        <f>IF($A50&gt;Inputs!$B$9,"",Combined_Fixed_Model!F24)</f>
        <v>1.6864964254071801E-2</v>
      </c>
      <c r="D50" s="26">
        <f>IF($A50&gt;Inputs!$B$9,"",Combined_Fixed_Model!G24)</f>
        <v>3.4834016697684304E-10</v>
      </c>
      <c r="E50" s="26" t="str">
        <f>IF(OR($A50&gt;Inputs!$B$9,$A50&gt;5),"",Combined_Fixed_Model!H24)</f>
        <v/>
      </c>
      <c r="F50" s="26">
        <f>IF($A50&gt;Inputs!$B$9,"",Combined_Fixed_Model!I24)</f>
        <v>8.7085041744210785E-11</v>
      </c>
      <c r="G50" s="26">
        <f>IF($A50&gt;Inputs!$B$9,"",Combined_Fixed_Model!J24)</f>
        <v>2.3974328621172353E-10</v>
      </c>
      <c r="H50" s="26">
        <f>IF($A50&gt;Inputs!$B$9,"",Combined_Fixed_Model!K24)</f>
        <v>4.9099425016161006E-18</v>
      </c>
      <c r="I50" s="26" t="str">
        <f>IF(OR($A50&gt;Inputs!$B$9,$A50&gt;5),"",Combined_Fixed_Model!L24)</f>
        <v/>
      </c>
      <c r="J50" s="26">
        <f>IF($A50&gt;Inputs!$B$9,"",Combined_Fixed_Model!Y24)</f>
        <v>1.1650717580420179E-8</v>
      </c>
      <c r="K50" s="26">
        <f>IF($A50&gt;Inputs!$B$9,"",Combined_Fixed_Model!Z24)</f>
        <v>4.5450391743170475E-4</v>
      </c>
      <c r="L50" s="26">
        <f>IF($A50&gt;Inputs!$B$9,"",Combined_Fixed_Model!AA24)</f>
        <v>9.3716945615545805E-12</v>
      </c>
      <c r="M50" s="26" t="str">
        <f>IF(OR($A50&gt;Inputs!$B$9,$A50&gt;5),"",Combined_Fixed_Model!AB24)</f>
        <v/>
      </c>
    </row>
    <row r="51" spans="1:13">
      <c r="A51" s="3">
        <v>13</v>
      </c>
      <c r="B51" s="26">
        <f>IF($A51&gt;Inputs!$B$9,"",Combined_Fixed_Model!E25)</f>
        <v>4.3542520872105379E-10</v>
      </c>
      <c r="C51" s="26">
        <f>IF($A51&gt;Inputs!$B$9,"",Combined_Fixed_Model!F25)</f>
        <v>3.0326773326718737E-3</v>
      </c>
      <c r="D51" s="26">
        <f>IF($A51&gt;Inputs!$B$9,"",Combined_Fixed_Model!G25)</f>
        <v>1.2440720249172966E-11</v>
      </c>
      <c r="E51" s="26" t="str">
        <f>IF(OR($A51&gt;Inputs!$B$9,$A51&gt;5),"",Combined_Fixed_Model!H25)</f>
        <v/>
      </c>
      <c r="F51" s="26">
        <f>IF($A51&gt;Inputs!$B$9,"",Combined_Fixed_Model!I25)</f>
        <v>4.146906749724323E-12</v>
      </c>
      <c r="G51" s="26">
        <f>IF($A51&gt;Inputs!$B$9,"",Combined_Fixed_Model!J25)</f>
        <v>2.8540867406157561E-11</v>
      </c>
      <c r="H51" s="26">
        <f>IF($A51&gt;Inputs!$B$9,"",Combined_Fixed_Model!K25)</f>
        <v>1.1690339289562144E-19</v>
      </c>
      <c r="I51" s="26" t="str">
        <f>IF(OR($A51&gt;Inputs!$B$9,$A51&gt;5),"",Combined_Fixed_Model!L25)</f>
        <v/>
      </c>
      <c r="J51" s="26">
        <f>IF($A51&gt;Inputs!$B$9,"",Combined_Fixed_Model!Y25)</f>
        <v>1.7166260901945752E-10</v>
      </c>
      <c r="K51" s="26">
        <f>IF($A51&gt;Inputs!$B$9,"",Combined_Fixed_Model!Z25)</f>
        <v>7.5258298938816386E-5</v>
      </c>
      <c r="L51" s="26">
        <f>IF($A51&gt;Inputs!$B$9,"",Combined_Fixed_Model!AA25)</f>
        <v>3.0863263211427744E-13</v>
      </c>
      <c r="M51" s="26" t="str">
        <f>IF(OR($A51&gt;Inputs!$B$9,$A51&gt;5),"",Combined_Fixed_Model!AB25)</f>
        <v/>
      </c>
    </row>
    <row r="52" spans="1:13">
      <c r="A52" s="3">
        <v>14</v>
      </c>
      <c r="B52" s="26">
        <f>IF($A52&gt;Inputs!$B$9,"",Combined_Fixed_Model!E26)</f>
        <v>2.0065677821246717E-12</v>
      </c>
      <c r="C52" s="26">
        <f>IF($A52&gt;Inputs!$B$9,"",Combined_Fixed_Model!F26)</f>
        <v>3.2653648364233678E-4</v>
      </c>
      <c r="D52" s="26">
        <f>IF($A52&gt;Inputs!$B$9,"",Combined_Fixed_Model!G26)</f>
        <v>2.6754237094995625E-13</v>
      </c>
      <c r="E52" s="26" t="str">
        <f>IF(OR($A52&gt;Inputs!$B$9,$A52&gt;5),"",Combined_Fixed_Model!H26)</f>
        <v/>
      </c>
      <c r="F52" s="26">
        <f>IF($A52&gt;Inputs!$B$9,"",Combined_Fixed_Model!I26)</f>
        <v>1.3377118547497815E-13</v>
      </c>
      <c r="G52" s="26">
        <f>IF($A52&gt;Inputs!$B$9,"",Combined_Fixed_Model!J26)</f>
        <v>3.0689104737803827E-12</v>
      </c>
      <c r="H52" s="26">
        <f>IF($A52&gt;Inputs!$B$9,"",Combined_Fixed_Model!K26)</f>
        <v>2.5140514601208912E-21</v>
      </c>
      <c r="I52" s="26" t="str">
        <f>IF(OR($A52&gt;Inputs!$B$9,$A52&gt;5),"",Combined_Fixed_Model!L26)</f>
        <v/>
      </c>
      <c r="J52" s="26">
        <f>IF($A52&gt;Inputs!$B$9,"",Combined_Fixed_Model!Y26)</f>
        <v>1.1674427246092824E-12</v>
      </c>
      <c r="K52" s="26">
        <f>IF($A52&gt;Inputs!$B$9,"",Combined_Fixed_Model!Z26)</f>
        <v>8.1010667983446648E-6</v>
      </c>
      <c r="L52" s="26">
        <f>IF($A52&gt;Inputs!$B$9,"",Combined_Fixed_Model!AA26)</f>
        <v>6.6372609056833964E-15</v>
      </c>
      <c r="M52" s="26" t="str">
        <f>IF(OR($A52&gt;Inputs!$B$9,$A52&gt;5),"",Combined_Fixed_Model!AB26)</f>
        <v/>
      </c>
    </row>
    <row r="53" spans="1:13">
      <c r="A53" s="3">
        <v>15</v>
      </c>
      <c r="B53" s="26">
        <f>IF($A53&gt;Inputs!$B$9,"",Combined_Fixed_Model!E27)</f>
        <v>2.1929702536881659E-15</v>
      </c>
      <c r="C53" s="26">
        <f>IF($A53&gt;Inputs!$B$9,"",Combined_Fixed_Model!F27)</f>
        <v>1.3384738632105098E-5</v>
      </c>
      <c r="D53" s="26">
        <f>IF($A53&gt;Inputs!$B$9,"",Combined_Fixed_Model!G27)</f>
        <v>2.1929702536881659E-15</v>
      </c>
      <c r="E53" s="26" t="str">
        <f>IF(OR($A53&gt;Inputs!$B$9,$A53&gt;5),"",Combined_Fixed_Model!H27)</f>
        <v/>
      </c>
      <c r="F53" s="26">
        <f>IF($A53&gt;Inputs!$B$9,"",Combined_Fixed_Model!I27)</f>
        <v>2.1929702536881667E-15</v>
      </c>
      <c r="G53" s="26">
        <f>IF($A53&gt;Inputs!$B$9,"",Combined_Fixed_Model!J27)</f>
        <v>2.515500388344576E-13</v>
      </c>
      <c r="H53" s="26">
        <f>IF($A53&gt;Inputs!$B$9,"",Combined_Fixed_Model!K27)</f>
        <v>4.1213958362637565E-23</v>
      </c>
      <c r="I53" s="26" t="str">
        <f>IF(OR($A53&gt;Inputs!$B$9,$A53&gt;5),"",Combined_Fixed_Model!L27)</f>
        <v/>
      </c>
      <c r="J53" s="26">
        <f>IF($A53&gt;Inputs!$B$9,"",Combined_Fixed_Model!Y27)</f>
        <v>2.1929702536881592E-15</v>
      </c>
      <c r="K53" s="26">
        <f>IF($A53&gt;Inputs!$B$9,"",Combined_Fixed_Model!Z27)</f>
        <v>3.8142819587516711E-7</v>
      </c>
      <c r="L53" s="26">
        <f>IF($A53&gt;Inputs!$B$9,"",Combined_Fixed_Model!AA27)</f>
        <v>6.2493530197087097E-17</v>
      </c>
      <c r="M53" s="26" t="str">
        <f>IF(OR($A53&gt;Inputs!$B$9,$A53&gt;5),"",Combined_Fixed_Model!AB27)</f>
        <v/>
      </c>
    </row>
    <row r="56" spans="1:13">
      <c r="A56" s="24" t="s">
        <v>117</v>
      </c>
    </row>
    <row r="57" spans="1:13" ht="28.3">
      <c r="A57" s="25" t="s">
        <v>91</v>
      </c>
      <c r="B57" s="25" t="s">
        <v>164</v>
      </c>
      <c r="C57" s="25" t="s">
        <v>165</v>
      </c>
      <c r="D57" s="25" t="s">
        <v>166</v>
      </c>
      <c r="E57" s="25" t="s">
        <v>167</v>
      </c>
      <c r="F57" s="25" t="s">
        <v>107</v>
      </c>
      <c r="G57" s="25" t="s">
        <v>108</v>
      </c>
      <c r="H57" s="25" t="s">
        <v>109</v>
      </c>
      <c r="I57" s="25" t="s">
        <v>110</v>
      </c>
      <c r="J57" s="25" t="s">
        <v>111</v>
      </c>
      <c r="K57" s="25" t="s">
        <v>112</v>
      </c>
      <c r="L57" s="25" t="s">
        <v>113</v>
      </c>
      <c r="M57" s="25" t="s">
        <v>114</v>
      </c>
    </row>
    <row r="58" spans="1:13">
      <c r="A58" s="3">
        <v>3</v>
      </c>
      <c r="B58" s="27">
        <f>IF($A58&gt;Inputs!$B$9,"",Combined_Fixed_Model!M15)</f>
        <v>2.2002878031015974E-7</v>
      </c>
      <c r="C58" s="27">
        <f>IF($A58&gt;Inputs!$B$9,"",Combined_Fixed_Model!N15)</f>
        <v>1.756434617245252E-5</v>
      </c>
      <c r="D58" s="27">
        <f>IF($A58&gt;Inputs!$B$9,"",Combined_Fixed_Model!O15)</f>
        <v>1.0365812076868104</v>
      </c>
      <c r="E58" s="27">
        <f>IF(OR($A58&gt;Inputs!$B$9,$A58&gt;5),"",Combined_Fixed_Model!P15)</f>
        <v>0.45247925780724357</v>
      </c>
      <c r="F58" s="27">
        <f>IF($A58&gt;Inputs!$B$9,"",Combined_Fixed_Model!Q15)</f>
        <v>3.3905178472757651</v>
      </c>
      <c r="G58" s="27">
        <f>IF($A58&gt;Inputs!$B$9,"",Combined_Fixed_Model!R15)</f>
        <v>3.7269900838969785</v>
      </c>
      <c r="H58" s="27">
        <f>IF($A58&gt;Inputs!$B$9,"",Combined_Fixed_Model!S15)</f>
        <v>6.9458659087651791</v>
      </c>
      <c r="I58" s="27">
        <f>IF(OR($A58&gt;Inputs!$B$9,$A58&gt;5),"",Combined_Fixed_Model!T15)</f>
        <v>6.1096178845645603</v>
      </c>
      <c r="J58" s="27">
        <f>IF($A58&gt;Inputs!$B$9,"",Combined_Fixed_Model!U15)</f>
        <v>0.67810374547817709</v>
      </c>
      <c r="K58" s="27">
        <f>IF($A58&gt;Inputs!$B$9,"",Combined_Fixed_Model!V15)</f>
        <v>0.74541206825633355</v>
      </c>
      <c r="L58" s="27">
        <f>IF($A58&gt;Inputs!$B$9,"",Combined_Fixed_Model!W15)</f>
        <v>2.2184381479024839</v>
      </c>
      <c r="M58" s="27">
        <f>IF(OR($A58&gt;Inputs!$B$9,$A58&gt;5),"",Combined_Fixed_Model!X15)</f>
        <v>1.5839069831587067</v>
      </c>
    </row>
    <row r="59" spans="1:13">
      <c r="A59" s="3">
        <v>4</v>
      </c>
      <c r="B59" s="27">
        <f>IF($A59&gt;Inputs!$B$9,"",Combined_Fixed_Model!M16)</f>
        <v>4.6918227783473033E-4</v>
      </c>
      <c r="C59" s="27">
        <f>IF($A59&gt;Inputs!$B$9,"",Combined_Fixed_Model!N16)</f>
        <v>2.1982111423857285E-4</v>
      </c>
      <c r="D59" s="27">
        <f>IF($A59&gt;Inputs!$B$9,"",Combined_Fixed_Model!O16)</f>
        <v>2.7308727162330997</v>
      </c>
      <c r="E59" s="27">
        <f>IF(OR($A59&gt;Inputs!$B$9,$A59&gt;5),"",Combined_Fixed_Model!P16)</f>
        <v>2.5160455661024388</v>
      </c>
      <c r="F59" s="27">
        <f>IF($A59&gt;Inputs!$B$9,"",Combined_Fixed_Model!Q16)</f>
        <v>5.1822773165038205</v>
      </c>
      <c r="G59" s="27">
        <f>IF($A59&gt;Inputs!$B$9,"",Combined_Fixed_Model!R16)</f>
        <v>5.7811138175925247</v>
      </c>
      <c r="H59" s="27">
        <f>IF($A59&gt;Inputs!$B$9,"",Combined_Fixed_Model!S16)</f>
        <v>10.609427554894825</v>
      </c>
      <c r="I59" s="27">
        <f>IF(OR($A59&gt;Inputs!$B$9,$A59&gt;5),"",Combined_Fixed_Model!T16)</f>
        <v>9.6931368230206711</v>
      </c>
      <c r="J59" s="27">
        <f>IF($A59&gt;Inputs!$B$9,"",Combined_Fixed_Model!U16)</f>
        <v>1.0368308091230316</v>
      </c>
      <c r="K59" s="27">
        <f>IF($A59&gt;Inputs!$B$9,"",Combined_Fixed_Model!V16)</f>
        <v>1.1563986204098955</v>
      </c>
      <c r="L59" s="27">
        <f>IF($A59&gt;Inputs!$B$9,"",Combined_Fixed_Model!W16)</f>
        <v>4.3065836839654441</v>
      </c>
      <c r="M59" s="27">
        <f>IF(OR($A59&gt;Inputs!$B$9,$A59&gt;5),"",Combined_Fixed_Model!X16)</f>
        <v>3.951463817486085</v>
      </c>
    </row>
    <row r="60" spans="1:13">
      <c r="A60" s="3">
        <v>5</v>
      </c>
      <c r="B60" s="27">
        <f>IF($A60&gt;Inputs!$B$9,"",Combined_Fixed_Model!M17)</f>
        <v>7.6180868720778103E-2</v>
      </c>
      <c r="C60" s="27">
        <f>IF($A60&gt;Inputs!$B$9,"",Combined_Fixed_Model!N17)</f>
        <v>2.5295372626708825E-3</v>
      </c>
      <c r="D60" s="27">
        <f>IF($A60&gt;Inputs!$B$9,"",Combined_Fixed_Model!O17)</f>
        <v>4.6539476189700881</v>
      </c>
      <c r="E60" s="27">
        <f>IF(OR($A60&gt;Inputs!$B$9,$A60&gt;5),"",Combined_Fixed_Model!P17)</f>
        <v>5.9497542900981548</v>
      </c>
      <c r="F60" s="27">
        <f>IF($A60&gt;Inputs!$B$9,"",Combined_Fixed_Model!Q17)</f>
        <v>7.0470619207467653</v>
      </c>
      <c r="G60" s="27">
        <f>IF($A60&gt;Inputs!$B$9,"",Combined_Fixed_Model!R17)</f>
        <v>7.8282199786294244</v>
      </c>
      <c r="H60" s="27">
        <f>IF($A60&gt;Inputs!$B$9,"",Combined_Fixed_Model!S17)</f>
        <v>14.265971628365826</v>
      </c>
      <c r="I60" s="27">
        <f>IF(OR($A60&gt;Inputs!$B$9,$A60&gt;5),"",Combined_Fixed_Model!T17)</f>
        <v>13.955816700061986</v>
      </c>
      <c r="J60" s="27">
        <f>IF($A60&gt;Inputs!$B$9,"",Combined_Fixed_Model!U17)</f>
        <v>1.4703570791259752</v>
      </c>
      <c r="K60" s="27">
        <f>IF($A60&gt;Inputs!$B$9,"",Combined_Fixed_Model!V17)</f>
        <v>1.5676676255360211</v>
      </c>
      <c r="L60" s="27">
        <f>IF($A60&gt;Inputs!$B$9,"",Combined_Fixed_Model!W17)</f>
        <v>6.5763524208492354</v>
      </c>
      <c r="M60" s="27">
        <f>IF(OR($A60&gt;Inputs!$B$9,$A60&gt;5),"",Combined_Fixed_Model!X17)</f>
        <v>7.5509667720909199</v>
      </c>
    </row>
    <row r="61" spans="1:13">
      <c r="A61" s="3">
        <v>6</v>
      </c>
      <c r="B61" s="27">
        <f>IF($A61&gt;Inputs!$B$9,"",Combined_Fixed_Model!M18)</f>
        <v>0.76972085589134098</v>
      </c>
      <c r="C61" s="27">
        <f>IF($A61&gt;Inputs!$B$9,"",Combined_Fixed_Model!N18)</f>
        <v>2.0787998417182398E-2</v>
      </c>
      <c r="D61" s="27">
        <f>IF($A61&gt;Inputs!$B$9,"",Combined_Fixed_Model!O18)</f>
        <v>6.6910083133237874</v>
      </c>
      <c r="E61" s="27" t="str">
        <f>IF(OR($A61&gt;Inputs!$B$9,$A61&gt;5),"",Combined_Fixed_Model!P18)</f>
        <v/>
      </c>
      <c r="F61" s="27">
        <f>IF($A61&gt;Inputs!$B$9,"",Combined_Fixed_Model!Q18)</f>
        <v>8.9929720698020787</v>
      </c>
      <c r="G61" s="27">
        <f>IF($A61&gt;Inputs!$B$9,"",Combined_Fixed_Model!R18)</f>
        <v>9.8694403074890626</v>
      </c>
      <c r="H61" s="27">
        <f>IF($A61&gt;Inputs!$B$9,"",Combined_Fixed_Model!S18)</f>
        <v>17.916629869659563</v>
      </c>
      <c r="I61" s="27" t="str">
        <f>IF(OR($A61&gt;Inputs!$B$9,$A61&gt;5),"",Combined_Fixed_Model!T18)</f>
        <v/>
      </c>
      <c r="J61" s="27">
        <f>IF($A61&gt;Inputs!$B$9,"",Combined_Fixed_Model!U18)</f>
        <v>2.4143710986734881</v>
      </c>
      <c r="K61" s="27">
        <f>IF($A61&gt;Inputs!$B$9,"",Combined_Fixed_Model!V18)</f>
        <v>1.990518460231558</v>
      </c>
      <c r="L61" s="27">
        <f>IF($A61&gt;Inputs!$B$9,"",Combined_Fixed_Model!W18)</f>
        <v>8.9361326245909414</v>
      </c>
      <c r="M61" s="27" t="str">
        <f>IF(OR($A61&gt;Inputs!$B$9,$A61&gt;5),"",Combined_Fixed_Model!X18)</f>
        <v/>
      </c>
    </row>
    <row r="62" spans="1:13">
      <c r="A62" s="3">
        <v>7</v>
      </c>
      <c r="B62" s="27">
        <f>IF($A62&gt;Inputs!$B$9,"",Combined_Fixed_Model!M19)</f>
        <v>2.3120506705958523</v>
      </c>
      <c r="C62" s="27">
        <f>IF($A62&gt;Inputs!$B$9,"",Combined_Fixed_Model!N19)</f>
        <v>0.10794783736950339</v>
      </c>
      <c r="D62" s="27">
        <f>IF($A62&gt;Inputs!$B$9,"",Combined_Fixed_Model!O19)</f>
        <v>8.832702365899145</v>
      </c>
      <c r="E62" s="27" t="str">
        <f>IF(OR($A62&gt;Inputs!$B$9,$A62&gt;5),"",Combined_Fixed_Model!P19)</f>
        <v/>
      </c>
      <c r="F62" s="27">
        <f>IF($A62&gt;Inputs!$B$9,"",Combined_Fixed_Model!Q19)</f>
        <v>11.029853997063119</v>
      </c>
      <c r="G62" s="27">
        <f>IF($A62&gt;Inputs!$B$9,"",Combined_Fixed_Model!R19)</f>
        <v>11.906322234750103</v>
      </c>
      <c r="H62" s="27">
        <f>IF($A62&gt;Inputs!$B$9,"",Combined_Fixed_Model!S19)</f>
        <v>21.562949709354704</v>
      </c>
      <c r="I62" s="27" t="str">
        <f>IF(OR($A62&gt;Inputs!$B$9,$A62&gt;5),"",Combined_Fixed_Model!T19)</f>
        <v/>
      </c>
      <c r="J62" s="27">
        <f>IF($A62&gt;Inputs!$B$9,"",Combined_Fixed_Model!U19)</f>
        <v>4.0556113358893056</v>
      </c>
      <c r="K62" s="27">
        <f>IF($A62&gt;Inputs!$B$9,"",Combined_Fixed_Model!V19)</f>
        <v>2.4676227168456228</v>
      </c>
      <c r="L62" s="27">
        <f>IF($A62&gt;Inputs!$B$9,"",Combined_Fixed_Model!W19)</f>
        <v>11.378751834590258</v>
      </c>
      <c r="M62" s="27" t="str">
        <f>IF(OR($A62&gt;Inputs!$B$9,$A62&gt;5),"",Combined_Fixed_Model!X19)</f>
        <v/>
      </c>
    </row>
    <row r="63" spans="1:13">
      <c r="A63" s="3">
        <v>8</v>
      </c>
      <c r="B63" s="27">
        <f>IF($A63&gt;Inputs!$B$9,"",Combined_Fixed_Model!M20)</f>
        <v>4.4065429001339567</v>
      </c>
      <c r="C63" s="27">
        <f>IF($A63&gt;Inputs!$B$9,"",Combined_Fixed_Model!N20)</f>
        <v>0.36187415813615531</v>
      </c>
      <c r="D63" s="27">
        <f>IF($A63&gt;Inputs!$B$9,"",Combined_Fixed_Model!O20)</f>
        <v>11.090486247320404</v>
      </c>
      <c r="E63" s="27" t="str">
        <f>IF(OR($A63&gt;Inputs!$B$9,$A63&gt;5),"",Combined_Fixed_Model!P20)</f>
        <v/>
      </c>
      <c r="F63" s="27">
        <f>IF($A63&gt;Inputs!$B$9,"",Combined_Fixed_Model!Q20)</f>
        <v>13.169920160559389</v>
      </c>
      <c r="G63" s="27">
        <f>IF($A63&gt;Inputs!$B$9,"",Combined_Fixed_Model!R20)</f>
        <v>13.941027882588546</v>
      </c>
      <c r="H63" s="27">
        <f>IF($A63&gt;Inputs!$B$9,"",Combined_Fixed_Model!S20)</f>
        <v>25.207093269627251</v>
      </c>
      <c r="I63" s="27" t="str">
        <f>IF(OR($A63&gt;Inputs!$B$9,$A63&gt;5),"",Combined_Fixed_Model!T20)</f>
        <v/>
      </c>
      <c r="J63" s="27">
        <f>IF($A63&gt;Inputs!$B$9,"",Combined_Fixed_Model!U20)</f>
        <v>6.1592183522190425</v>
      </c>
      <c r="K63" s="27">
        <f>IF($A63&gt;Inputs!$B$9,"",Combined_Fixed_Model!V20)</f>
        <v>3.0777049030266328</v>
      </c>
      <c r="L63" s="27">
        <f>IF($A63&gt;Inputs!$B$9,"",Combined_Fixed_Model!W20)</f>
        <v>13.913807651781774</v>
      </c>
      <c r="M63" s="27" t="str">
        <f>IF(OR($A63&gt;Inputs!$B$9,$A63&gt;5),"",Combined_Fixed_Model!X20)</f>
        <v/>
      </c>
    </row>
    <row r="64" spans="1:13">
      <c r="A64" s="3">
        <v>9</v>
      </c>
      <c r="B64" s="27">
        <f>IF($A64&gt;Inputs!$B$9,"",Combined_Fixed_Model!M21)</f>
        <v>6.9110085222732023</v>
      </c>
      <c r="C64" s="27">
        <f>IF($A64&gt;Inputs!$B$9,"",Combined_Fixed_Model!N21)</f>
        <v>0.86736439835078394</v>
      </c>
      <c r="D64" s="27">
        <f>IF($A64&gt;Inputs!$B$9,"",Combined_Fixed_Model!O21)</f>
        <v>13.482793179193358</v>
      </c>
      <c r="E64" s="27" t="str">
        <f>IF(OR($A64&gt;Inputs!$B$9,$A64&gt;5),"",Combined_Fixed_Model!P21)</f>
        <v/>
      </c>
      <c r="F64" s="27">
        <f>IF($A64&gt;Inputs!$B$9,"",Combined_Fixed_Model!Q21)</f>
        <v>15.428702630895042</v>
      </c>
      <c r="G64" s="27">
        <f>IF($A64&gt;Inputs!$B$9,"",Combined_Fixed_Model!R21)</f>
        <v>15.976666801609991</v>
      </c>
      <c r="H64" s="27">
        <f>IF($A64&gt;Inputs!$B$9,"",Combined_Fixed_Model!S21)</f>
        <v>28.852170101082791</v>
      </c>
      <c r="I64" s="27" t="str">
        <f>IF(OR($A64&gt;Inputs!$B$9,$A64&gt;5),"",Combined_Fixed_Model!T21)</f>
        <v/>
      </c>
      <c r="J64" s="27">
        <f>IF($A64&gt;Inputs!$B$9,"",Combined_Fixed_Model!U21)</f>
        <v>8.6145473439975699</v>
      </c>
      <c r="K64" s="27">
        <f>IF($A64&gt;Inputs!$B$9,"",Combined_Fixed_Model!V21)</f>
        <v>3.8892248790026245</v>
      </c>
      <c r="L64" s="27">
        <f>IF($A64&gt;Inputs!$B$9,"",Combined_Fixed_Model!W21)</f>
        <v>16.556668563571243</v>
      </c>
      <c r="M64" s="27" t="str">
        <f>IF(OR($A64&gt;Inputs!$B$9,$A64&gt;5),"",Combined_Fixed_Model!X21)</f>
        <v/>
      </c>
    </row>
    <row r="65" spans="1:13">
      <c r="A65" s="3">
        <v>10</v>
      </c>
      <c r="B65" s="27">
        <f>IF($A65&gt;Inputs!$B$9,"",Combined_Fixed_Model!M22)</f>
        <v>9.819258033290108</v>
      </c>
      <c r="C65" s="27">
        <f>IF($A65&gt;Inputs!$B$9,"",Combined_Fixed_Model!N22)</f>
        <v>1.6541553856574103</v>
      </c>
      <c r="D65" s="27">
        <f>IF($A65&gt;Inputs!$B$9,"",Combined_Fixed_Model!O22)</f>
        <v>16.034838488837163</v>
      </c>
      <c r="E65" s="27" t="str">
        <f>IF(OR($A65&gt;Inputs!$B$9,$A65&gt;5),"",Combined_Fixed_Model!P22)</f>
        <v/>
      </c>
      <c r="F65" s="27">
        <f>IF($A65&gt;Inputs!$B$9,"",Combined_Fixed_Model!Q22)</f>
        <v>17.826597903693411</v>
      </c>
      <c r="G65" s="27">
        <f>IF($A65&gt;Inputs!$B$9,"",Combined_Fixed_Model!R22)</f>
        <v>18.017887130469628</v>
      </c>
      <c r="H65" s="27">
        <f>IF($A65&gt;Inputs!$B$9,"",Combined_Fixed_Model!S22)</f>
        <v>32.502828342376532</v>
      </c>
      <c r="I65" s="27" t="str">
        <f>IF(OR($A65&gt;Inputs!$B$9,$A65&gt;5),"",Combined_Fixed_Model!T22)</f>
        <v/>
      </c>
      <c r="J65" s="27">
        <f>IF($A65&gt;Inputs!$B$9,"",Combined_Fixed_Model!U22)</f>
        <v>11.420726007370767</v>
      </c>
      <c r="K65" s="27">
        <f>IF($A65&gt;Inputs!$B$9,"",Combined_Fixed_Model!V22)</f>
        <v>4.9269017346198529</v>
      </c>
      <c r="L65" s="27">
        <f>IF($A65&gt;Inputs!$B$9,"",Combined_Fixed_Model!W22)</f>
        <v>19.328436459545038</v>
      </c>
      <c r="M65" s="27" t="str">
        <f>IF(OR($A65&gt;Inputs!$B$9,$A65&gt;5),"",Combined_Fixed_Model!X22)</f>
        <v/>
      </c>
    </row>
    <row r="66" spans="1:13">
      <c r="A66" s="3">
        <v>11</v>
      </c>
      <c r="B66" s="27">
        <f>IF($A66&gt;Inputs!$B$9,"",Combined_Fixed_Model!M23)</f>
        <v>13.172638504521592</v>
      </c>
      <c r="C66" s="27">
        <f>IF($A66&gt;Inputs!$B$9,"",Combined_Fixed_Model!N23)</f>
        <v>2.7215549601282838</v>
      </c>
      <c r="D66" s="27">
        <f>IF($A66&gt;Inputs!$B$9,"",Combined_Fixed_Model!O23)</f>
        <v>18.782109348720848</v>
      </c>
      <c r="E66" s="27" t="str">
        <f>IF(OR($A66&gt;Inputs!$B$9,$A66&gt;5),"",Combined_Fixed_Model!P23)</f>
        <v/>
      </c>
      <c r="F66" s="27">
        <f>IF($A66&gt;Inputs!$B$9,"",Combined_Fixed_Model!Q23)</f>
        <v>20.391547261154951</v>
      </c>
      <c r="G66" s="27">
        <f>IF($A66&gt;Inputs!$B$9,"",Combined_Fixed_Model!R23)</f>
        <v>20.072010864165176</v>
      </c>
      <c r="H66" s="27">
        <f>IF($A66&gt;Inputs!$B$9,"",Combined_Fixed_Model!S23)</f>
        <v>36.166389988506175</v>
      </c>
      <c r="I66" s="27" t="str">
        <f>IF(OR($A66&gt;Inputs!$B$9,$A66&gt;5),"",Combined_Fixed_Model!T23)</f>
        <v/>
      </c>
      <c r="J66" s="27">
        <f>IF($A66&gt;Inputs!$B$9,"",Combined_Fixed_Model!U23)</f>
        <v>14.616420255848263</v>
      </c>
      <c r="K66" s="27">
        <f>IF($A66&gt;Inputs!$B$9,"",Combined_Fixed_Model!V23)</f>
        <v>6.1916461409356618</v>
      </c>
      <c r="L66" s="27">
        <f>IF($A66&gt;Inputs!$B$9,"",Combined_Fixed_Model!W23)</f>
        <v>22.258965476677911</v>
      </c>
      <c r="M66" s="27" t="str">
        <f>IF(OR($A66&gt;Inputs!$B$9,$A66&gt;5),"",Combined_Fixed_Model!X23)</f>
        <v/>
      </c>
    </row>
    <row r="67" spans="1:13">
      <c r="A67" s="3">
        <v>12</v>
      </c>
      <c r="B67" s="27">
        <f>IF($A67&gt;Inputs!$B$9,"",Combined_Fixed_Model!M24)</f>
        <v>17.043838584083488</v>
      </c>
      <c r="C67" s="27">
        <f>IF($A67&gt;Inputs!$B$9,"",Combined_Fixed_Model!N24)</f>
        <v>4.0825169300040161</v>
      </c>
      <c r="D67" s="27">
        <f>IF($A67&gt;Inputs!$B$9,"",Combined_Fixed_Model!O24)</f>
        <v>21.777841622274842</v>
      </c>
      <c r="E67" s="27" t="str">
        <f>IF(OR($A67&gt;Inputs!$B$9,$A67&gt;5),"",Combined_Fixed_Model!P24)</f>
        <v/>
      </c>
      <c r="F67" s="27">
        <f>IF($A67&gt;Inputs!$B$9,"",Combined_Fixed_Model!Q24)</f>
        <v>23.164135983394729</v>
      </c>
      <c r="G67" s="27">
        <f>IF($A67&gt;Inputs!$B$9,"",Combined_Fixed_Model!R24)</f>
        <v>22.15145240584501</v>
      </c>
      <c r="H67" s="27">
        <f>IF($A67&gt;Inputs!$B$9,"",Combined_Fixed_Model!S24)</f>
        <v>39.855269442620113</v>
      </c>
      <c r="I67" s="27" t="str">
        <f>IF(OR($A67&gt;Inputs!$B$9,$A67&gt;5),"",Combined_Fixed_Model!T24)</f>
        <v/>
      </c>
      <c r="J67" s="27">
        <f>IF($A67&gt;Inputs!$B$9,"",Combined_Fixed_Model!U24)</f>
        <v>18.267898063945736</v>
      </c>
      <c r="K67" s="27">
        <f>IF($A67&gt;Inputs!$B$9,"",Combined_Fixed_Model!V24)</f>
        <v>7.6963040251722141</v>
      </c>
      <c r="L67" s="27">
        <f>IF($A67&gt;Inputs!$B$9,"",Combined_Fixed_Model!W24)</f>
        <v>25.393327186343896</v>
      </c>
      <c r="M67" s="27" t="str">
        <f>IF(OR($A67&gt;Inputs!$B$9,$A67&gt;5),"",Combined_Fixed_Model!X24)</f>
        <v/>
      </c>
    </row>
    <row r="68" spans="1:13">
      <c r="A68" s="3">
        <v>13</v>
      </c>
      <c r="B68" s="27">
        <f>IF($A68&gt;Inputs!$B$9,"",Combined_Fixed_Model!M25)</f>
        <v>21.55469807096063</v>
      </c>
      <c r="C68" s="27">
        <f>IF($A68&gt;Inputs!$B$9,"",Combined_Fixed_Model!N25)</f>
        <v>5.7983094414701908</v>
      </c>
      <c r="D68" s="27">
        <f>IF($A68&gt;Inputs!$B$9,"",Combined_Fixed_Model!O25)</f>
        <v>25.110046132450044</v>
      </c>
      <c r="E68" s="27" t="str">
        <f>IF(OR($A68&gt;Inputs!$B$9,$A68&gt;5),"",Combined_Fixed_Model!P25)</f>
        <v/>
      </c>
      <c r="F68" s="27">
        <f>IF($A68&gt;Inputs!$B$9,"",Combined_Fixed_Model!Q25)</f>
        <v>26.208658421118155</v>
      </c>
      <c r="G68" s="27">
        <f>IF($A68&gt;Inputs!$B$9,"",Combined_Fixed_Model!R25)</f>
        <v>24.279684111694277</v>
      </c>
      <c r="H68" s="27">
        <f>IF($A68&gt;Inputs!$B$9,"",Combined_Fixed_Model!S25)</f>
        <v>43.592939060903483</v>
      </c>
      <c r="I68" s="27" t="str">
        <f>IF(OR($A68&gt;Inputs!$B$9,$A68&gt;5),"",Combined_Fixed_Model!T25)</f>
        <v/>
      </c>
      <c r="J68" s="27">
        <f>IF($A68&gt;Inputs!$B$9,"",Combined_Fixed_Model!U25)</f>
        <v>22.485490140992134</v>
      </c>
      <c r="K68" s="27">
        <f>IF($A68&gt;Inputs!$B$9,"",Combined_Fixed_Model!V25)</f>
        <v>9.4945843755150072</v>
      </c>
      <c r="L68" s="27">
        <f>IF($A68&gt;Inputs!$B$9,"",Combined_Fixed_Model!W25)</f>
        <v>28.806624718140732</v>
      </c>
      <c r="M68" s="27" t="str">
        <f>IF(OR($A68&gt;Inputs!$B$9,$A68&gt;5),"",Combined_Fixed_Model!X25)</f>
        <v/>
      </c>
    </row>
    <row r="69" spans="1:13">
      <c r="A69" s="3">
        <v>14</v>
      </c>
      <c r="B69" s="27">
        <f>IF($A69&gt;Inputs!$B$9,"",Combined_Fixed_Model!M26)</f>
        <v>26.93459542450109</v>
      </c>
      <c r="C69" s="27">
        <f>IF($A69&gt;Inputs!$B$9,"",Combined_Fixed_Model!N26)</f>
        <v>8.0269688738599854</v>
      </c>
      <c r="D69" s="27">
        <f>IF($A69&gt;Inputs!$B$9,"",Combined_Fixed_Model!O26)</f>
        <v>28.949498445043353</v>
      </c>
      <c r="E69" s="27" t="str">
        <f>IF(OR($A69&gt;Inputs!$B$9,$A69&gt;5),"",Combined_Fixed_Model!P26)</f>
        <v/>
      </c>
      <c r="F69" s="27">
        <f>IF($A69&gt;Inputs!$B$9,"",Combined_Fixed_Model!Q26)</f>
        <v>29.642645625603301</v>
      </c>
      <c r="G69" s="27">
        <f>IF($A69&gt;Inputs!$B$9,"",Combined_Fixed_Model!R26)</f>
        <v>26.50969851185349</v>
      </c>
      <c r="H69" s="27">
        <f>IF($A69&gt;Inputs!$B$9,"",Combined_Fixed_Model!S26)</f>
        <v>47.432391373496792</v>
      </c>
      <c r="I69" s="27" t="str">
        <f>IF(OR($A69&gt;Inputs!$B$9,$A69&gt;5),"",Combined_Fixed_Model!T26)</f>
        <v/>
      </c>
      <c r="J69" s="27">
        <f>IF($A69&gt;Inputs!$B$9,"",Combined_Fixed_Model!U26)</f>
        <v>27.476205464721531</v>
      </c>
      <c r="K69" s="27">
        <f>IF($A69&gt;Inputs!$B$9,"",Combined_Fixed_Model!V26)</f>
        <v>11.723514801458684</v>
      </c>
      <c r="L69" s="27">
        <f>IF($A69&gt;Inputs!$B$9,"",Combined_Fixed_Model!W26)</f>
        <v>32.646077030734041</v>
      </c>
      <c r="M69" s="27" t="str">
        <f>IF(OR($A69&gt;Inputs!$B$9,$A69&gt;5),"",Combined_Fixed_Model!X26)</f>
        <v/>
      </c>
    </row>
    <row r="70" spans="1:13">
      <c r="A70" s="3">
        <v>15</v>
      </c>
      <c r="B70" s="27">
        <f>IF($A70&gt;Inputs!$B$9,"",Combined_Fixed_Model!M27)</f>
        <v>33.753519489776615</v>
      </c>
      <c r="C70" s="27">
        <f>IF($A70&gt;Inputs!$B$9,"",Combined_Fixed_Model!N27)</f>
        <v>11.221395408107893</v>
      </c>
      <c r="D70" s="27">
        <f>IF($A70&gt;Inputs!$B$9,"",Combined_Fixed_Model!O27)</f>
        <v>33.753519489776615</v>
      </c>
      <c r="E70" s="27" t="str">
        <f>IF(OR($A70&gt;Inputs!$B$9,$A70&gt;5),"",Combined_Fixed_Model!P27)</f>
        <v/>
      </c>
      <c r="F70" s="27">
        <f>IF($A70&gt;Inputs!$B$9,"",Combined_Fixed_Model!Q27)</f>
        <v>33.753519489776615</v>
      </c>
      <c r="G70" s="27">
        <f>IF($A70&gt;Inputs!$B$9,"",Combined_Fixed_Model!R27)</f>
        <v>29.0111344635927</v>
      </c>
      <c r="H70" s="27">
        <f>IF($A70&gt;Inputs!$B$9,"",Combined_Fixed_Model!S27)</f>
        <v>51.543265237670106</v>
      </c>
      <c r="I70" s="27" t="str">
        <f>IF(OR($A70&gt;Inputs!$B$9,$A70&gt;5),"",Combined_Fixed_Model!T27)</f>
        <v/>
      </c>
      <c r="J70" s="27">
        <f>IF($A70&gt;Inputs!$B$9,"",Combined_Fixed_Model!U27)</f>
        <v>33.753519489776615</v>
      </c>
      <c r="K70" s="27">
        <f>IF($A70&gt;Inputs!$B$9,"",Combined_Fixed_Model!V27)</f>
        <v>14.779343219204854</v>
      </c>
      <c r="L70" s="27">
        <f>IF($A70&gt;Inputs!$B$9,"",Combined_Fixed_Model!W27)</f>
        <v>37.311468639355311</v>
      </c>
      <c r="M70" s="27" t="str">
        <f>IF(OR($A70&gt;Inputs!$B$9,$A70&gt;5),"",Combined_Fixed_Model!X27)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Raw_Model</vt:lpstr>
      <vt:lpstr>Marginal_Model</vt:lpstr>
      <vt:lpstr>Combined_Model</vt:lpstr>
      <vt:lpstr>ReadMe</vt:lpstr>
      <vt:lpstr>Final_Tables</vt:lpstr>
      <vt:lpstr>Fixed_Opportunity</vt:lpstr>
      <vt:lpstr>Combined_Fixed_Model</vt:lpstr>
      <vt:lpstr>Final_Fixed_Tables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Jennings</cp:lastModifiedBy>
  <dcterms:modified xsi:type="dcterms:W3CDTF">2026-07-08T16:34:14Z</dcterms:modified>
</cp:coreProperties>
</file>