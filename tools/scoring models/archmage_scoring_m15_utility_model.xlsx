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03c6adf4a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654c1de59244f73"/>
    <x:sheet xmlns:r="http://schemas.openxmlformats.org/officeDocument/2006/relationships" name="Model_D1_m15" sheetId="2" r:id="Rdb4e702efe724ecd"/>
    <x:sheet xmlns:r="http://schemas.openxmlformats.org/officeDocument/2006/relationships" name="Model_D2_m15" sheetId="3" r:id="R39781e1d12c24fdd"/>
    <x:sheet xmlns:r="http://schemas.openxmlformats.org/officeDocument/2006/relationships" name="Final_Tables" sheetId="4" r:id="Rd886c4ea868c4b66"/>
    <x:sheet xmlns:r="http://schemas.openxmlformats.org/officeDocument/2006/relationships" name="ReadMe" sheetId="5" r:id="R3e0eaa50d52f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4B5563"/>
      </x:patternFill>
    </x:fill>
    <x:fill>
      <x:patternFill patternType="solid">
        <x:fgColor rgb="FF065F46"/>
      </x:patternFill>
    </x:fill>
    <x:fill>
      <x:patternFill patternType="solid">
        <x:fgColor rgb="FF92400E"/>
      </x:patternFill>
    </x:fill>
    <x:fill>
      <x:patternFill patternType="solid">
        <x:fgColor rgb="FF7C2D12"/>
      </x:patternFill>
    </x:fill>
    <x:fill>
      <x:patternFill patternType="solid">
        <x:fgColor rgb="FF1E40AF"/>
      </x:patternFill>
    </x:fill>
    <x:fill>
      <x:patternFill patternType="solid">
        <x:fgColor rgb="FF581C87"/>
      </x:patternFill>
    </x:fill>
    <x:fill>
      <x:patternFill patternType="solid">
        <x:fgColor rgb="FF7F1D1D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6B7280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2" fillId="14" borderId="0" xfId="0" applyNumberFormat="1" applyFont="1" applyFill="1" applyBorder="1"/>
    <x:xf numFmtId="0" fontId="2" fillId="14" borderId="1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d89da581b4bc5" /><Relationship Type="http://schemas.openxmlformats.org/officeDocument/2006/relationships/theme" Target="/xl/theme/theme1.xml" Id="R0553547e13a14982" /><Relationship Type="http://schemas.microsoft.com/office/2022/11/relationships/FeaturePropertyBag" Target="/xl/featurePropertyBag/featurePropertyBag.xml" Id="Rf8ae5176aaf347c9" /><Relationship Type="http://schemas.openxmlformats.org/officeDocument/2006/relationships/sharedStrings" Target="/xl/sharedStrings.xml" Id="R9e4cd4acf427405e" /><Relationship Type="http://schemas.openxmlformats.org/officeDocument/2006/relationships/worksheet" Target="/xl/worksheets/sheet1.xml" Id="R5654c1de59244f73" /><Relationship Type="http://schemas.openxmlformats.org/officeDocument/2006/relationships/worksheet" Target="/xl/worksheets/sheet2.xml" Id="Rdb4e702efe724ecd" /><Relationship Type="http://schemas.openxmlformats.org/officeDocument/2006/relationships/worksheet" Target="/xl/worksheets/sheet3.xml" Id="R39781e1d12c24fdd" /><Relationship Type="http://schemas.openxmlformats.org/officeDocument/2006/relationships/worksheet" Target="/xl/worksheets/sheet4.xml" Id="Rd886c4ea868c4b66" /><Relationship Type="http://schemas.openxmlformats.org/officeDocument/2006/relationships/worksheet" Target="/xl/worksheets/sheet5.xml" Id="R3e0eaa50d52f40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64" hidden="0" customWidth="1"/>
  </x:cols>
  <x:sheetData>
    <x:row r="1" ht="28" customHeight="1">
      <x:c r="A1" s="8" t="str">
        <x:v>Archmage scoring probability model — fixed m=15 + utility layer</x:v>
      </x:c>
      <x:c r="B1" s="8" t="str"/>
      <x:c r="C1" s="8" t="str"/>
      <x:c r="D1" s="8" t="str"/>
    </x:row>
    <x:row r="3">
      <x:c r="A3" s="12" t="str">
        <x:v>Parameter</x:v>
      </x:c>
      <x:c r="B3" s="12" t="str">
        <x:v>Value</x:v>
      </x:c>
      <x:c r="C3" s="12" t="str">
        <x:v>Name</x:v>
      </x:c>
      <x:c r="D3" s="12" t="str">
        <x:v>Notes</x:v>
      </x:c>
    </x:row>
    <x:row r="4">
      <x:c r="A4" s="14" t="str">
        <x:v>Ranks per energy</x:v>
      </x:c>
      <x:c r="B4" s="16" t="n">
        <x:v>15</x:v>
      </x:c>
      <x:c r="C4" t="str">
        <x:v>R</x:v>
      </x:c>
      <x:c r="D4" s="20" t="str">
        <x:v>Ranks are 1–15.</x:v>
      </x:c>
    </x:row>
    <x:row r="5">
      <x:c r="A5" s="14" t="str">
        <x:v>Fixed opportunity cards</x:v>
      </x:c>
      <x:c r="B5" s="16" t="n">
        <x:v>15</x:v>
      </x:c>
      <x:c r="C5" t="str">
        <x:v>m</x:v>
      </x:c>
      <x:c r="D5" s="20" t="str">
        <x:v>Fixed opportunity window used for all player counts; variable m removed.</x:v>
      </x:c>
    </x:row>
    <x:row r="6">
      <x:c r="A6" s="14" t="str">
        <x:v>Alpha: raw baseline weight</x:v>
      </x:c>
      <x:c r="B6" s="16" t="n">
        <x:v>0.8</x:v>
      </x:c>
      <x:c r="C6" t="str">
        <x:v>alpha</x:v>
      </x:c>
      <x:c r="D6" s="20" t="str">
        <x:v>Baseline = alpha × fixed-opportunity difficulty + (1-alpha) × marginal-build difficulty.</x:v>
      </x:c>
    </x:row>
    <x:row r="7">
      <x:c r="A7" s="14" t="str">
        <x:v>Lambda: utility weight</x:v>
      </x:c>
      <x:c r="B7" s="16" t="n">
        <x:v>0.25</x:v>
      </x:c>
      <x:c r="C7" t="str">
        <x:v>lambda</x:v>
      </x:c>
      <x:c r="D7" s="20" t="str">
        <x:v>Converts utility units into difficulty discount/penalty.</x:v>
      </x:c>
    </x:row>
    <x:row r="8">
      <x:c r="A8" s="14" t="str">
        <x:v>Mu: role-incentive weight</x:v>
      </x:c>
      <x:c r="B8" s="16" t="n">
        <x:v>1</x:v>
      </x:c>
      <x:c r="C8" t="str">
        <x:v>mu</x:v>
      </x:c>
      <x:c r="D8" s="20" t="str">
        <x:v>Converts role incentives into difficulty/score uplift.</x:v>
      </x:c>
    </x:row>
    <x:row r="9">
      <x:c r="A9" s="14" t="str">
        <x:v>Score scale</x:v>
      </x:c>
      <x:c r="B9" s="16" t="n">
        <x:v>2</x:v>
      </x:c>
      <x:c r="C9" t="str">
        <x:v>score_scale</x:v>
      </x:c>
      <x:c r="D9" s="20" t="str">
        <x:v>Adjusted unrounded score = adjusted difficulty × this scale.</x:v>
      </x:c>
    </x:row>
    <x:row r="10">
      <x:c r="A10" s="14" t="str">
        <x:v>Expected utility horizon</x:v>
      </x:c>
      <x:c r="B10" s="16" t="n">
        <x:v>3</x:v>
      </x:c>
      <x:c r="C10" t="str">
        <x:v>horizon</x:v>
      </x:c>
      <x:c r="D10" s="20" t="str">
        <x:v>Rough expected number of turns/casts where utility matters after a spell is available.</x:v>
      </x:c>
    </x:row>
    <x:row r="11">
      <x:c r="A11" s="14" t="str">
        <x:v>Conjuration cast rate</x:v>
      </x:c>
      <x:c r="B11" s="16" t="n">
        <x:v>0.7</x:v>
      </x:c>
      <x:c r="C11" t="str">
        <x:v>c_cast_rate</x:v>
      </x:c>
      <x:c r="D11" s="20" t="str">
        <x:v>Expected fraction of turns a Conjuration is used if available.</x:v>
      </x:c>
    </x:row>
    <x:row r="12">
      <x:c r="A12" s="14" t="str">
        <x:v>Transfiguration cast rate</x:v>
      </x:c>
      <x:c r="B12" s="16" t="n">
        <x:v>0.45</x:v>
      </x:c>
      <x:c r="C12" t="str">
        <x:v>t_cast_rate</x:v>
      </x:c>
      <x:c r="D12" s="20" t="str">
        <x:v>Expected fraction of turns a Transfiguration is used if available.</x:v>
      </x:c>
    </x:row>
    <x:row r="13">
      <x:c r="A13" s="14" t="str">
        <x:v>PT cast rate</x:v>
      </x:c>
      <x:c r="B13" s="16" t="n">
        <x:v>0.35</x:v>
      </x:c>
      <x:c r="C13" t="str">
        <x:v>pt_cast_rate</x:v>
      </x:c>
      <x:c r="D13" s="20" t="str">
        <x:v>Expected fraction of turns a PT is used if available.</x:v>
      </x:c>
    </x:row>
    <x:row r="14">
      <x:c r="A14" s="14" t="str">
        <x:v>Card draw value</x:v>
      </x:c>
      <x:c r="B14" s="16" t="n">
        <x:v>0.75</x:v>
      </x:c>
      <x:c r="C14" t="str">
        <x:v>draw_value</x:v>
      </x:c>
      <x:c r="D14" s="20" t="str">
        <x:v>Utility value of drawing one extra card.</x:v>
      </x:c>
    </x:row>
    <x:row r="15">
      <x:c r="A15" s="14" t="str">
        <x:v>Clock penalty per source draw</x:v>
      </x:c>
      <x:c r="B15" s="16" t="n">
        <x:v>0.3</x:v>
      </x:c>
      <x:c r="C15" t="str">
        <x:v>clock_penalty</x:v>
      </x:c>
      <x:c r="D15" s="20" t="str">
        <x:v>Penalty because extra Source draws accelerate the Drought.</x:v>
      </x:c>
    </x:row>
    <x:row r="16">
      <x:c r="A16" s="14" t="str">
        <x:v>Array exchange value</x:v>
      </x:c>
      <x:c r="B16" s="16" t="n">
        <x:v>0.45</x:v>
      </x:c>
      <x:c r="C16" t="str">
        <x:v>exchange_value</x:v>
      </x:c>
      <x:c r="D16" s="20" t="str">
        <x:v>Utility of selecting from the Array.</x:v>
      </x:c>
    </x:row>
    <x:row r="17">
      <x:c r="A17" s="14" t="str">
        <x:v>T friction/cost at size 3</x:v>
      </x:c>
      <x:c r="B17" s="16" t="n">
        <x:v>0.7</x:v>
      </x:c>
      <x:c r="C17" t="str">
        <x:v>t_friction_3</x:v>
      </x:c>
      <x:c r="D17" s="20" t="str">
        <x:v>Models hand-material/friction cost of 3T exchange, not a mandatory-cast claim.</x:v>
      </x:c>
    </x:row>
    <x:row r="18">
      <x:c r="A18" s="14" t="str">
        <x:v>T friction/cost at size 4+</x:v>
      </x:c>
      <x:c r="B18" s="16" t="n">
        <x:v>0.4</x:v>
      </x:c>
      <x:c r="C18" t="str">
        <x:v>t_friction_4plus</x:v>
      </x:c>
      <x:c r="D18" s="20" t="str">
        <x:v>Models lower exchange friction for 4+ T.</x:v>
      </x:c>
    </x:row>
    <x:row r="19">
      <x:c r="A19" s="14" t="str">
        <x:v>T role incentive base</x:v>
      </x:c>
      <x:c r="B19" s="16" t="n">
        <x:v>1.2</x:v>
      </x:c>
      <x:c r="C19" t="str">
        <x:v>t_role_base</x:v>
      </x:c>
      <x:c r="D19" s="20" t="str">
        <x:v>Positive score-shaping uplift to encourage Transfiguration.</x:v>
      </x:c>
    </x:row>
    <x:row r="20">
      <x:c r="A20" s="14" t="str">
        <x:v>T role incentive size growth</x:v>
      </x:c>
      <x:c r="B20" s="16" t="n">
        <x:v>0.8</x:v>
      </x:c>
      <x:c r="C20" t="str">
        <x:v>t_role_growth</x:v>
      </x:c>
      <x:c r="D20" s="20" t="str">
        <x:v>Additional T uplift from size 3 to size 15.</x:v>
      </x:c>
    </x:row>
    <x:row r="21">
      <x:c r="A21" s="14" t="str">
        <x:v>PT utility multiplier</x:v>
      </x:c>
      <x:c r="B21" s="16" t="n">
        <x:v>0.65</x:v>
      </x:c>
      <x:c r="C21" t="str">
        <x:v>pt_mult</x:v>
      </x:c>
      <x:c r="D21" s="20" t="str">
        <x:v>PT utility is discounted because it is harder to assemble/exploit repeatedly.</x:v>
      </x:c>
    </x:row>
    <x:row r="22">
      <x:c r="A22" s="14" t="str">
        <x:v>Capacity counter value</x:v>
      </x:c>
      <x:c r="B22" s="16" t="n">
        <x:v>0.65</x:v>
      </x:c>
      <x:c r="C22" t="str">
        <x:v>capacity_value</x:v>
      </x:c>
      <x:c r="D22" s="20" t="str">
        <x:v>Value of one extra capacity counter per utility horizon unit.</x:v>
      </x:c>
    </x:row>
    <x:row r="23">
      <x:c r="A23" s="14" t="str">
        <x:v>Capacity realization rate</x:v>
      </x:c>
      <x:c r="B23" s="16" t="n">
        <x:v>0.8</x:v>
      </x:c>
      <x:c r="C23" t="str">
        <x:v>capacity_rate</x:v>
      </x:c>
      <x:c r="D23" s="20" t="str">
        <x:v>Fraction of theoretical capacity that turns into real useful actions/casts.</x:v>
      </x:c>
    </x:row>
    <x:row r="24">
      <x:c r="A24" s="14" t="str">
        <x:v>Enchantment capacity gain size 3</x:v>
      </x:c>
      <x:c r="B24" s="16" t="n">
        <x:v>1</x:v>
      </x:c>
      <x:c r="C24" t="str">
        <x:v>e3_gain</x:v>
      </x:c>
      <x:c r="D24" s="20" t="str">
        <x:v>New ladder assumption.</x:v>
      </x:c>
    </x:row>
    <x:row r="25">
      <x:c r="A25" s="14" t="str">
        <x:v>Enchantment capacity gain size 4</x:v>
      </x:c>
      <x:c r="B25" s="16" t="n">
        <x:v>3</x:v>
      </x:c>
      <x:c r="C25" t="str">
        <x:v>e4_gain</x:v>
      </x:c>
      <x:c r="D25" s="20" t="str">
        <x:v>New ladder assumption.</x:v>
      </x:c>
    </x:row>
    <x:row r="26">
      <x:c r="A26" s="14" t="str">
        <x:v>Enchantment capacity gain size 5</x:v>
      </x:c>
      <x:c r="B26" s="16" t="n">
        <x:v>5</x:v>
      </x:c>
      <x:c r="C26" t="str">
        <x:v>e5_gain</x:v>
      </x:c>
      <x:c r="D26" s="20" t="str">
        <x:v>Set to 4 here if +5 proves too strong.</x:v>
      </x:c>
    </x:row>
    <x:row r="27">
      <x:c r="A27" s="14" t="str">
        <x:v>Force 15PT = 15C</x:v>
      </x:c>
      <x:c r="B27" s="17" t="b">
        <x:v>1</x:v>
      </x:c>
      <x:c r="C27" t="str">
        <x:v>identity_15</x:v>
      </x:c>
      <x:c r="D27" s="20" t="str">
        <x:v>Keeps the same final object from receiving two different final adjusted values.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</x:cols>
  <x:sheetData>
    <x:row r="1" ht="26" customHeight="1">
      <x:c r="A1" s="24" t="str">
        <x:v>Deck 1 (4×15 = 60): fixed m=15 model with utility layer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</x:row>
    <x:row r="2">
      <x:c r="A2" s="28" t="str">
        <x:v>Energies</x:v>
      </x:c>
      <x:c r="B2" s="28" t="n">
        <x:v>4</x:v>
      </x:c>
      <x:c r="C2" s="28" t="str">
        <x:v>Deck cards</x:v>
      </x:c>
      <x:c r="D2" s="28" t="n">
        <x:f>Inputs!$B$4*B2</x:f>
        <x:v>60</x:v>
      </x:c>
    </x:row>
    <x:row r="3" ht="34" customHeight="1">
      <x:c r="A3" s="34" t="str">
        <x:v>Size</x:v>
      </x:c>
      <x:c r="B3" s="40" t="str">
        <x:v>Count C</x:v>
      </x:c>
      <x:c r="C3" s="40" t="str">
        <x:v>Count T</x:v>
      </x:c>
      <x:c r="D3" s="40" t="str">
        <x:v>Count PT</x:v>
      </x:c>
      <x:c r="E3" s="40" t="str">
        <x:v>Count E</x:v>
      </x:c>
      <x:c r="F3" s="42" t="str">
        <x:v>P C</x:v>
      </x:c>
      <x:c r="G3" s="42" t="str">
        <x:v>P T</x:v>
      </x:c>
      <x:c r="H3" s="42" t="str">
        <x:v>P PT</x:v>
      </x:c>
      <x:c r="I3" s="42" t="str">
        <x:v>P E</x:v>
      </x:c>
      <x:c r="J3" s="44" t="str">
        <x:v>RawDiff C</x:v>
      </x:c>
      <x:c r="K3" s="44" t="str">
        <x:v>RawDiff T</x:v>
      </x:c>
      <x:c r="L3" s="44" t="str">
        <x:v>RawDiff PT</x:v>
      </x:c>
      <x:c r="M3" s="44" t="str">
        <x:v>RawDiff E</x:v>
      </x:c>
      <x:c r="N3" s="46" t="str">
        <x:v>MargDiff C</x:v>
      </x:c>
      <x:c r="O3" s="46" t="str">
        <x:v>MargDiff T</x:v>
      </x:c>
      <x:c r="P3" s="46" t="str">
        <x:v>MargDiff PT</x:v>
      </x:c>
      <x:c r="Q3" s="46" t="str">
        <x:v>MargDiff E</x:v>
      </x:c>
      <x:c r="R3" s="48" t="str">
        <x:v>Baseline C</x:v>
      </x:c>
      <x:c r="S3" s="48" t="str">
        <x:v>Baseline T</x:v>
      </x:c>
      <x:c r="T3" s="48" t="str">
        <x:v>Baseline PT</x:v>
      </x:c>
      <x:c r="U3" s="48" t="str">
        <x:v>Baseline E</x:v>
      </x:c>
      <x:c r="V3" s="50" t="str">
        <x:v>Utility C</x:v>
      </x:c>
      <x:c r="W3" s="50" t="str">
        <x:v>Utility T</x:v>
      </x:c>
      <x:c r="X3" s="50" t="str">
        <x:v>Utility PT</x:v>
      </x:c>
      <x:c r="Y3" s="50" t="str">
        <x:v>Utility E</x:v>
      </x:c>
      <x:c r="Z3" s="52" t="str">
        <x:v>Role C</x:v>
      </x:c>
      <x:c r="AA3" s="52" t="str">
        <x:v>Role T</x:v>
      </x:c>
      <x:c r="AB3" s="52" t="str">
        <x:v>Role PT</x:v>
      </x:c>
      <x:c r="AC3" s="52" t="str">
        <x:v>Role E</x:v>
      </x:c>
      <x:c r="AD3" s="54" t="str">
        <x:v>AdjDiff C</x:v>
      </x:c>
      <x:c r="AE3" s="54" t="str">
        <x:v>AdjDiff T</x:v>
      </x:c>
      <x:c r="AF3" s="54" t="str">
        <x:v>AdjDiff PT</x:v>
      </x:c>
      <x:c r="AG3" s="54" t="str">
        <x:v>AdjDiff E</x:v>
      </x:c>
      <x:c r="AH3" s="56" t="str">
        <x:v>AdjScore C</x:v>
      </x:c>
      <x:c r="AI3" s="56" t="str">
        <x:v>AdjScore T</x:v>
      </x:c>
      <x:c r="AJ3" s="56" t="str">
        <x:v>AdjScore PT</x:v>
      </x:c>
      <x:c r="AK3" s="56" t="str">
        <x:v>AdjScore E</x:v>
      </x:c>
    </x:row>
    <x:row r="4">
      <x:c r="A4" t="n">
        <x:v>3</x:v>
      </x:c>
      <x:c r="B4" s="36" t="n">
        <x:f>$B$2*COMBIN(Inputs!$B$4,$A4)</x:f>
        <x:v>1820</x:v>
      </x:c>
      <x:c r="C4" s="36" t="n">
        <x:f>(Inputs!$B$4-$A4+1)*($B$2^$A4)</x:f>
        <x:v>832</x:v>
      </x:c>
      <x:c r="D4" s="36" t="n">
        <x:f>$B$2*(Inputs!$B$4-$A4+1)</x:f>
        <x:v>52</x:v>
      </x:c>
      <x:c r="E4" s="36" t="n">
        <x:f>IF($A4&lt;=$B$2,Inputs!$B$4*COMBIN($B$2,$A4),"")</x:f>
        <x:v>60</x:v>
      </x:c>
      <x:c r="F4" s="38" t="n">
        <x:f>IF(OR(B4="",Inputs!$B$5&lt;$A4),"",IF((B4*COMBIN($D$2-$A4,Inputs!$B$5-$A4)/COMBIN($D$2,Inputs!$B$5))&lt;1E-8,(B4*COMBIN($D$2-$A4,Inputs!$B$5-$A4)/COMBIN($D$2,Inputs!$B$5)),1-EXP(-(B4*COMBIN($D$2-$A4,Inputs!$B$5-$A4)/COMBIN($D$2,Inputs!$B$5)))))</x:f>
        <x:v>0.9999999999690701</x:v>
      </x:c>
      <x:c r="G4" s="38" t="n">
        <x:f>IF(OR(C4="",Inputs!$B$5&lt;$A4),"",IF((C4*COMBIN($D$2-$A4,Inputs!$B$5-$A4)/COMBIN($D$2,Inputs!$B$5))&lt;1E-8,(C4*COMBIN($D$2-$A4,Inputs!$B$5-$A4)/COMBIN($D$2,Inputs!$B$5)),1-EXP(-(C4*COMBIN($D$2-$A4,Inputs!$B$5-$A4)/COMBIN($D$2,Inputs!$B$5)))))</x:f>
        <x:v>0.9999843107772183</x:v>
      </x:c>
      <x:c r="H4" s="38" t="n">
        <x:f>IF(OR(D4="",Inputs!$B$5&lt;$A4),"",IF((D4*COMBIN($D$2-$A4,Inputs!$B$5-$A4)/COMBIN($D$2,Inputs!$B$5))&lt;1E-8,(D4*COMBIN($D$2-$A4,Inputs!$B$5-$A4)/COMBIN($D$2,Inputs!$B$5)),1-EXP(-(D4*COMBIN($D$2-$A4,Inputs!$B$5-$A4)/COMBIN($D$2,Inputs!$B$5)))))</x:f>
        <x:v>0.4991299200688545</x:v>
      </x:c>
      <x:c r="I4" s="38" t="n">
        <x:f>IF(OR(E4="",Inputs!$B$5&lt;$A4),"",IF((E4*COMBIN($D$2-$A4,Inputs!$B$5-$A4)/COMBIN($D$2,Inputs!$B$5))&lt;1E-8,(E4*COMBIN($D$2-$A4,Inputs!$B$5-$A4)/COMBIN($D$2,Inputs!$B$5)),1-EXP(-(E4*COMBIN($D$2-$A4,Inputs!$B$5-$A4)/COMBIN($D$2,Inputs!$B$5)))))</x:f>
        <x:v>0.5496720016770371</x:v>
      </x:c>
      <x:c r="J4" s="16" t="n">
        <x:f>IF(OR(B4="",Inputs!$B$5&lt;$A4),"",IF((B4*COMBIN($D$2-$A4,Inputs!$B$5-$A4)/COMBIN($D$2,Inputs!$B$5))&lt;1E-8,-LN((B4*COMBIN($D$2-$A4,Inputs!$B$5-$A4)/COMBIN($D$2,Inputs!$B$5))),-LN(1-EXP(-(B4*COMBIN($D$2-$A4,Inputs!$B$5-$A4)/COMBIN($D$2,Inputs!$B$5))))))</x:f>
        <x:v>3.092992528811549e-11</x:v>
      </x:c>
      <x:c r="K4" s="16" t="n">
        <x:f>IF(OR(C4="",Inputs!$B$5&lt;$A4),"",IF((C4*COMBIN($D$2-$A4,Inputs!$B$5-$A4)/COMBIN($D$2,Inputs!$B$5))&lt;1E-8,-LN((C4*COMBIN($D$2-$A4,Inputs!$B$5-$A4)/COMBIN($D$2,Inputs!$B$5))),-LN(1-EXP(-(C4*COMBIN($D$2-$A4,Inputs!$B$5-$A4)/COMBIN($D$2,Inputs!$B$5))))))</x:f>
        <x:v>0.000015689345858865983</x:v>
      </x:c>
      <x:c r="L4" s="16" t="n">
        <x:f>IF(OR(D4="",Inputs!$B$5&lt;$A4),"",IF((D4*COMBIN($D$2-$A4,Inputs!$B$5-$A4)/COMBIN($D$2,Inputs!$B$5))&lt;1E-8,-LN((D4*COMBIN($D$2-$A4,Inputs!$B$5-$A4)/COMBIN($D$2,Inputs!$B$5))),-LN(1-EXP(-(D4*COMBIN($D$2-$A4,Inputs!$B$5-$A4)/COMBIN($D$2,Inputs!$B$5))))))</x:f>
        <x:v>0.6948888562591972</x:v>
      </x:c>
      <x:c r="M4" s="16" t="n">
        <x:f>IF(OR(E4="",Inputs!$B$5&lt;$A4),"",IF((E4*COMBIN($D$2-$A4,Inputs!$B$5-$A4)/COMBIN($D$2,Inputs!$B$5))&lt;1E-8,-LN((E4*COMBIN($D$2-$A4,Inputs!$B$5-$A4)/COMBIN($D$2,Inputs!$B$5))),-LN(1-EXP(-(E4*COMBIN($D$2-$A4,Inputs!$B$5-$A4)/COMBIN($D$2,Inputs!$B$5))))))</x:f>
        <x:v>0.5984335392365301</x:v>
      </x:c>
      <x:c r="N4" s="16" t="n">
        <x:f>J4</x:f>
        <x:v>3.092992528811549e-11</x:v>
      </x:c>
      <x:c r="O4" s="16" t="n">
        <x:f>K4</x:f>
        <x:v>0.000015689345858865983</x:v>
      </x:c>
      <x:c r="P4" s="16" t="n">
        <x:f>L4</x:f>
        <x:v>0.6948888562591972</x:v>
      </x:c>
      <x:c r="Q4" s="16" t="n">
        <x:f>M4</x:f>
        <x:v>0.5984335392365301</x:v>
      </x:c>
      <x:c r="R4" s="16" t="n">
        <x:f>IF(J4&lt;&gt;"",Inputs!$B$6*J4+(1-Inputs!$B$6)*N4,"")</x:f>
        <x:v>3.092992528811549e-11</x:v>
      </x:c>
      <x:c r="S4" s="16" t="n">
        <x:f>IF(K4&lt;&gt;"",Inputs!$B$6*K4+(1-Inputs!$B$6)*O4,"")</x:f>
        <x:v>0.000015689345858865983</x:v>
      </x:c>
      <x:c r="T4" s="16" t="n">
        <x:f>IF(L4&lt;&gt;"",Inputs!$B$6*L4+(1-Inputs!$B$6)*P4,"")</x:f>
        <x:v>0.6948888562591972</x:v>
      </x:c>
      <x:c r="U4" s="16" t="n">
        <x:f>IF(M4&lt;&gt;"",Inputs!$B$6*M4+(1-Inputs!$B$6)*Q4,"")</x:f>
        <x:v>0.5984335392365301</x:v>
      </x:c>
      <x:c r="V4" s="16" t="n">
        <x:f>Inputs!$B$10*Inputs!$B$11*(IF($A4&lt;=5,1,2))*(Inputs!$B$14-Inputs!$B$15)</x:f>
        <x:v>0.9449999999999998</x:v>
      </x:c>
      <x:c r="W4" s="16" t="n">
        <x:f>Inputs!$B$10*Inputs!$B$12*(Inputs!$B$16-IF($A4=3,Inputs!$B$17,Inputs!$B$18))</x:f>
        <x:v>-0.33749999999999997</x:v>
      </x:c>
      <x:c r="X4" s="16" t="n">
        <x:f>Inputs!$B$10*Inputs!$B$13*Inputs!$B$21*(((IF($A4&lt;=5,1,2))*(Inputs!$B$14-Inputs!$B$15))+Inputs!$B$16-IF($A4=3,Inputs!$B$17,Inputs!$B$18))</x:f>
        <x:v>0.1365</x:v>
      </x:c>
      <x:c r="Y4" s="16" t="n">
        <x:f>IF(ISNUMBER(M4),Inputs!$B$10*Inputs!$B$23*Inputs!$B$22*IF($A4=3,Inputs!$B$24,IF($A4=4,Inputs!$B$25,IF($A4=5,Inputs!$B$26,""))),"")</x:f>
        <x:v>1.5600000000000003</x:v>
      </x:c>
      <x:c r="Z4" s="16" t="n">
        <x:f>0</x:f>
        <x:v>0</x:v>
      </x:c>
      <x:c r="AA4" s="16" t="n">
        <x:f>Inputs!$B$19+Inputs!$B$20*(($A4-3)/(Inputs!$B$4-3))</x:f>
        <x:v>1.2</x:v>
      </x:c>
      <x:c r="AB4" s="16" t="n">
        <x:f>0</x:f>
        <x:v>0</x:v>
      </x:c>
      <x:c r="AC4" s="16" t="n">
        <x:f>0</x:f>
        <x:v>0</x:v>
      </x:c>
      <x:c r="AD4" s="16" t="n">
        <x:f>IF(R4&lt;&gt;"",R4-Inputs!$B$7*V4+Inputs!$B$8*Z4,"")</x:f>
        <x:v>-0.23624999996907003</x:v>
      </x:c>
      <x:c r="AE4" s="16" t="n">
        <x:f>IF(S4&lt;&gt;"",S4-Inputs!$B$7*W4+Inputs!$B$8*AA4,"")</x:f>
        <x:v>1.2843906893458588</x:v>
      </x:c>
      <x:c r="AF4" s="16" t="n">
        <x:f>IF(T4&lt;&gt;"",T4-Inputs!$B$7*X4+Inputs!$B$8*AB4,"")</x:f>
        <x:v>0.6607638562591972</x:v>
      </x:c>
      <x:c r="AG4" s="16" t="n">
        <x:f>IF(U4&lt;&gt;"",U4-Inputs!$B$7*Y4+Inputs!$B$8*AC4,"")</x:f>
        <x:v>0.20843353923653002</x:v>
      </x:c>
      <x:c r="AH4" s="16" t="n">
        <x:f>IF(AD4&lt;&gt;"",MAX(0,AD4*Inputs!$B$9),"")</x:f>
        <x:v>0</x:v>
      </x:c>
      <x:c r="AI4" s="16" t="n">
        <x:f>IF(AE4&lt;&gt;"",MAX(0,AE4*Inputs!$B$9),"")</x:f>
        <x:v>2.5687813786917175</x:v>
      </x:c>
      <x:c r="AJ4" s="16" t="n">
        <x:f>IF(AF4&lt;&gt;"",MAX(0,AF4*Inputs!$B$9),"")</x:f>
        <x:v>1.3215277125183944</x:v>
      </x:c>
      <x:c r="AK4" s="16" t="n">
        <x:f>IF(AG4&lt;&gt;"",MAX(0,AG4*Inputs!$B$9),"")</x:f>
        <x:v>0.41686707847306004</x:v>
      </x:c>
    </x:row>
    <x:row r="5">
      <x:c r="A5" t="n">
        <x:v>4</x:v>
      </x:c>
      <x:c r="B5" s="36" t="n">
        <x:f>$B$2*COMBIN(Inputs!$B$4,$A5)</x:f>
        <x:v>5460</x:v>
      </x:c>
      <x:c r="C5" s="36" t="n">
        <x:f>(Inputs!$B$4-$A5+1)*($B$2^$A5)</x:f>
        <x:v>3072</x:v>
      </x:c>
      <x:c r="D5" s="36" t="n">
        <x:f>$B$2*(Inputs!$B$4-$A5+1)</x:f>
        <x:v>48</x:v>
      </x:c>
      <x:c r="E5" s="36" t="n">
        <x:f>IF($A5&lt;=$B$2,Inputs!$B$4*COMBIN($B$2,$A5),"")</x:f>
        <x:v>15</x:v>
      </x:c>
      <x:c r="F5" s="38" t="n">
        <x:f>IF(OR(B5="",Inputs!$B$5&lt;$A5),"",IF((B5*COMBIN($D$2-$A5,Inputs!$B$5-$A5)/COMBIN($D$2,Inputs!$B$5))&lt;1E-8,(B5*COMBIN($D$2-$A5,Inputs!$B$5-$A5)/COMBIN($D$2,Inputs!$B$5)),1-EXP(-(B5*COMBIN($D$2-$A5,Inputs!$B$5-$A5)/COMBIN($D$2,Inputs!$B$5)))))</x:f>
        <x:v>0.9999997696734084</x:v>
      </x:c>
      <x:c r="G5" s="38" t="n">
        <x:f>IF(OR(C5="",Inputs!$B$5&lt;$A5),"",IF((C5*COMBIN($D$2-$A5,Inputs!$B$5-$A5)/COMBIN($D$2,Inputs!$B$5))&lt;1E-8,(C5*COMBIN($D$2-$A5,Inputs!$B$5-$A5)/COMBIN($D$2,Inputs!$B$5)),1-EXP(-(C5*COMBIN($D$2-$A5,Inputs!$B$5-$A5)/COMBIN($D$2,Inputs!$B$5)))))</x:f>
        <x:v>0.9998157503041983</x:v>
      </x:c>
      <x:c r="H5" s="38" t="n">
        <x:f>IF(OR(D5="",Inputs!$B$5&lt;$A5),"",IF((D5*COMBIN($D$2-$A5,Inputs!$B$5-$A5)/COMBIN($D$2,Inputs!$B$5))&lt;1E-8,(D5*COMBIN($D$2-$A5,Inputs!$B$5-$A5)/COMBIN($D$2,Inputs!$B$5)),1-EXP(-(D5*COMBIN($D$2-$A5,Inputs!$B$5-$A5)/COMBIN($D$2,Inputs!$B$5)))))</x:f>
        <x:v>0.12572717198852157</x:v>
      </x:c>
      <x:c r="I5" s="38" t="n">
        <x:f>IF(OR(E5="",Inputs!$B$5&lt;$A5),"",IF((E5*COMBIN($D$2-$A5,Inputs!$B$5-$A5)/COMBIN($D$2,Inputs!$B$5))&lt;1E-8,(E5*COMBIN($D$2-$A5,Inputs!$B$5-$A5)/COMBIN($D$2,Inputs!$B$5)),1-EXP(-(E5*COMBIN($D$2-$A5,Inputs!$B$5-$A5)/COMBIN($D$2,Inputs!$B$5)))))</x:f>
        <x:v>0.04111907005705551</x:v>
      </x:c>
      <x:c r="J5" s="16" t="n">
        <x:f>IF(OR(B5="",Inputs!$B$5&lt;$A5),"",IF((B5*COMBIN($D$2-$A5,Inputs!$B$5-$A5)/COMBIN($D$2,Inputs!$B$5))&lt;1E-8,-LN((B5*COMBIN($D$2-$A5,Inputs!$B$5-$A5)/COMBIN($D$2,Inputs!$B$5))),-LN(1-EXP(-(B5*COMBIN($D$2-$A5,Inputs!$B$5-$A5)/COMBIN($D$2,Inputs!$B$5))))))</x:f>
        <x:v>2.303266181022415e-7</x:v>
      </x:c>
      <x:c r="K5" s="16" t="n">
        <x:f>IF(OR(C5="",Inputs!$B$5&lt;$A5),"",IF((C5*COMBIN($D$2-$A5,Inputs!$B$5-$A5)/COMBIN($D$2,Inputs!$B$5))&lt;1E-8,-LN((C5*COMBIN($D$2-$A5,Inputs!$B$5-$A5)/COMBIN($D$2,Inputs!$B$5))),-LN(1-EXP(-(C5*COMBIN($D$2-$A5,Inputs!$B$5-$A5)/COMBIN($D$2,Inputs!$B$5))))))</x:f>
        <x:v>0.0001842666718621199</x:v>
      </x:c>
      <x:c r="L5" s="16" t="n">
        <x:f>IF(OR(D5="",Inputs!$B$5&lt;$A5),"",IF((D5*COMBIN($D$2-$A5,Inputs!$B$5-$A5)/COMBIN($D$2,Inputs!$B$5))&lt;1E-8,-LN((D5*COMBIN($D$2-$A5,Inputs!$B$5-$A5)/COMBIN($D$2,Inputs!$B$5))),-LN(1-EXP(-(D5*COMBIN($D$2-$A5,Inputs!$B$5-$A5)/COMBIN($D$2,Inputs!$B$5))))))</x:f>
        <x:v>2.073641021364272</x:v>
      </x:c>
      <x:c r="M5" s="16" t="n">
        <x:f>IF(OR(E5="",Inputs!$B$5&lt;$A5),"",IF((E5*COMBIN($D$2-$A5,Inputs!$B$5-$A5)/COMBIN($D$2,Inputs!$B$5))&lt;1E-8,-LN((E5*COMBIN($D$2-$A5,Inputs!$B$5-$A5)/COMBIN($D$2,Inputs!$B$5))),-LN(1-EXP(-(E5*COMBIN($D$2-$A5,Inputs!$B$5-$A5)/COMBIN($D$2,Inputs!$B$5))))))</x:f>
        <x:v>3.191283273434939</x:v>
      </x:c>
      <x:c r="N5" s="16" t="n">
        <x:f>N4+(-LN((Inputs!$B$4-($A5-1))/($D$2-($A5-1))))</x:f>
        <x:v>1.5581446180774798</x:v>
      </x:c>
      <x:c r="O5" s="16" t="n">
        <x:f>O4+((MAX(Inputs!$B$4-($A5-1)-1,0))/(Inputs!$B$4-($A5-1)+1))*(-LN((2*$B$2)/($D$2-($A5-1))))+(2/(Inputs!$B$4-($A5-1)+1))*(-LN($B$2/($D$2-($A5-1))))</x:f>
        <x:v>2.0702634432790266</x:v>
      </x:c>
      <x:c r="P5" s="16" t="n">
        <x:f>P4+((MAX(Inputs!$B$4-($A5-1)-1,0))/(Inputs!$B$4-($A5-1)+1))*(-LN(2/($D$2-($A5-1))))+(2/(Inputs!$B$4-($A5-1)+1))*(-LN(1/($D$2-($A5-1))))</x:f>
        <x:v>4.151430971312255</x:v>
      </x:c>
      <x:c r="Q5" s="16" t="n">
        <x:f>IF($A5&gt;$B$2,"",Q4+(-LN(($B$2-($A5-1))/($D$2-($A5-1)))))</x:f>
        <x:v>4.64148480707108</x:v>
      </x:c>
      <x:c r="R5" s="16" t="n">
        <x:f>IF(J5&lt;&gt;"",Inputs!$B$6*J5+(1-Inputs!$B$6)*N5,"")</x:f>
        <x:v>0.3116291078767904</x:v>
      </x:c>
      <x:c r="S5" s="16" t="n">
        <x:f>IF(K5&lt;&gt;"",Inputs!$B$6*K5+(1-Inputs!$B$6)*O5,"")</x:f>
        <x:v>0.41420010199329493</x:v>
      </x:c>
      <x:c r="T5" s="16" t="n">
        <x:f>IF(L5&lt;&gt;"",Inputs!$B$6*L5+(1-Inputs!$B$6)*P5,"")</x:f>
        <x:v>2.4891990113538682</x:v>
      </x:c>
      <x:c r="U5" s="16" t="n">
        <x:f>IF(M5&lt;&gt;"",Inputs!$B$6*M5+(1-Inputs!$B$6)*Q5,"")</x:f>
        <x:v>3.4813235801621674</x:v>
      </x:c>
      <x:c r="V5" s="16" t="n">
        <x:f>Inputs!$B$10*Inputs!$B$11*(IF($A5&lt;=5,1,2))*(Inputs!$B$14-Inputs!$B$15)</x:f>
        <x:v>0.9449999999999998</x:v>
      </x:c>
      <x:c r="W5" s="16" t="n">
        <x:f>Inputs!$B$10*Inputs!$B$12*(Inputs!$B$16-IF($A5=3,Inputs!$B$17,Inputs!$B$18))</x:f>
        <x:v>0.06749999999999999</x:v>
      </x:c>
      <x:c r="X5" s="16" t="n">
        <x:f>Inputs!$B$10*Inputs!$B$13*Inputs!$B$21*(((IF($A5&lt;=5,1,2))*(Inputs!$B$14-Inputs!$B$15))+Inputs!$B$16-IF($A5=3,Inputs!$B$17,Inputs!$B$18))</x:f>
        <x:v>0.34124999999999994</x:v>
      </x:c>
      <x:c r="Y5" s="16" t="n">
        <x:f>IF(ISNUMBER(M5),Inputs!$B$10*Inputs!$B$23*Inputs!$B$22*IF($A5=3,Inputs!$B$24,IF($A5=4,Inputs!$B$25,IF($A5=5,Inputs!$B$26,""))),"")</x:f>
        <x:v>4.680000000000001</x:v>
      </x:c>
      <x:c r="Z5" s="16" t="n">
        <x:f>0</x:f>
        <x:v>0</x:v>
      </x:c>
      <x:c r="AA5" s="16" t="n">
        <x:f>Inputs!$B$19+Inputs!$B$20*(($A5-3)/(Inputs!$B$4-3))</x:f>
        <x:v>1.2666666666666666</x:v>
      </x:c>
      <x:c r="AB5" s="16" t="n">
        <x:f>0</x:f>
        <x:v>0</x:v>
      </x:c>
      <x:c r="AC5" s="16" t="n">
        <x:f>0</x:f>
        <x:v>0</x:v>
      </x:c>
      <x:c r="AD5" s="16" t="n">
        <x:f>IF(R5&lt;&gt;"",R5-Inputs!$B$7*V5+Inputs!$B$8*Z5,"")</x:f>
        <x:v>0.07537910787679042</x:v>
      </x:c>
      <x:c r="AE5" s="16" t="n">
        <x:f>IF(S5&lt;&gt;"",S5-Inputs!$B$7*W5+Inputs!$B$8*AA5,"")</x:f>
        <x:v>1.6639917686599617</x:v>
      </x:c>
      <x:c r="AF5" s="16" t="n">
        <x:f>IF(T5&lt;&gt;"",T5-Inputs!$B$7*X5+Inputs!$B$8*AB5,"")</x:f>
        <x:v>2.403886511353868</x:v>
      </x:c>
      <x:c r="AG5" s="16" t="n">
        <x:f>IF(U5&lt;&gt;"",U5-Inputs!$B$7*Y5+Inputs!$B$8*AC5,"")</x:f>
        <x:v>2.311323580162167</x:v>
      </x:c>
      <x:c r="AH5" s="16" t="n">
        <x:f>IF(AD5&lt;&gt;"",MAX(0,AD5*Inputs!$B$9),"")</x:f>
        <x:v>0.15075821575358084</x:v>
      </x:c>
      <x:c r="AI5" s="16" t="n">
        <x:f>IF(AE5&lt;&gt;"",MAX(0,AE5*Inputs!$B$9),"")</x:f>
        <x:v>3.3279835373199234</x:v>
      </x:c>
      <x:c r="AJ5" s="16" t="n">
        <x:f>IF(AF5&lt;&gt;"",MAX(0,AF5*Inputs!$B$9),"")</x:f>
        <x:v>4.807773022707736</x:v>
      </x:c>
      <x:c r="AK5" s="16" t="n">
        <x:f>IF(AG5&lt;&gt;"",MAX(0,AG5*Inputs!$B$9),"")</x:f>
        <x:v>4.622647160324334</x:v>
      </x:c>
    </x:row>
    <x:row r="6">
      <x:c r="A6" t="n">
        <x:v>5</x:v>
      </x:c>
      <x:c r="B6" s="36" t="n">
        <x:f>$B$2*COMBIN(Inputs!$B$4,$A6)</x:f>
        <x:v>12012</x:v>
      </x:c>
      <x:c r="C6" s="36" t="n">
        <x:f>(Inputs!$B$4-$A6+1)*($B$2^$A6)</x:f>
        <x:v>11264</x:v>
      </x:c>
      <x:c r="D6" s="36" t="n">
        <x:f>$B$2*(Inputs!$B$4-$A6+1)</x:f>
        <x:v>44</x:v>
      </x:c>
      <x:c r="E6" s="36" t="str">
        <x:f>IF($A6&lt;=$B$2,Inputs!$B$4*COMBIN($B$2,$A6),"")</x:f>
      </x:c>
      <x:c r="F6" s="38" t="n">
        <x:f>IF(OR(B6="",Inputs!$B$5&lt;$A6),"",IF((B6*COMBIN($D$2-$A6,Inputs!$B$5-$A6)/COMBIN($D$2,Inputs!$B$5))&lt;1E-8,(B6*COMBIN($D$2-$A6,Inputs!$B$5-$A6)/COMBIN($D$2,Inputs!$B$5)),1-EXP(-(B6*COMBIN($D$2-$A6,Inputs!$B$5-$A6)/COMBIN($D$2,Inputs!$B$5)))))</x:f>
        <x:v>0.9986461068020209</x:v>
      </x:c>
      <x:c r="G6" s="38" t="n">
        <x:f>IF(OR(C6="",Inputs!$B$5&lt;$A6),"",IF((C6*COMBIN($D$2-$A6,Inputs!$B$5-$A6)/COMBIN($D$2,Inputs!$B$5))&lt;1E-8,(C6*COMBIN($D$2-$A6,Inputs!$B$5-$A6)/COMBIN($D$2,Inputs!$B$5)),1-EXP(-(C6*COMBIN($D$2-$A6,Inputs!$B$5-$A6)/COMBIN($D$2,Inputs!$B$5)))))</x:f>
        <x:v>0.9979573042167466</x:v>
      </x:c>
      <x:c r="H6" s="38" t="n">
        <x:f>IF(OR(D6="",Inputs!$B$5&lt;$A6),"",IF((D6*COMBIN($D$2-$A6,Inputs!$B$5-$A6)/COMBIN($D$2,Inputs!$B$5))&lt;1E-8,(D6*COMBIN($D$2-$A6,Inputs!$B$5-$A6)/COMBIN($D$2,Inputs!$B$5)),1-EXP(-(D6*COMBIN($D$2-$A6,Inputs!$B$5-$A6)/COMBIN($D$2,Inputs!$B$5)))))</x:f>
        <x:v>0.023902988340820053</x:v>
      </x:c>
      <x:c r="I6" s="38" t="str">
        <x:f>IF(OR(E6="",Inputs!$B$5&lt;$A6),"",IF((E6*COMBIN($D$2-$A6,Inputs!$B$5-$A6)/COMBIN($D$2,Inputs!$B$5))&lt;1E-8,(E6*COMBIN($D$2-$A6,Inputs!$B$5-$A6)/COMBIN($D$2,Inputs!$B$5)),1-EXP(-(E6*COMBIN($D$2-$A6,Inputs!$B$5-$A6)/COMBIN($D$2,Inputs!$B$5)))))</x:f>
      </x:c>
      <x:c r="J6" s="16" t="n">
        <x:f>IF(OR(B6="",Inputs!$B$5&lt;$A6),"",IF((B6*COMBIN($D$2-$A6,Inputs!$B$5-$A6)/COMBIN($D$2,Inputs!$B$5))&lt;1E-8,-LN((B6*COMBIN($D$2-$A6,Inputs!$B$5-$A6)/COMBIN($D$2,Inputs!$B$5))),-LN(1-EXP(-(B6*COMBIN($D$2-$A6,Inputs!$B$5-$A6)/COMBIN($D$2,Inputs!$B$5))))))</x:f>
        <x:v>0.001354810539456582</x:v>
      </x:c>
      <x:c r="K6" s="16" t="n">
        <x:f>IF(OR(C6="",Inputs!$B$5&lt;$A6),"",IF((C6*COMBIN($D$2-$A6,Inputs!$B$5-$A6)/COMBIN($D$2,Inputs!$B$5))&lt;1E-8,-LN((C6*COMBIN($D$2-$A6,Inputs!$B$5-$A6)/COMBIN($D$2,Inputs!$B$5))),-LN(1-EXP(-(C6*COMBIN($D$2-$A6,Inputs!$B$5-$A6)/COMBIN($D$2,Inputs!$B$5))))))</x:f>
        <x:v>0.0020447849317662948</x:v>
      </x:c>
      <x:c r="L6" s="16" t="n">
        <x:f>IF(OR(D6="",Inputs!$B$5&lt;$A6),"",IF((D6*COMBIN($D$2-$A6,Inputs!$B$5-$A6)/COMBIN($D$2,Inputs!$B$5))&lt;1E-8,-LN((D6*COMBIN($D$2-$A6,Inputs!$B$5-$A6)/COMBIN($D$2,Inputs!$B$5))),-LN(1-EXP(-(D6*COMBIN($D$2-$A6,Inputs!$B$5-$A6)/COMBIN($D$2,Inputs!$B$5))))))</x:f>
        <x:v>3.7337517926801636</x:v>
      </x:c>
      <x:c r="M6" s="16" t="str">
        <x:f>IF(OR(E6="",Inputs!$B$5&lt;$A6),"",IF((E6*COMBIN($D$2-$A6,Inputs!$B$5-$A6)/COMBIN($D$2,Inputs!$B$5))&lt;1E-8,-LN((E6*COMBIN($D$2-$A6,Inputs!$B$5-$A6)/COMBIN($D$2,Inputs!$B$5))),-LN(1-EXP(-(E6*COMBIN($D$2-$A6,Inputs!$B$5-$A6)/COMBIN($D$2,Inputs!$B$5))))))</x:f>
      </x:c>
      <x:c r="N6" s="16" t="n">
        <x:f>N5+(-LN((Inputs!$B$4-($A6-1))/($D$2-($A6-1))))</x:f>
        <x:v>3.1856010360142584</x:v>
      </x:c>
      <x:c r="O6" s="16" t="n">
        <x:f>O5+((MAX(Inputs!$B$4-($A6-1)-1,0))/(Inputs!$B$4-($A6-1)+1))*(-LN((2*$B$2)/($D$2-($A6-1))))+(2/(Inputs!$B$4-($A6-1)+1))*(-LN($B$2/($D$2-($A6-1))))</x:f>
        <x:v>4.1316981224276645</x:v>
      </x:c>
      <x:c r="P6" s="16" t="n">
        <x:f>P5+((MAX(Inputs!$B$4-($A6-1)-1,0))/(Inputs!$B$4-($A6-1)+1))*(-LN(2/($D$2-($A6-1))))+(2/(Inputs!$B$4-($A6-1)+1))*(-LN(1/($D$2-($A6-1))))</x:f>
        <x:v>7.599160011580783</x:v>
      </x:c>
      <x:c r="Q6" s="16" t="str">
        <x:f>IF($A6&gt;$B$2,"",Q5+(-LN(($B$2-($A6-1))/($D$2-($A6-1)))))</x:f>
      </x:c>
      <x:c r="R6" s="16" t="n">
        <x:f>IF(J6&lt;&gt;"",Inputs!$B$6*J6+(1-Inputs!$B$6)*N6,"")</x:f>
        <x:v>0.6382040556344168</x:v>
      </x:c>
      <x:c r="S6" s="16" t="n">
        <x:f>IF(K6&lt;&gt;"",Inputs!$B$6*K6+(1-Inputs!$B$6)*O6,"")</x:f>
        <x:v>0.8279754524309458</x:v>
      </x:c>
      <x:c r="T6" s="16" t="n">
        <x:f>IF(L6&lt;&gt;"",Inputs!$B$6*L6+(1-Inputs!$B$6)*P6,"")</x:f>
        <x:v>4.506833436460287</x:v>
      </x:c>
      <x:c r="U6" s="16" t="str">
        <x:f>IF(M6&lt;&gt;"",Inputs!$B$6*M6+(1-Inputs!$B$6)*Q6,"")</x:f>
      </x:c>
      <x:c r="V6" s="16" t="n">
        <x:f>Inputs!$B$10*Inputs!$B$11*(IF($A6&lt;=5,1,2))*(Inputs!$B$14-Inputs!$B$15)</x:f>
        <x:v>0.9449999999999998</x:v>
      </x:c>
      <x:c r="W6" s="16" t="n">
        <x:f>Inputs!$B$10*Inputs!$B$12*(Inputs!$B$16-IF($A6=3,Inputs!$B$17,Inputs!$B$18))</x:f>
        <x:v>0.06749999999999999</x:v>
      </x:c>
      <x:c r="X6" s="16" t="n">
        <x:f>Inputs!$B$10*Inputs!$B$13*Inputs!$B$21*(((IF($A6&lt;=5,1,2))*(Inputs!$B$14-Inputs!$B$15))+Inputs!$B$16-IF($A6=3,Inputs!$B$17,Inputs!$B$18))</x:f>
        <x:v>0.34124999999999994</x:v>
      </x:c>
      <x:c r="Y6" s="16" t="str">
        <x:f>IF(ISNUMBER(M6),Inputs!$B$10*Inputs!$B$23*Inputs!$B$22*IF($A6=3,Inputs!$B$24,IF($A6=4,Inputs!$B$25,IF($A6=5,Inputs!$B$26,""))),"")</x:f>
      </x:c>
      <x:c r="Z6" s="16" t="n">
        <x:f>0</x:f>
        <x:v>0</x:v>
      </x:c>
      <x:c r="AA6" s="16" t="n">
        <x:f>Inputs!$B$19+Inputs!$B$20*(($A6-3)/(Inputs!$B$4-3))</x:f>
        <x:v>1.3333333333333333</x:v>
      </x:c>
      <x:c r="AB6" s="16" t="n">
        <x:f>0</x:f>
        <x:v>0</x:v>
      </x:c>
      <x:c r="AC6" s="16" t="n">
        <x:f>0</x:f>
        <x:v>0</x:v>
      </x:c>
      <x:c r="AD6" s="16" t="n">
        <x:f>IF(R6&lt;&gt;"",R6-Inputs!$B$7*V6+Inputs!$B$8*Z6,"")</x:f>
        <x:v>0.4019540556344169</x:v>
      </x:c>
      <x:c r="AE6" s="16" t="n">
        <x:f>IF(S6&lt;&gt;"",S6-Inputs!$B$7*W6+Inputs!$B$8*AA6,"")</x:f>
        <x:v>2.1444337857642792</x:v>
      </x:c>
      <x:c r="AF6" s="16" t="n">
        <x:f>IF(T6&lt;&gt;"",T6-Inputs!$B$7*X6+Inputs!$B$8*AB6,"")</x:f>
        <x:v>4.421520936460287</x:v>
      </x:c>
      <x:c r="AG6" s="16" t="str">
        <x:f>IF(U6&lt;&gt;"",U6-Inputs!$B$7*Y6+Inputs!$B$8*AC6,"")</x:f>
      </x:c>
      <x:c r="AH6" s="16" t="n">
        <x:f>IF(AD6&lt;&gt;"",MAX(0,AD6*Inputs!$B$9),"")</x:f>
        <x:v>0.8039081112688338</x:v>
      </x:c>
      <x:c r="AI6" s="16" t="n">
        <x:f>IF(AE6&lt;&gt;"",MAX(0,AE6*Inputs!$B$9),"")</x:f>
        <x:v>4.2888675715285585</x:v>
      </x:c>
      <x:c r="AJ6" s="16" t="n">
        <x:f>IF(AF6&lt;&gt;"",MAX(0,AF6*Inputs!$B$9),"")</x:f>
        <x:v>8.843041872920574</x:v>
      </x:c>
      <x:c r="AK6" s="16" t="str">
        <x:f>IF(AG6&lt;&gt;"",MAX(0,AG6*Inputs!$B$9),"")</x:f>
      </x:c>
    </x:row>
    <x:row r="7">
      <x:c r="A7" t="n">
        <x:v>6</x:v>
      </x:c>
      <x:c r="B7" s="36" t="n">
        <x:f>$B$2*COMBIN(Inputs!$B$4,$A7)</x:f>
        <x:v>20020</x:v>
      </x:c>
      <x:c r="C7" s="36" t="n">
        <x:f>(Inputs!$B$4-$A7+1)*($B$2^$A7)</x:f>
        <x:v>40960</x:v>
      </x:c>
      <x:c r="D7" s="36" t="n">
        <x:f>$B$2*(Inputs!$B$4-$A7+1)</x:f>
        <x:v>40</x:v>
      </x:c>
      <x:c r="E7" s="36" t="str">
        <x:f>IF($A7&lt;=$B$2,Inputs!$B$4*COMBIN($B$2,$A7),"")</x:f>
      </x:c>
      <x:c r="F7" s="38" t="n">
        <x:f>IF(OR(B7="",Inputs!$B$5&lt;$A7),"",IF((B7*COMBIN($D$2-$A7,Inputs!$B$5-$A7)/COMBIN($D$2,Inputs!$B$5))&lt;1E-8,(B7*COMBIN($D$2-$A7,Inputs!$B$5-$A7)/COMBIN($D$2,Inputs!$B$5)),1-EXP(-(B7*COMBIN($D$2-$A7,Inputs!$B$5-$A7)/COMBIN($D$2,Inputs!$B$5)))))</x:f>
        <x:v>0.8648602368496081</x:v>
      </x:c>
      <x:c r="G7" s="38" t="n">
        <x:f>IF(OR(C7="",Inputs!$B$5&lt;$A7),"",IF((C7*COMBIN($D$2-$A7,Inputs!$B$5-$A7)/COMBIN($D$2,Inputs!$B$5))&lt;1E-8,(C7*COMBIN($D$2-$A7,Inputs!$B$5-$A7)/COMBIN($D$2,Inputs!$B$5)),1-EXP(-(C7*COMBIN($D$2-$A7,Inputs!$B$5-$A7)/COMBIN($D$2,Inputs!$B$5)))))</x:f>
        <x:v>0.9833420223155155</x:v>
      </x:c>
      <x:c r="H7" s="38" t="n">
        <x:f>IF(OR(D7="",Inputs!$B$5&lt;$A7),"",IF((D7*COMBIN($D$2-$A7,Inputs!$B$5-$A7)/COMBIN($D$2,Inputs!$B$5))&lt;1E-8,(D7*COMBIN($D$2-$A7,Inputs!$B$5-$A7)/COMBIN($D$2,Inputs!$B$5)),1-EXP(-(D7*COMBIN($D$2-$A7,Inputs!$B$5-$A7)/COMBIN($D$2,Inputs!$B$5)))))</x:f>
        <x:v>0.003990907690446077</x:v>
      </x:c>
      <x:c r="I7" s="38" t="str">
        <x:f>IF(OR(E7="",Inputs!$B$5&lt;$A7),"",IF((E7*COMBIN($D$2-$A7,Inputs!$B$5-$A7)/COMBIN($D$2,Inputs!$B$5))&lt;1E-8,(E7*COMBIN($D$2-$A7,Inputs!$B$5-$A7)/COMBIN($D$2,Inputs!$B$5)),1-EXP(-(E7*COMBIN($D$2-$A7,Inputs!$B$5-$A7)/COMBIN($D$2,Inputs!$B$5)))))</x:f>
      </x:c>
      <x:c r="J7" s="16" t="n">
        <x:f>IF(OR(B7="",Inputs!$B$5&lt;$A7),"",IF((B7*COMBIN($D$2-$A7,Inputs!$B$5-$A7)/COMBIN($D$2,Inputs!$B$5))&lt;1E-8,-LN((B7*COMBIN($D$2-$A7,Inputs!$B$5-$A7)/COMBIN($D$2,Inputs!$B$5))),-LN(1-EXP(-(B7*COMBIN($D$2-$A7,Inputs!$B$5-$A7)/COMBIN($D$2,Inputs!$B$5))))))</x:f>
        <x:v>0.14518736100145593</x:v>
      </x:c>
      <x:c r="K7" s="16" t="n">
        <x:f>IF(OR(C7="",Inputs!$B$5&lt;$A7),"",IF((C7*COMBIN($D$2-$A7,Inputs!$B$5-$A7)/COMBIN($D$2,Inputs!$B$5))&lt;1E-8,-LN((C7*COMBIN($D$2-$A7,Inputs!$B$5-$A7)/COMBIN($D$2,Inputs!$B$5))),-LN(1-EXP(-(C7*COMBIN($D$2-$A7,Inputs!$B$5-$A7)/COMBIN($D$2,Inputs!$B$5))))))</x:f>
        <x:v>0.016798282102354095</x:v>
      </x:c>
      <x:c r="L7" s="16" t="n">
        <x:f>IF(OR(D7="",Inputs!$B$5&lt;$A7),"",IF((D7*COMBIN($D$2-$A7,Inputs!$B$5-$A7)/COMBIN($D$2,Inputs!$B$5))&lt;1E-8,-LN((D7*COMBIN($D$2-$A7,Inputs!$B$5-$A7)/COMBIN($D$2,Inputs!$B$5))),-LN(1-EXP(-(D7*COMBIN($D$2-$A7,Inputs!$B$5-$A7)/COMBIN($D$2,Inputs!$B$5))))))</x:f>
        <x:v>5.523736582612727</x:v>
      </x:c>
      <x:c r="M7" s="16" t="str">
        <x:f>IF(OR(E7="",Inputs!$B$5&lt;$A7),"",IF((E7*COMBIN($D$2-$A7,Inputs!$B$5-$A7)/COMBIN($D$2,Inputs!$B$5))&lt;1E-8,-LN((E7*COMBIN($D$2-$A7,Inputs!$B$5-$A7)/COMBIN($D$2,Inputs!$B$5))),-LN(1-EXP(-(E7*COMBIN($D$2-$A7,Inputs!$B$5-$A7)/COMBIN($D$2,Inputs!$B$5))))))</x:f>
      </x:c>
      <x:c r="N7" s="16" t="n">
        <x:f>N6+(-LN((Inputs!$B$4-($A7-1))/($D$2-($A7-1))))</x:f>
        <x:v>4.890349128252684</x:v>
      </x:c>
      <x:c r="O7" s="16" t="n">
        <x:f>O6+((MAX(Inputs!$B$4-($A7-1)-1,0))/(Inputs!$B$4-($A7-1)+1))*(-LN((2*$B$2)/($D$2-($A7-1))))+(2/(Inputs!$B$4-($A7-1)+1))*(-LN($B$2/($D$2-($A7-1))))</x:f>
        <x:v>6.185616526082108</x:v>
      </x:c>
      <x:c r="P7" s="16" t="n">
        <x:f>P6+((MAX(Inputs!$B$4-($A7-1)-1,0))/(Inputs!$B$4-($A7-1)+1))*(-LN(2/($D$2-($A7-1))))+(2/(Inputs!$B$4-($A7-1)+1))*(-LN(1/($D$2-($A7-1))))</x:f>
        <x:v>11.039372776355117</x:v>
      </x:c>
      <x:c r="Q7" s="16" t="str">
        <x:f>IF($A7&gt;$B$2,"",Q6+(-LN(($B$2-($A7-1))/($D$2-($A7-1)))))</x:f>
      </x:c>
      <x:c r="R7" s="16" t="n">
        <x:f>IF(J7&lt;&gt;"",Inputs!$B$6*J7+(1-Inputs!$B$6)*N7,"")</x:f>
        <x:v>1.0942197144517012</x:v>
      </x:c>
      <x:c r="S7" s="16" t="n">
        <x:f>IF(K7&lt;&gt;"",Inputs!$B$6*K7+(1-Inputs!$B$6)*O7,"")</x:f>
        <x:v>1.2505619308983047</x:v>
      </x:c>
      <x:c r="T7" s="16" t="n">
        <x:f>IF(L7&lt;&gt;"",Inputs!$B$6*L7+(1-Inputs!$B$6)*P7,"")</x:f>
        <x:v>6.626863821361205</x:v>
      </x:c>
      <x:c r="U7" s="16" t="str">
        <x:f>IF(M7&lt;&gt;"",Inputs!$B$6*M7+(1-Inputs!$B$6)*Q7,"")</x:f>
      </x:c>
      <x:c r="V7" s="16" t="n">
        <x:f>Inputs!$B$10*Inputs!$B$11*(IF($A7&lt;=5,1,2))*(Inputs!$B$14-Inputs!$B$15)</x:f>
        <x:v>1.8899999999999997</x:v>
      </x:c>
      <x:c r="W7" s="16" t="n">
        <x:f>Inputs!$B$10*Inputs!$B$12*(Inputs!$B$16-IF($A7=3,Inputs!$B$17,Inputs!$B$18))</x:f>
        <x:v>0.06749999999999999</x:v>
      </x:c>
      <x:c r="X7" s="16" t="n">
        <x:f>Inputs!$B$10*Inputs!$B$13*Inputs!$B$21*(((IF($A7&lt;=5,1,2))*(Inputs!$B$14-Inputs!$B$15))+Inputs!$B$16-IF($A7=3,Inputs!$B$17,Inputs!$B$18))</x:f>
        <x:v>0.6483749999999999</x:v>
      </x:c>
      <x:c r="Y7" s="16" t="str">
        <x:f>IF(ISNUMBER(M7),Inputs!$B$10*Inputs!$B$23*Inputs!$B$22*IF($A7=3,Inputs!$B$24,IF($A7=4,Inputs!$B$25,IF($A7=5,Inputs!$B$26,""))),"")</x:f>
      </x:c>
      <x:c r="Z7" s="16" t="n">
        <x:f>0</x:f>
        <x:v>0</x:v>
      </x:c>
      <x:c r="AA7" s="16" t="n">
        <x:f>Inputs!$B$19+Inputs!$B$20*(($A7-3)/(Inputs!$B$4-3))</x:f>
        <x:v>1.4</x:v>
      </x:c>
      <x:c r="AB7" s="16" t="n">
        <x:f>0</x:f>
        <x:v>0</x:v>
      </x:c>
      <x:c r="AC7" s="16" t="n">
        <x:f>0</x:f>
        <x:v>0</x:v>
      </x:c>
      <x:c r="AD7" s="16" t="n">
        <x:f>IF(R7&lt;&gt;"",R7-Inputs!$B$7*V7+Inputs!$B$8*Z7,"")</x:f>
        <x:v>0.6217197144517013</x:v>
      </x:c>
      <x:c r="AE7" s="16" t="n">
        <x:f>IF(S7&lt;&gt;"",S7-Inputs!$B$7*W7+Inputs!$B$8*AA7,"")</x:f>
        <x:v>2.6336869308983046</x:v>
      </x:c>
      <x:c r="AF7" s="16" t="n">
        <x:f>IF(T7&lt;&gt;"",T7-Inputs!$B$7*X7+Inputs!$B$8*AB7,"")</x:f>
        <x:v>6.464770071361205</x:v>
      </x:c>
      <x:c r="AG7" s="16" t="str">
        <x:f>IF(U7&lt;&gt;"",U7-Inputs!$B$7*Y7+Inputs!$B$8*AC7,"")</x:f>
      </x:c>
      <x:c r="AH7" s="16" t="n">
        <x:f>IF(AD7&lt;&gt;"",MAX(0,AD7*Inputs!$B$9),"")</x:f>
        <x:v>1.2434394289034025</x:v>
      </x:c>
      <x:c r="AI7" s="16" t="n">
        <x:f>IF(AE7&lt;&gt;"",MAX(0,AE7*Inputs!$B$9),"")</x:f>
        <x:v>5.267373861796609</x:v>
      </x:c>
      <x:c r="AJ7" s="16" t="n">
        <x:f>IF(AF7&lt;&gt;"",MAX(0,AF7*Inputs!$B$9),"")</x:f>
        <x:v>12.92954014272241</x:v>
      </x:c>
      <x:c r="AK7" s="16" t="str">
        <x:f>IF(AG7&lt;&gt;"",MAX(0,AG7*Inputs!$B$9),"")</x:f>
      </x:c>
    </x:row>
    <x:row r="8">
      <x:c r="A8" t="n">
        <x:v>7</x:v>
      </x:c>
      <x:c r="B8" s="36" t="n">
        <x:f>$B$2*COMBIN(Inputs!$B$4,$A8)</x:f>
        <x:v>25740</x:v>
      </x:c>
      <x:c r="C8" s="36" t="n">
        <x:f>(Inputs!$B$4-$A8+1)*($B$2^$A8)</x:f>
        <x:v>147456</x:v>
      </x:c>
      <x:c r="D8" s="36" t="n">
        <x:f>$B$2*(Inputs!$B$4-$A8+1)</x:f>
        <x:v>36</x:v>
      </x:c>
      <x:c r="E8" s="36" t="str">
        <x:f>IF($A8&lt;=$B$2,Inputs!$B$4*COMBIN($B$2,$A8),"")</x:f>
      </x:c>
      <x:c r="F8" s="38" t="n">
        <x:f>IF(OR(B8="",Inputs!$B$5&lt;$A8),"",IF((B8*COMBIN($D$2-$A8,Inputs!$B$5-$A8)/COMBIN($D$2,Inputs!$B$5))&lt;1E-8,(B8*COMBIN($D$2-$A8,Inputs!$B$5-$A8)/COMBIN($D$2,Inputs!$B$5)),1-EXP(-(B8*COMBIN($D$2-$A8,Inputs!$B$5-$A8)/COMBIN($D$2,Inputs!$B$5)))))</x:f>
        <x:v>0.3487627298429187</x:v>
      </x:c>
      <x:c r="G8" s="38" t="n">
        <x:f>IF(OR(C8="",Inputs!$B$5&lt;$A8),"",IF((C8*COMBIN($D$2-$A8,Inputs!$B$5-$A8)/COMBIN($D$2,Inputs!$B$5))&lt;1E-8,(C8*COMBIN($D$2-$A8,Inputs!$B$5-$A8)/COMBIN($D$2,Inputs!$B$5)),1-EXP(-(C8*COMBIN($D$2-$A8,Inputs!$B$5-$A8)/COMBIN($D$2,Inputs!$B$5)))))</x:f>
        <x:v>0.9143014713603892</x:v>
      </x:c>
      <x:c r="H8" s="38" t="n">
        <x:f>IF(OR(D8="",Inputs!$B$5&lt;$A8),"",IF((D8*COMBIN($D$2-$A8,Inputs!$B$5-$A8)/COMBIN($D$2,Inputs!$B$5))&lt;1E-8,(D8*COMBIN($D$2-$A8,Inputs!$B$5-$A8)/COMBIN($D$2,Inputs!$B$5)),1-EXP(-(D8*COMBIN($D$2-$A8,Inputs!$B$5-$A8)/COMBIN($D$2,Inputs!$B$5)))))</x:f>
        <x:v>0.0005996540277685147</x:v>
      </x:c>
      <x:c r="I8" s="38" t="str">
        <x:f>IF(OR(E8="",Inputs!$B$5&lt;$A8),"",IF((E8*COMBIN($D$2-$A8,Inputs!$B$5-$A8)/COMBIN($D$2,Inputs!$B$5))&lt;1E-8,(E8*COMBIN($D$2-$A8,Inputs!$B$5-$A8)/COMBIN($D$2,Inputs!$B$5)),1-EXP(-(E8*COMBIN($D$2-$A8,Inputs!$B$5-$A8)/COMBIN($D$2,Inputs!$B$5)))))</x:f>
      </x:c>
      <x:c r="J8" s="16" t="n">
        <x:f>IF(OR(B8="",Inputs!$B$5&lt;$A8),"",IF((B8*COMBIN($D$2-$A8,Inputs!$B$5-$A8)/COMBIN($D$2,Inputs!$B$5))&lt;1E-8,-LN((B8*COMBIN($D$2-$A8,Inputs!$B$5-$A8)/COMBIN($D$2,Inputs!$B$5))),-LN(1-EXP(-(B8*COMBIN($D$2-$A8,Inputs!$B$5-$A8)/COMBIN($D$2,Inputs!$B$5))))))</x:f>
        <x:v>1.0533634451710172</x:v>
      </x:c>
      <x:c r="K8" s="16" t="n">
        <x:f>IF(OR(C8="",Inputs!$B$5&lt;$A8),"",IF((C8*COMBIN($D$2-$A8,Inputs!$B$5-$A8)/COMBIN($D$2,Inputs!$B$5))&lt;1E-8,-LN((C8*COMBIN($D$2-$A8,Inputs!$B$5-$A8)/COMBIN($D$2,Inputs!$B$5))),-LN(1-EXP(-(C8*COMBIN($D$2-$A8,Inputs!$B$5-$A8)/COMBIN($D$2,Inputs!$B$5))))))</x:f>
        <x:v>0.08959492453777029</x:v>
      </x:c>
      <x:c r="L8" s="16" t="n">
        <x:f>IF(OR(D8="",Inputs!$B$5&lt;$A8),"",IF((D8*COMBIN($D$2-$A8,Inputs!$B$5-$A8)/COMBIN($D$2,Inputs!$B$5))&lt;1E-8,-LN((D8*COMBIN($D$2-$A8,Inputs!$B$5-$A8)/COMBIN($D$2,Inputs!$B$5))),-LN(1-EXP(-(D8*COMBIN($D$2-$A8,Inputs!$B$5-$A8)/COMBIN($D$2,Inputs!$B$5))))))</x:f>
        <x:v>7.419157689443406</x:v>
      </x:c>
      <x:c r="M8" s="16" t="str">
        <x:f>IF(OR(E8="",Inputs!$B$5&lt;$A8),"",IF((E8*COMBIN($D$2-$A8,Inputs!$B$5-$A8)/COMBIN($D$2,Inputs!$B$5))&lt;1E-8,-LN((E8*COMBIN($D$2-$A8,Inputs!$B$5-$A8)/COMBIN($D$2,Inputs!$B$5))),-LN(1-EXP(-(E8*COMBIN($D$2-$A8,Inputs!$B$5-$A8)/COMBIN($D$2,Inputs!$B$5))))))</x:f>
      </x:c>
      <x:c r="N8" s="16" t="n">
        <x:f>N7+(-LN((Inputs!$B$4-($A8-1))/($D$2-($A8-1))))</x:f>
        <x:v>6.682108597480738</x:v>
      </x:c>
      <x:c r="O8" s="16" t="n">
        <x:f>O7+((MAX(Inputs!$B$4-($A8-1)-1,0))/(Inputs!$B$4-($A8-1)+1))*(-LN((2*$B$2)/($D$2-($A8-1))))+(2/(Inputs!$B$4-($A8-1)+1))*(-LN($B$2/($D$2-($A8-1))))</x:f>
        <x:v>8.233788467078536</x:v>
      </x:c>
      <x:c r="P8" s="16" t="n">
        <x:f>P7+((MAX(Inputs!$B$4-($A8-1)-1,0))/(Inputs!$B$4-($A8-1)+1))*(-LN(2/($D$2-($A8-1))))+(2/(Inputs!$B$4-($A8-1)+1))*(-LN(1/($D$2-($A8-1))))</x:f>
        <x:v>14.473839078471435</x:v>
      </x:c>
      <x:c r="Q8" s="16" t="str">
        <x:f>IF($A8&gt;$B$2,"",Q7+(-LN(($B$2-($A8-1))/($D$2-($A8-1)))))</x:f>
      </x:c>
      <x:c r="R8" s="16" t="n">
        <x:f>IF(J8&lt;&gt;"",Inputs!$B$6*J8+(1-Inputs!$B$6)*N8,"")</x:f>
        <x:v>2.1791124756329614</x:v>
      </x:c>
      <x:c r="S8" s="16" t="n">
        <x:f>IF(K8&lt;&gt;"",Inputs!$B$6*K8+(1-Inputs!$B$6)*O8,"")</x:f>
        <x:v>1.7184336330459231</x:v>
      </x:c>
      <x:c r="T8" s="16" t="n">
        <x:f>IF(L8&lt;&gt;"",Inputs!$B$6*L8+(1-Inputs!$B$6)*P8,"")</x:f>
        <x:v>8.830093967249011</x:v>
      </x:c>
      <x:c r="U8" s="16" t="str">
        <x:f>IF(M8&lt;&gt;"",Inputs!$B$6*M8+(1-Inputs!$B$6)*Q8,"")</x:f>
      </x:c>
      <x:c r="V8" s="16" t="n">
        <x:f>Inputs!$B$10*Inputs!$B$11*(IF($A8&lt;=5,1,2))*(Inputs!$B$14-Inputs!$B$15)</x:f>
        <x:v>1.8899999999999997</x:v>
      </x:c>
      <x:c r="W8" s="16" t="n">
        <x:f>Inputs!$B$10*Inputs!$B$12*(Inputs!$B$16-IF($A8=3,Inputs!$B$17,Inputs!$B$18))</x:f>
        <x:v>0.06749999999999999</x:v>
      </x:c>
      <x:c r="X8" s="16" t="n">
        <x:f>Inputs!$B$10*Inputs!$B$13*Inputs!$B$21*(((IF($A8&lt;=5,1,2))*(Inputs!$B$14-Inputs!$B$15))+Inputs!$B$16-IF($A8=3,Inputs!$B$17,Inputs!$B$18))</x:f>
        <x:v>0.6483749999999999</x:v>
      </x:c>
      <x:c r="Y8" s="16" t="str">
        <x:f>IF(ISNUMBER(M8),Inputs!$B$10*Inputs!$B$23*Inputs!$B$22*IF($A8=3,Inputs!$B$24,IF($A8=4,Inputs!$B$25,IF($A8=5,Inputs!$B$26,""))),"")</x:f>
      </x:c>
      <x:c r="Z8" s="16" t="n">
        <x:f>0</x:f>
        <x:v>0</x:v>
      </x:c>
      <x:c r="AA8" s="16" t="n">
        <x:f>Inputs!$B$19+Inputs!$B$20*(($A8-3)/(Inputs!$B$4-3))</x:f>
        <x:v>1.4666666666666666</x:v>
      </x:c>
      <x:c r="AB8" s="16" t="n">
        <x:f>0</x:f>
        <x:v>0</x:v>
      </x:c>
      <x:c r="AC8" s="16" t="n">
        <x:f>0</x:f>
        <x:v>0</x:v>
      </x:c>
      <x:c r="AD8" s="16" t="n">
        <x:f>IF(R8&lt;&gt;"",R8-Inputs!$B$7*V8+Inputs!$B$8*Z8,"")</x:f>
        <x:v>1.7066124756329615</x:v>
      </x:c>
      <x:c r="AE8" s="16" t="n">
        <x:f>IF(S8&lt;&gt;"",S8-Inputs!$B$7*W8+Inputs!$B$8*AA8,"")</x:f>
        <x:v>3.1682252997125895</x:v>
      </x:c>
      <x:c r="AF8" s="16" t="n">
        <x:f>IF(T8&lt;&gt;"",T8-Inputs!$B$7*X8+Inputs!$B$8*AB8,"")</x:f>
        <x:v>8.668000217249011</x:v>
      </x:c>
      <x:c r="AG8" s="16" t="str">
        <x:f>IF(U8&lt;&gt;"",U8-Inputs!$B$7*Y8+Inputs!$B$8*AC8,"")</x:f>
      </x:c>
      <x:c r="AH8" s="16" t="n">
        <x:f>IF(AD8&lt;&gt;"",MAX(0,AD8*Inputs!$B$9),"")</x:f>
        <x:v>3.413224951265923</x:v>
      </x:c>
      <x:c r="AI8" s="16" t="n">
        <x:f>IF(AE8&lt;&gt;"",MAX(0,AE8*Inputs!$B$9),"")</x:f>
        <x:v>6.336450599425179</x:v>
      </x:c>
      <x:c r="AJ8" s="16" t="n">
        <x:f>IF(AF8&lt;&gt;"",MAX(0,AF8*Inputs!$B$9),"")</x:f>
        <x:v>17.336000434498022</x:v>
      </x:c>
      <x:c r="AK8" s="16" t="str">
        <x:f>IF(AG8&lt;&gt;"",MAX(0,AG8*Inputs!$B$9),"")</x:f>
      </x:c>
    </x:row>
    <x:row r="9">
      <x:c r="A9" t="n">
        <x:v>8</x:v>
      </x:c>
      <x:c r="B9" s="36" t="n">
        <x:f>$B$2*COMBIN(Inputs!$B$4,$A9)</x:f>
        <x:v>25740</x:v>
      </x:c>
      <x:c r="C9" s="36" t="n">
        <x:f>(Inputs!$B$4-$A9+1)*($B$2^$A9)</x:f>
        <x:v>524288</x:v>
      </x:c>
      <x:c r="D9" s="36" t="n">
        <x:f>$B$2*(Inputs!$B$4-$A9+1)</x:f>
        <x:v>32</x:v>
      </x:c>
      <x:c r="E9" s="36" t="str">
        <x:f>IF($A9&lt;=$B$2,Inputs!$B$4*COMBIN($B$2,$A9),"")</x:f>
      </x:c>
      <x:c r="F9" s="38" t="n">
        <x:f>IF(OR(B9="",Inputs!$B$5&lt;$A9),"",IF((B9*COMBIN($D$2-$A9,Inputs!$B$5-$A9)/COMBIN($D$2,Inputs!$B$5))&lt;1E-8,(B9*COMBIN($D$2-$A9,Inputs!$B$5-$A9)/COMBIN($D$2,Inputs!$B$5)),1-EXP(-(B9*COMBIN($D$2-$A9,Inputs!$B$5-$A9)/COMBIN($D$2,Inputs!$B$5)))))</x:f>
        <x:v>0.06268585851116293</x:v>
      </x:c>
      <x:c r="G9" s="38" t="n">
        <x:f>IF(OR(C9="",Inputs!$B$5&lt;$A9),"",IF((C9*COMBIN($D$2-$A9,Inputs!$B$5-$A9)/COMBIN($D$2,Inputs!$B$5))&lt;1E-8,(C9*COMBIN($D$2-$A9,Inputs!$B$5-$A9)/COMBIN($D$2,Inputs!$B$5)),1-EXP(-(C9*COMBIN($D$2-$A9,Inputs!$B$5-$A9)/COMBIN($D$2,Inputs!$B$5)))))</x:f>
        <x:v>0.7324900111088939</x:v>
      </x:c>
      <x:c r="H9" s="38" t="n">
        <x:f>IF(OR(D9="",Inputs!$B$5&lt;$A9),"",IF((D9*COMBIN($D$2-$A9,Inputs!$B$5-$A9)/COMBIN($D$2,Inputs!$B$5))&lt;1E-8,(D9*COMBIN($D$2-$A9,Inputs!$B$5-$A9)/COMBIN($D$2,Inputs!$B$5)),1-EXP(-(D9*COMBIN($D$2-$A9,Inputs!$B$5-$A9)/COMBIN($D$2,Inputs!$B$5)))))</x:f>
        <x:v>0.00008047761914997675</x:v>
      </x:c>
      <x:c r="I9" s="38" t="str">
        <x:f>IF(OR(E9="",Inputs!$B$5&lt;$A9),"",IF((E9*COMBIN($D$2-$A9,Inputs!$B$5-$A9)/COMBIN($D$2,Inputs!$B$5))&lt;1E-8,(E9*COMBIN($D$2-$A9,Inputs!$B$5-$A9)/COMBIN($D$2,Inputs!$B$5)),1-EXP(-(E9*COMBIN($D$2-$A9,Inputs!$B$5-$A9)/COMBIN($D$2,Inputs!$B$5)))))</x:f>
      </x:c>
      <x:c r="J9" s="16" t="n">
        <x:f>IF(OR(B9="",Inputs!$B$5&lt;$A9),"",IF((B9*COMBIN($D$2-$A9,Inputs!$B$5-$A9)/COMBIN($D$2,Inputs!$B$5))&lt;1E-8,-LN((B9*COMBIN($D$2-$A9,Inputs!$B$5-$A9)/COMBIN($D$2,Inputs!$B$5))),-LN(1-EXP(-(B9*COMBIN($D$2-$A9,Inputs!$B$5-$A9)/COMBIN($D$2,Inputs!$B$5))))))</x:f>
        <x:v>2.7696193988684192</x:v>
      </x:c>
      <x:c r="K9" s="16" t="n">
        <x:f>IF(OR(C9="",Inputs!$B$5&lt;$A9),"",IF((C9*COMBIN($D$2-$A9,Inputs!$B$5-$A9)/COMBIN($D$2,Inputs!$B$5))&lt;1E-8,-LN((C9*COMBIN($D$2-$A9,Inputs!$B$5-$A9)/COMBIN($D$2,Inputs!$B$5))),-LN(1-EXP(-(C9*COMBIN($D$2-$A9,Inputs!$B$5-$A9)/COMBIN($D$2,Inputs!$B$5))))))</x:f>
        <x:v>0.31130557489530314</x:v>
      </x:c>
      <x:c r="L9" s="16" t="n">
        <x:f>IF(OR(D9="",Inputs!$B$5&lt;$A9),"",IF((D9*COMBIN($D$2-$A9,Inputs!$B$5-$A9)/COMBIN($D$2,Inputs!$B$5))&lt;1E-8,-LN((D9*COMBIN($D$2-$A9,Inputs!$B$5-$A9)/COMBIN($D$2,Inputs!$B$5))),-LN(1-EXP(-(D9*COMBIN($D$2-$A9,Inputs!$B$5-$A9)/COMBIN($D$2,Inputs!$B$5))))))</x:f>
        <x:v>9.427531435176967</x:v>
      </x:c>
      <x:c r="M9" s="16" t="str">
        <x:f>IF(OR(E9="",Inputs!$B$5&lt;$A9),"",IF((E9*COMBIN($D$2-$A9,Inputs!$B$5-$A9)/COMBIN($D$2,Inputs!$B$5))&lt;1E-8,-LN((E9*COMBIN($D$2-$A9,Inputs!$B$5-$A9)/COMBIN($D$2,Inputs!$B$5))),-LN(1-EXP(-(E9*COMBIN($D$2-$A9,Inputs!$B$5-$A9)/COMBIN($D$2,Inputs!$B$5))))))</x:f>
      </x:c>
      <x:c r="N9" s="16" t="n">
        <x:f>N8+(-LN((Inputs!$B$4-($A9-1))/($D$2-($A9-1))))</x:f>
        <x:v>8.572958969353024</x:v>
      </x:c>
      <x:c r="O9" s="16" t="n">
        <x:f>O8+((MAX(Inputs!$B$4-($A9-1)-1,0))/(Inputs!$B$4-($A9-1)+1))*(-LN((2*$B$2)/($D$2-($A9-1))))+(2/(Inputs!$B$4-($A9-1)+1))*(-LN($B$2/($D$2-($A9-1))))</x:f>
        <x:v>10.278671545741922</x:v>
      </x:c>
      <x:c r="P9" s="16" t="n">
        <x:f>P8+((MAX(Inputs!$B$4-($A9-1)-1,0))/(Inputs!$B$4-($A9-1)+1))*(-LN(2/($D$2-($A9-1))))+(2/(Inputs!$B$4-($A9-1)+1))*(-LN(1/($D$2-($A9-1))))</x:f>
        <x:v>17.905016518254712</x:v>
      </x:c>
      <x:c r="Q9" s="16" t="str">
        <x:f>IF($A9&gt;$B$2,"",Q8+(-LN(($B$2-($A9-1))/($D$2-($A9-1)))))</x:f>
      </x:c>
      <x:c r="R9" s="16" t="n">
        <x:f>IF(J9&lt;&gt;"",Inputs!$B$6*J9+(1-Inputs!$B$6)*N9,"")</x:f>
        <x:v>3.9302873129653397</x:v>
      </x:c>
      <x:c r="S9" s="16" t="n">
        <x:f>IF(K9&lt;&gt;"",Inputs!$B$6*K9+(1-Inputs!$B$6)*O9,"")</x:f>
        <x:v>2.3047787690646264</x:v>
      </x:c>
      <x:c r="T9" s="16" t="n">
        <x:f>IF(L9&lt;&gt;"",Inputs!$B$6*L9+(1-Inputs!$B$6)*P9,"")</x:f>
        <x:v>11.123028451792514</x:v>
      </x:c>
      <x:c r="U9" s="16" t="str">
        <x:f>IF(M9&lt;&gt;"",Inputs!$B$6*M9+(1-Inputs!$B$6)*Q9,"")</x:f>
      </x:c>
      <x:c r="V9" s="16" t="n">
        <x:f>Inputs!$B$10*Inputs!$B$11*(IF($A9&lt;=5,1,2))*(Inputs!$B$14-Inputs!$B$15)</x:f>
        <x:v>1.8899999999999997</x:v>
      </x:c>
      <x:c r="W9" s="16" t="n">
        <x:f>Inputs!$B$10*Inputs!$B$12*(Inputs!$B$16-IF($A9=3,Inputs!$B$17,Inputs!$B$18))</x:f>
        <x:v>0.06749999999999999</x:v>
      </x:c>
      <x:c r="X9" s="16" t="n">
        <x:f>Inputs!$B$10*Inputs!$B$13*Inputs!$B$21*(((IF($A9&lt;=5,1,2))*(Inputs!$B$14-Inputs!$B$15))+Inputs!$B$16-IF($A9=3,Inputs!$B$17,Inputs!$B$18))</x:f>
        <x:v>0.6483749999999999</x:v>
      </x:c>
      <x:c r="Y9" s="16" t="str">
        <x:f>IF(ISNUMBER(M9),Inputs!$B$10*Inputs!$B$23*Inputs!$B$22*IF($A9=3,Inputs!$B$24,IF($A9=4,Inputs!$B$25,IF($A9=5,Inputs!$B$26,""))),"")</x:f>
      </x:c>
      <x:c r="Z9" s="16" t="n">
        <x:f>0</x:f>
        <x:v>0</x:v>
      </x:c>
      <x:c r="AA9" s="16" t="n">
        <x:f>Inputs!$B$19+Inputs!$B$20*(($A9-3)/(Inputs!$B$4-3))</x:f>
        <x:v>1.5333333333333332</x:v>
      </x:c>
      <x:c r="AB9" s="16" t="n">
        <x:f>0</x:f>
        <x:v>0</x:v>
      </x:c>
      <x:c r="AC9" s="16" t="n">
        <x:f>0</x:f>
        <x:v>0</x:v>
      </x:c>
      <x:c r="AD9" s="16" t="n">
        <x:f>IF(R9&lt;&gt;"",R9-Inputs!$B$7*V9+Inputs!$B$8*Z9,"")</x:f>
        <x:v>3.4577873129653396</x:v>
      </x:c>
      <x:c r="AE9" s="16" t="n">
        <x:f>IF(S9&lt;&gt;"",S9-Inputs!$B$7*W9+Inputs!$B$8*AA9,"")</x:f>
        <x:v>3.8212371023979594</x:v>
      </x:c>
      <x:c r="AF9" s="16" t="n">
        <x:f>IF(T9&lt;&gt;"",T9-Inputs!$B$7*X9+Inputs!$B$8*AB9,"")</x:f>
        <x:v>10.960934701792514</x:v>
      </x:c>
      <x:c r="AG9" s="16" t="str">
        <x:f>IF(U9&lt;&gt;"",U9-Inputs!$B$7*Y9+Inputs!$B$8*AC9,"")</x:f>
      </x:c>
      <x:c r="AH9" s="16" t="n">
        <x:f>IF(AD9&lt;&gt;"",MAX(0,AD9*Inputs!$B$9),"")</x:f>
        <x:v>6.915574625930679</x:v>
      </x:c>
      <x:c r="AI9" s="16" t="n">
        <x:f>IF(AE9&lt;&gt;"",MAX(0,AE9*Inputs!$B$9),"")</x:f>
        <x:v>7.642474204795919</x:v>
      </x:c>
      <x:c r="AJ9" s="16" t="n">
        <x:f>IF(AF9&lt;&gt;"",MAX(0,AF9*Inputs!$B$9),"")</x:f>
        <x:v>21.921869403585028</x:v>
      </x:c>
      <x:c r="AK9" s="16" t="str">
        <x:f>IF(AG9&lt;&gt;"",MAX(0,AG9*Inputs!$B$9),"")</x:f>
      </x:c>
    </x:row>
    <x:row r="10">
      <x:c r="A10" t="n">
        <x:v>9</x:v>
      </x:c>
      <x:c r="B10" s="36" t="n">
        <x:f>$B$2*COMBIN(Inputs!$B$4,$A10)</x:f>
        <x:v>20020</x:v>
      </x:c>
      <x:c r="C10" s="36" t="n">
        <x:f>(Inputs!$B$4-$A10+1)*($B$2^$A10)</x:f>
        <x:v>1835008</x:v>
      </x:c>
      <x:c r="D10" s="36" t="n">
        <x:f>$B$2*(Inputs!$B$4-$A10+1)</x:f>
        <x:v>28</x:v>
      </x:c>
      <x:c r="E10" s="36" t="str">
        <x:f>IF($A10&lt;=$B$2,Inputs!$B$4*COMBIN($B$2,$A10),"")</x:f>
      </x:c>
      <x:c r="F10" s="38" t="n">
        <x:f>IF(OR(B10="",Inputs!$B$5&lt;$A10),"",IF((B10*COMBIN($D$2-$A10,Inputs!$B$5-$A10)/COMBIN($D$2,Inputs!$B$5))&lt;1E-8,(B10*COMBIN($D$2-$A10,Inputs!$B$5-$A10)/COMBIN($D$2,Inputs!$B$5)),1-EXP(-(B10*COMBIN($D$2-$A10,Inputs!$B$5-$A10)/COMBIN($D$2,Inputs!$B$5)))))</x:f>
        <x:v>0.006755078417214344</x:v>
      </x:c>
      <x:c r="G10" s="38" t="n">
        <x:f>IF(OR(C10="",Inputs!$B$5&lt;$A10),"",IF((C10*COMBIN($D$2-$A10,Inputs!$B$5-$A10)/COMBIN($D$2,Inputs!$B$5))&lt;1E-8,(C10*COMBIN($D$2-$A10,Inputs!$B$5-$A10)/COMBIN($D$2,Inputs!$B$5)),1-EXP(-(C10*COMBIN($D$2-$A10,Inputs!$B$5-$A10)/COMBIN($D$2,Inputs!$B$5)))))</x:f>
        <x:v>0.4627343931424275</x:v>
      </x:c>
      <x:c r="H10" s="38" t="n">
        <x:f>IF(OR(D10="",Inputs!$B$5&lt;$A10),"",IF((D10*COMBIN($D$2-$A10,Inputs!$B$5-$A10)/COMBIN($D$2,Inputs!$B$5))&lt;1E-8,(D10*COMBIN($D$2-$A10,Inputs!$B$5-$A10)/COMBIN($D$2,Inputs!$B$5)),1-EXP(-(D10*COMBIN($D$2-$A10,Inputs!$B$5-$A10)/COMBIN($D$2,Inputs!$B$5)))))</x:f>
        <x:v>0.0000094796714732448</x:v>
      </x:c>
      <x:c r="I10" s="38" t="str">
        <x:f>IF(OR(E10="",Inputs!$B$5&lt;$A10),"",IF((E10*COMBIN($D$2-$A10,Inputs!$B$5-$A10)/COMBIN($D$2,Inputs!$B$5))&lt;1E-8,(E10*COMBIN($D$2-$A10,Inputs!$B$5-$A10)/COMBIN($D$2,Inputs!$B$5)),1-EXP(-(E10*COMBIN($D$2-$A10,Inputs!$B$5-$A10)/COMBIN($D$2,Inputs!$B$5)))))</x:f>
      </x:c>
      <x:c r="J10" s="16" t="n">
        <x:f>IF(OR(B10="",Inputs!$B$5&lt;$A10),"",IF((B10*COMBIN($D$2-$A10,Inputs!$B$5-$A10)/COMBIN($D$2,Inputs!$B$5))&lt;1E-8,-LN((B10*COMBIN($D$2-$A10,Inputs!$B$5-$A10)/COMBIN($D$2,Inputs!$B$5))),-LN(1-EXP(-(B10*COMBIN($D$2-$A10,Inputs!$B$5-$A10)/COMBIN($D$2,Inputs!$B$5))))))</x:f>
        <x:v>4.997460698871354</x:v>
      </x:c>
      <x:c r="K10" s="16" t="n">
        <x:f>IF(OR(C10="",Inputs!$B$5&lt;$A10),"",IF((C10*COMBIN($D$2-$A10,Inputs!$B$5-$A10)/COMBIN($D$2,Inputs!$B$5))&lt;1E-8,-LN((C10*COMBIN($D$2-$A10,Inputs!$B$5-$A10)/COMBIN($D$2,Inputs!$B$5))),-LN(1-EXP(-(C10*COMBIN($D$2-$A10,Inputs!$B$5-$A10)/COMBIN($D$2,Inputs!$B$5))))))</x:f>
        <x:v>0.7706020544237423</x:v>
      </x:c>
      <x:c r="L10" s="16" t="n">
        <x:f>IF(OR(D10="",Inputs!$B$5&lt;$A10),"",IF((D10*COMBIN($D$2-$A10,Inputs!$B$5-$A10)/COMBIN($D$2,Inputs!$B$5))&lt;1E-8,-LN((D10*COMBIN($D$2-$A10,Inputs!$B$5-$A10)/COMBIN($D$2,Inputs!$B$5))),-LN(1-EXP(-(D10*COMBIN($D$2-$A10,Inputs!$B$5-$A10)/COMBIN($D$2,Inputs!$B$5))))))</x:f>
        <x:v>11.566360897018845</x:v>
      </x:c>
      <x:c r="M10" s="16" t="str">
        <x:f>IF(OR(E10="",Inputs!$B$5&lt;$A10),"",IF((E10*COMBIN($D$2-$A10,Inputs!$B$5-$A10)/COMBIN($D$2,Inputs!$B$5))&lt;1E-8,-LN((E10*COMBIN($D$2-$A10,Inputs!$B$5-$A10)/COMBIN($D$2,Inputs!$B$5))),-LN(1-EXP(-(E10*COMBIN($D$2-$A10,Inputs!$B$5-$A10)/COMBIN($D$2,Inputs!$B$5))))))</x:f>
      </x:c>
      <x:c r="N10" s="16" t="n">
        <x:f>N9+(-LN((Inputs!$B$4-($A10-1))/($D$2-($A10-1))))</x:f>
        <x:v>10.578292538879138</x:v>
      </x:c>
      <x:c r="O10" s="16" t="n">
        <x:f>O9+((MAX(Inputs!$B$4-($A10-1)-1,0))/(Inputs!$B$4-($A10-1)+1))*(-LN((2*$B$2)/($D$2-($A10-1))))+(2/(Inputs!$B$4-($A10-1)+1))*(-LN($B$2/($D$2-($A10-1))))</x:f>
        <x:v>12.3237605177835</x:v>
      </x:c>
      <x:c r="P10" s="16" t="n">
        <x:f>P9+((MAX(Inputs!$B$4-($A10-1)-1,0))/(Inputs!$B$4-($A10-1)+1))*(-LN(2/($D$2-($A10-1))))+(2/(Inputs!$B$4-($A10-1)+1))*(-LN(1/($D$2-($A10-1))))</x:f>
        <x:v>21.33639985141618</x:v>
      </x:c>
      <x:c r="Q10" s="16" t="str">
        <x:f>IF($A10&gt;$B$2,"",Q9+(-LN(($B$2-($A10-1))/($D$2-($A10-1)))))</x:f>
      </x:c>
      <x:c r="R10" s="16" t="n">
        <x:f>IF(J10&lt;&gt;"",Inputs!$B$6*J10+(1-Inputs!$B$6)*N10,"")</x:f>
        <x:v>6.11362706687291</x:v>
      </x:c>
      <x:c r="S10" s="16" t="n">
        <x:f>IF(K10&lt;&gt;"",Inputs!$B$6*K10+(1-Inputs!$B$6)*O10,"")</x:f>
        <x:v>3.0812337470956934</x:v>
      </x:c>
      <x:c r="T10" s="16" t="n">
        <x:f>IF(L10&lt;&gt;"",Inputs!$B$6*L10+(1-Inputs!$B$6)*P10,"")</x:f>
        <x:v>13.520368687898312</x:v>
      </x:c>
      <x:c r="U10" s="16" t="str">
        <x:f>IF(M10&lt;&gt;"",Inputs!$B$6*M10+(1-Inputs!$B$6)*Q10,"")</x:f>
      </x:c>
      <x:c r="V10" s="16" t="n">
        <x:f>Inputs!$B$10*Inputs!$B$11*(IF($A10&lt;=5,1,2))*(Inputs!$B$14-Inputs!$B$15)</x:f>
        <x:v>1.8899999999999997</x:v>
      </x:c>
      <x:c r="W10" s="16" t="n">
        <x:f>Inputs!$B$10*Inputs!$B$12*(Inputs!$B$16-IF($A10=3,Inputs!$B$17,Inputs!$B$18))</x:f>
        <x:v>0.06749999999999999</x:v>
      </x:c>
      <x:c r="X10" s="16" t="n">
        <x:f>Inputs!$B$10*Inputs!$B$13*Inputs!$B$21*(((IF($A10&lt;=5,1,2))*(Inputs!$B$14-Inputs!$B$15))+Inputs!$B$16-IF($A10=3,Inputs!$B$17,Inputs!$B$18))</x:f>
        <x:v>0.6483749999999999</x:v>
      </x:c>
      <x:c r="Y10" s="16" t="str">
        <x:f>IF(ISNUMBER(M10),Inputs!$B$10*Inputs!$B$23*Inputs!$B$22*IF($A10=3,Inputs!$B$24,IF($A10=4,Inputs!$B$25,IF($A10=5,Inputs!$B$26,""))),"")</x:f>
      </x:c>
      <x:c r="Z10" s="16" t="n">
        <x:f>0</x:f>
        <x:v>0</x:v>
      </x:c>
      <x:c r="AA10" s="16" t="n">
        <x:f>Inputs!$B$19+Inputs!$B$20*(($A10-3)/(Inputs!$B$4-3))</x:f>
        <x:v>1.6</x:v>
      </x:c>
      <x:c r="AB10" s="16" t="n">
        <x:f>0</x:f>
        <x:v>0</x:v>
      </x:c>
      <x:c r="AC10" s="16" t="n">
        <x:f>0</x:f>
        <x:v>0</x:v>
      </x:c>
      <x:c r="AD10" s="16" t="n">
        <x:f>IF(R10&lt;&gt;"",R10-Inputs!$B$7*V10+Inputs!$B$8*Z10,"")</x:f>
        <x:v>5.64112706687291</x:v>
      </x:c>
      <x:c r="AE10" s="16" t="n">
        <x:f>IF(S10&lt;&gt;"",S10-Inputs!$B$7*W10+Inputs!$B$8*AA10,"")</x:f>
        <x:v>4.664358747095694</x:v>
      </x:c>
      <x:c r="AF10" s="16" t="n">
        <x:f>IF(T10&lt;&gt;"",T10-Inputs!$B$7*X10+Inputs!$B$8*AB10,"")</x:f>
        <x:v>13.358274937898312</x:v>
      </x:c>
      <x:c r="AG10" s="16" t="str">
        <x:f>IF(U10&lt;&gt;"",U10-Inputs!$B$7*Y10+Inputs!$B$8*AC10,"")</x:f>
      </x:c>
      <x:c r="AH10" s="16" t="n">
        <x:f>IF(AD10&lt;&gt;"",MAX(0,AD10*Inputs!$B$9),"")</x:f>
        <x:v>11.28225413374582</x:v>
      </x:c>
      <x:c r="AI10" s="16" t="n">
        <x:f>IF(AE10&lt;&gt;"",MAX(0,AE10*Inputs!$B$9),"")</x:f>
        <x:v>9.328717494191388</x:v>
      </x:c>
      <x:c r="AJ10" s="16" t="n">
        <x:f>IF(AF10&lt;&gt;"",MAX(0,AF10*Inputs!$B$9),"")</x:f>
        <x:v>26.716549875796623</x:v>
      </x:c>
      <x:c r="AK10" s="16" t="str">
        <x:f>IF(AG10&lt;&gt;"",MAX(0,AG10*Inputs!$B$9),"")</x:f>
      </x:c>
    </x:row>
    <x:row r="11">
      <x:c r="A11" t="n">
        <x:v>10</x:v>
      </x:c>
      <x:c r="B11" s="36" t="n">
        <x:f>$B$2*COMBIN(Inputs!$B$4,$A11)</x:f>
        <x:v>12012</x:v>
      </x:c>
      <x:c r="C11" s="36" t="n">
        <x:f>(Inputs!$B$4-$A11+1)*($B$2^$A11)</x:f>
        <x:v>6291456</x:v>
      </x:c>
      <x:c r="D11" s="36" t="n">
        <x:f>$B$2*(Inputs!$B$4-$A11+1)</x:f>
        <x:v>24</x:v>
      </x:c>
      <x:c r="E11" s="36" t="str">
        <x:f>IF($A11&lt;=$B$2,Inputs!$B$4*COMBIN($B$2,$A11),"")</x:f>
      </x:c>
      <x:c r="F11" s="38" t="n">
        <x:f>IF(OR(B11="",Inputs!$B$5&lt;$A11),"",IF((B11*COMBIN($D$2-$A11,Inputs!$B$5-$A11)/COMBIN($D$2,Inputs!$B$5))&lt;1E-8,(B11*COMBIN($D$2-$A11,Inputs!$B$5-$A11)/COMBIN($D$2,Inputs!$B$5)),1-EXP(-(B11*COMBIN($D$2-$A11,Inputs!$B$5-$A11)/COMBIN($D$2,Inputs!$B$5)))))</x:f>
        <x:v>0.0004783324258442745</x:v>
      </x:c>
      <x:c r="G11" s="38" t="n">
        <x:f>IF(OR(C11="",Inputs!$B$5&lt;$A11),"",IF((C11*COMBIN($D$2-$A11,Inputs!$B$5-$A11)/COMBIN($D$2,Inputs!$B$5))&lt;1E-8,(C11*COMBIN($D$2-$A11,Inputs!$B$5-$A11)/COMBIN($D$2,Inputs!$B$5)),1-EXP(-(C11*COMBIN($D$2-$A11,Inputs!$B$5-$A11)/COMBIN($D$2,Inputs!$B$5)))))</x:f>
        <x:v>0.22166118574806515</x:v>
      </x:c>
      <x:c r="H11" s="38" t="n">
        <x:f>IF(OR(D11="",Inputs!$B$5&lt;$A11),"",IF((D11*COMBIN($D$2-$A11,Inputs!$B$5-$A11)/COMBIN($D$2,Inputs!$B$5))&lt;1E-8,(D11*COMBIN($D$2-$A11,Inputs!$B$5-$A11)/COMBIN($D$2,Inputs!$B$5)),1-EXP(-(D11*COMBIN($D$2-$A11,Inputs!$B$5-$A11)/COMBIN($D$2,Inputs!$B$5)))))</x:f>
        <x:v>9.559373318479558e-7</x:v>
      </x:c>
      <x:c r="I11" s="38" t="str">
        <x:f>IF(OR(E11="",Inputs!$B$5&lt;$A11),"",IF((E11*COMBIN($D$2-$A11,Inputs!$B$5-$A11)/COMBIN($D$2,Inputs!$B$5))&lt;1E-8,(E11*COMBIN($D$2-$A11,Inputs!$B$5-$A11)/COMBIN($D$2,Inputs!$B$5)),1-EXP(-(E11*COMBIN($D$2-$A11,Inputs!$B$5-$A11)/COMBIN($D$2,Inputs!$B$5)))))</x:f>
      </x:c>
      <x:c r="J11" s="16" t="n">
        <x:f>IF(OR(B11="",Inputs!$B$5&lt;$A11),"",IF((B11*COMBIN($D$2-$A11,Inputs!$B$5-$A11)/COMBIN($D$2,Inputs!$B$5))&lt;1E-8,-LN((B11*COMBIN($D$2-$A11,Inputs!$B$5-$A11)/COMBIN($D$2,Inputs!$B$5))),-LN(1-EXP(-(B11*COMBIN($D$2-$A11,Inputs!$B$5-$A11)/COMBIN($D$2,Inputs!$B$5))))))</x:f>
        <x:v>7.645204615630132</x:v>
      </x:c>
      <x:c r="K11" s="16" t="n">
        <x:f>IF(OR(C11="",Inputs!$B$5&lt;$A11),"",IF((C11*COMBIN($D$2-$A11,Inputs!$B$5-$A11)/COMBIN($D$2,Inputs!$B$5))&lt;1E-8,-LN((C11*COMBIN($D$2-$A11,Inputs!$B$5-$A11)/COMBIN($D$2,Inputs!$B$5))),-LN(1-EXP(-(C11*COMBIN($D$2-$A11,Inputs!$B$5-$A11)/COMBIN($D$2,Inputs!$B$5))))))</x:f>
        <x:v>1.5066052532486622</x:v>
      </x:c>
      <x:c r="L11" s="16" t="n">
        <x:f>IF(OR(D11="",Inputs!$B$5&lt;$A11),"",IF((D11*COMBIN($D$2-$A11,Inputs!$B$5-$A11)/COMBIN($D$2,Inputs!$B$5))&lt;1E-8,-LN((D11*COMBIN($D$2-$A11,Inputs!$B$5-$A11)/COMBIN($D$2,Inputs!$B$5))),-LN(1-EXP(-(D11*COMBIN($D$2-$A11,Inputs!$B$5-$A11)/COMBIN($D$2,Inputs!$B$5))))))</x:f>
        <x:v>13.860573478503964</x:v>
      </x:c>
      <x:c r="M11" s="16" t="str">
        <x:f>IF(OR(E11="",Inputs!$B$5&lt;$A11),"",IF((E11*COMBIN($D$2-$A11,Inputs!$B$5-$A11)/COMBIN($D$2,Inputs!$B$5))&lt;1E-8,-LN((E11*COMBIN($D$2-$A11,Inputs!$B$5-$A11)/COMBIN($D$2,Inputs!$B$5))),-LN(1-EXP(-(E11*COMBIN($D$2-$A11,Inputs!$B$5-$A11)/COMBIN($D$2,Inputs!$B$5))))))</x:f>
      </x:c>
      <x:c r="N11" s="16" t="n">
        <x:f>N10+(-LN((Inputs!$B$4-($A11-1))/($D$2-($A11-1))))</x:f>
        <x:v>12.718358702375408</x:v>
      </x:c>
      <x:c r="O11" s="16" t="n">
        <x:f>O10+((MAX(Inputs!$B$4-($A11-1)-1,0))/(Inputs!$B$4-($A11-1)+1))*(-LN((2*$B$2)/($D$2-($A11-1))))+(2/(Inputs!$B$4-($A11-1)+1))*(-LN($B$2/($D$2-($A11-1))))</x:f>
        <x:v>14.374186660416544</x:v>
      </x:c>
      <x:c r="P11" s="16" t="n">
        <x:f>P10+((MAX(Inputs!$B$4-($A11-1)-1,0))/(Inputs!$B$4-($A11-1)+1))*(-LN(2/($D$2-($A11-1))))+(2/(Inputs!$B$4-($A11-1)+1))*(-LN(1/($D$2-($A11-1))))</x:f>
        <x:v>24.773120355169116</x:v>
      </x:c>
      <x:c r="Q11" s="16" t="str">
        <x:f>IF($A11&gt;$B$2,"",Q10+(-LN(($B$2-($A11-1))/($D$2-($A11-1)))))</x:f>
      </x:c>
      <x:c r="R11" s="16" t="n">
        <x:f>IF(J11&lt;&gt;"",Inputs!$B$6*J11+(1-Inputs!$B$6)*N11,"")</x:f>
        <x:v>8.659835432979186</x:v>
      </x:c>
      <x:c r="S11" s="16" t="n">
        <x:f>IF(K11&lt;&gt;"",Inputs!$B$6*K11+(1-Inputs!$B$6)*O11,"")</x:f>
        <x:v>4.080121534682238</x:v>
      </x:c>
      <x:c r="T11" s="16" t="n">
        <x:f>IF(L11&lt;&gt;"",Inputs!$B$6*L11+(1-Inputs!$B$6)*P11,"")</x:f>
        <x:v>16.043082853836996</x:v>
      </x:c>
      <x:c r="U11" s="16" t="str">
        <x:f>IF(M11&lt;&gt;"",Inputs!$B$6*M11+(1-Inputs!$B$6)*Q11,"")</x:f>
      </x:c>
      <x:c r="V11" s="16" t="n">
        <x:f>Inputs!$B$10*Inputs!$B$11*(IF($A11&lt;=5,1,2))*(Inputs!$B$14-Inputs!$B$15)</x:f>
        <x:v>1.8899999999999997</x:v>
      </x:c>
      <x:c r="W11" s="16" t="n">
        <x:f>Inputs!$B$10*Inputs!$B$12*(Inputs!$B$16-IF($A11=3,Inputs!$B$17,Inputs!$B$18))</x:f>
        <x:v>0.06749999999999999</x:v>
      </x:c>
      <x:c r="X11" s="16" t="n">
        <x:f>Inputs!$B$10*Inputs!$B$13*Inputs!$B$21*(((IF($A11&lt;=5,1,2))*(Inputs!$B$14-Inputs!$B$15))+Inputs!$B$16-IF($A11=3,Inputs!$B$17,Inputs!$B$18))</x:f>
        <x:v>0.6483749999999999</x:v>
      </x:c>
      <x:c r="Y11" s="16" t="str">
        <x:f>IF(ISNUMBER(M11),Inputs!$B$10*Inputs!$B$23*Inputs!$B$22*IF($A11=3,Inputs!$B$24,IF($A11=4,Inputs!$B$25,IF($A11=5,Inputs!$B$26,""))),"")</x:f>
      </x:c>
      <x:c r="Z11" s="16" t="n">
        <x:f>0</x:f>
        <x:v>0</x:v>
      </x:c>
      <x:c r="AA11" s="16" t="n">
        <x:f>Inputs!$B$19+Inputs!$B$20*(($A11-3)/(Inputs!$B$4-3))</x:f>
        <x:v>1.6666666666666667</x:v>
      </x:c>
      <x:c r="AB11" s="16" t="n">
        <x:f>0</x:f>
        <x:v>0</x:v>
      </x:c>
      <x:c r="AC11" s="16" t="n">
        <x:f>0</x:f>
        <x:v>0</x:v>
      </x:c>
      <x:c r="AD11" s="16" t="n">
        <x:f>IF(R11&lt;&gt;"",R11-Inputs!$B$7*V11+Inputs!$B$8*Z11,"")</x:f>
        <x:v>8.187335432979186</x:v>
      </x:c>
      <x:c r="AE11" s="16" t="n">
        <x:f>IF(S11&lt;&gt;"",S11-Inputs!$B$7*W11+Inputs!$B$8*AA11,"")</x:f>
        <x:v>5.729913201348905</x:v>
      </x:c>
      <x:c r="AF11" s="16" t="n">
        <x:f>IF(T11&lt;&gt;"",T11-Inputs!$B$7*X11+Inputs!$B$8*AB11,"")</x:f>
        <x:v>15.880989103836995</x:v>
      </x:c>
      <x:c r="AG11" s="16" t="str">
        <x:f>IF(U11&lt;&gt;"",U11-Inputs!$B$7*Y11+Inputs!$B$8*AC11,"")</x:f>
      </x:c>
      <x:c r="AH11" s="16" t="n">
        <x:f>IF(AD11&lt;&gt;"",MAX(0,AD11*Inputs!$B$9),"")</x:f>
        <x:v>16.37467086595837</x:v>
      </x:c>
      <x:c r="AI11" s="16" t="n">
        <x:f>IF(AE11&lt;&gt;"",MAX(0,AE11*Inputs!$B$9),"")</x:f>
        <x:v>11.45982640269781</x:v>
      </x:c>
      <x:c r="AJ11" s="16" t="n">
        <x:f>IF(AF11&lt;&gt;"",MAX(0,AF11*Inputs!$B$9),"")</x:f>
        <x:v>31.76197820767399</x:v>
      </x:c>
      <x:c r="AK11" s="16" t="str">
        <x:f>IF(AG11&lt;&gt;"",MAX(0,AG11*Inputs!$B$9),"")</x:f>
      </x:c>
    </x:row>
    <x:row r="12">
      <x:c r="A12" t="n">
        <x:v>11</x:v>
      </x:c>
      <x:c r="B12" s="36" t="n">
        <x:f>$B$2*COMBIN(Inputs!$B$4,$A12)</x:f>
        <x:v>5460</x:v>
      </x:c>
      <x:c r="C12" s="36" t="n">
        <x:f>(Inputs!$B$4-$A12+1)*($B$2^$A12)</x:f>
        <x:v>20971520</x:v>
      </x:c>
      <x:c r="D12" s="36" t="n">
        <x:f>$B$2*(Inputs!$B$4-$A12+1)</x:f>
        <x:v>20</x:v>
      </x:c>
      <x:c r="E12" s="36" t="str">
        <x:f>IF($A12&lt;=$B$2,Inputs!$B$4*COMBIN($B$2,$A12),"")</x:f>
      </x:c>
      <x:c r="F12" s="38" t="n">
        <x:f>IF(OR(B12="",Inputs!$B$5&lt;$A12),"",IF((B12*COMBIN($D$2-$A12,Inputs!$B$5-$A12)/COMBIN($D$2,Inputs!$B$5))&lt;1E-8,(B12*COMBIN($D$2-$A12,Inputs!$B$5-$A12)/COMBIN($D$2,Inputs!$B$5)),1-EXP(-(B12*COMBIN($D$2-$A12,Inputs!$B$5-$A12)/COMBIN($D$2,Inputs!$B$5)))))</x:f>
        <x:v>0.000021747348218137397</x:v>
      </x:c>
      <x:c r="G12" s="38" t="n">
        <x:f>IF(OR(C12="",Inputs!$B$5&lt;$A12),"",IF((C12*COMBIN($D$2-$A12,Inputs!$B$5-$A12)/COMBIN($D$2,Inputs!$B$5))&lt;1E-8,(C12*COMBIN($D$2-$A12,Inputs!$B$5-$A12)/COMBIN($D$2,Inputs!$B$5)),1-EXP(-(C12*COMBIN($D$2-$A12,Inputs!$B$5-$A12)/COMBIN($D$2,Inputs!$B$5)))))</x:f>
        <x:v>0.08013753857750383</x:v>
      </x:c>
      <x:c r="H12" s="38" t="n">
        <x:f>IF(OR(D12="",Inputs!$B$5&lt;$A12),"",IF((D12*COMBIN($D$2-$A12,Inputs!$B$5-$A12)/COMBIN($D$2,Inputs!$B$5))&lt;1E-8,(D12*COMBIN($D$2-$A12,Inputs!$B$5-$A12)/COMBIN($D$2,Inputs!$B$5)),1-EXP(-(D12*COMBIN($D$2-$A12,Inputs!$B$5-$A12)/COMBIN($D$2,Inputs!$B$5)))))</x:f>
        <x:v>7.966147919091782e-8</x:v>
      </x:c>
      <x:c r="I12" s="38" t="str">
        <x:f>IF(OR(E12="",Inputs!$B$5&lt;$A12),"",IF((E12*COMBIN($D$2-$A12,Inputs!$B$5-$A12)/COMBIN($D$2,Inputs!$B$5))&lt;1E-8,(E12*COMBIN($D$2-$A12,Inputs!$B$5-$A12)/COMBIN($D$2,Inputs!$B$5)),1-EXP(-(E12*COMBIN($D$2-$A12,Inputs!$B$5-$A12)/COMBIN($D$2,Inputs!$B$5)))))</x:f>
      </x:c>
      <x:c r="J12" s="16" t="n">
        <x:f>IF(OR(B12="",Inputs!$B$5&lt;$A12),"",IF((B12*COMBIN($D$2-$A12,Inputs!$B$5-$A12)/COMBIN($D$2,Inputs!$B$5))&lt;1E-8,-LN((B12*COMBIN($D$2-$A12,Inputs!$B$5-$A12)/COMBIN($D$2,Inputs!$B$5))),-LN(1-EXP(-(B12*COMBIN($D$2-$A12,Inputs!$B$5-$A12)/COMBIN($D$2,Inputs!$B$5))))))</x:f>
        <x:v>10.736018728867728</x:v>
      </x:c>
      <x:c r="K12" s="16" t="n">
        <x:f>IF(OR(C12="",Inputs!$B$5&lt;$A12),"",IF((C12*COMBIN($D$2-$A12,Inputs!$B$5-$A12)/COMBIN($D$2,Inputs!$B$5))&lt;1E-8,-LN((C12*COMBIN($D$2-$A12,Inputs!$B$5-$A12)/COMBIN($D$2,Inputs!$B$5))),-LN(1-EXP(-(C12*COMBIN($D$2-$A12,Inputs!$B$5-$A12)/COMBIN($D$2,Inputs!$B$5))))))</x:f>
        <x:v>2.5240108882774708</x:v>
      </x:c>
      <x:c r="L12" s="16" t="n">
        <x:f>IF(OR(D12="",Inputs!$B$5&lt;$A12),"",IF((D12*COMBIN($D$2-$A12,Inputs!$B$5-$A12)/COMBIN($D$2,Inputs!$B$5))&lt;1E-8,-LN((D12*COMBIN($D$2-$A12,Inputs!$B$5-$A12)/COMBIN($D$2,Inputs!$B$5))),-LN(1-EXP(-(D12*COMBIN($D$2-$A12,Inputs!$B$5-$A12)/COMBIN($D$2,Inputs!$B$5))))))</x:f>
        <x:v>16.345479690561422</x:v>
      </x:c>
      <x:c r="M12" s="16" t="str">
        <x:f>IF(OR(E12="",Inputs!$B$5&lt;$A12),"",IF((E12*COMBIN($D$2-$A12,Inputs!$B$5-$A12)/COMBIN($D$2,Inputs!$B$5))&lt;1E-8,-LN((E12*COMBIN($D$2-$A12,Inputs!$B$5-$A12)/COMBIN($D$2,Inputs!$B$5))),-LN(1-EXP(-(E12*COMBIN($D$2-$A12,Inputs!$B$5-$A12)/COMBIN($D$2,Inputs!$B$5))))))</x:f>
      </x:c>
      <x:c r="N12" s="16" t="n">
        <x:f>N11+(-LN((Inputs!$B$4-($A12-1))/($D$2-($A12-1))))</x:f>
        <x:v>15.020943795369453</x:v>
      </x:c>
      <x:c r="O12" s="16" t="n">
        <x:f>O11+((MAX(Inputs!$B$4-($A12-1)-1,0))/(Inputs!$B$4-($A12-1)+1))*(-LN((2*$B$2)/($D$2-($A12-1))))+(2/(Inputs!$B$4-($A12-1)+1))*(-LN($B$2/($D$2-($A12-1))))</x:f>
        <x:v>16.437817184351502</x:v>
      </x:c>
      <x:c r="P12" s="16" t="n">
        <x:f>P11+((MAX(Inputs!$B$4-($A12-1)-1,0))/(Inputs!$B$4-($A12-1)+1))*(-LN(2/($D$2-($A12-1))))+(2/(Inputs!$B$4-($A12-1)+1))*(-LN(1/($D$2-($A12-1))))</x:f>
        <x:v>28.223045240223964</x:v>
      </x:c>
      <x:c r="Q12" s="16" t="str">
        <x:f>IF($A12&gt;$B$2,"",Q11+(-LN(($B$2-($A12-1))/($D$2-($A12-1)))))</x:f>
      </x:c>
      <x:c r="R12" s="16" t="n">
        <x:f>IF(J12&lt;&gt;"",Inputs!$B$6*J12+(1-Inputs!$B$6)*N12,"")</x:f>
        <x:v>11.593003742168072</x:v>
      </x:c>
      <x:c r="S12" s="16" t="n">
        <x:f>IF(K12&lt;&gt;"",Inputs!$B$6*K12+(1-Inputs!$B$6)*O12,"")</x:f>
        <x:v>5.306772147492277</x:v>
      </x:c>
      <x:c r="T12" s="16" t="n">
        <x:f>IF(L12&lt;&gt;"",Inputs!$B$6*L12+(1-Inputs!$B$6)*P12,"")</x:f>
        <x:v>18.72099280049393</x:v>
      </x:c>
      <x:c r="U12" s="16" t="str">
        <x:f>IF(M12&lt;&gt;"",Inputs!$B$6*M12+(1-Inputs!$B$6)*Q12,"")</x:f>
      </x:c>
      <x:c r="V12" s="16" t="n">
        <x:f>Inputs!$B$10*Inputs!$B$11*(IF($A12&lt;=5,1,2))*(Inputs!$B$14-Inputs!$B$15)</x:f>
        <x:v>1.8899999999999997</x:v>
      </x:c>
      <x:c r="W12" s="16" t="n">
        <x:f>Inputs!$B$10*Inputs!$B$12*(Inputs!$B$16-IF($A12=3,Inputs!$B$17,Inputs!$B$18))</x:f>
        <x:v>0.06749999999999999</x:v>
      </x:c>
      <x:c r="X12" s="16" t="n">
        <x:f>Inputs!$B$10*Inputs!$B$13*Inputs!$B$21*(((IF($A12&lt;=5,1,2))*(Inputs!$B$14-Inputs!$B$15))+Inputs!$B$16-IF($A12=3,Inputs!$B$17,Inputs!$B$18))</x:f>
        <x:v>0.6483749999999999</x:v>
      </x:c>
      <x:c r="Y12" s="16" t="str">
        <x:f>IF(ISNUMBER(M12),Inputs!$B$10*Inputs!$B$23*Inputs!$B$22*IF($A12=3,Inputs!$B$24,IF($A12=4,Inputs!$B$25,IF($A12=5,Inputs!$B$26,""))),"")</x:f>
      </x:c>
      <x:c r="Z12" s="16" t="n">
        <x:f>0</x:f>
        <x:v>0</x:v>
      </x:c>
      <x:c r="AA12" s="16" t="n">
        <x:f>Inputs!$B$19+Inputs!$B$20*(($A12-3)/(Inputs!$B$4-3))</x:f>
        <x:v>1.7333333333333334</x:v>
      </x:c>
      <x:c r="AB12" s="16" t="n">
        <x:f>0</x:f>
        <x:v>0</x:v>
      </x:c>
      <x:c r="AC12" s="16" t="n">
        <x:f>0</x:f>
        <x:v>0</x:v>
      </x:c>
      <x:c r="AD12" s="16" t="n">
        <x:f>IF(R12&lt;&gt;"",R12-Inputs!$B$7*V12+Inputs!$B$8*Z12,"")</x:f>
        <x:v>11.120503742168072</x:v>
      </x:c>
      <x:c r="AE12" s="16" t="n">
        <x:f>IF(S12&lt;&gt;"",S12-Inputs!$B$7*W12+Inputs!$B$8*AA12,"")</x:f>
        <x:v>7.02323048082561</x:v>
      </x:c>
      <x:c r="AF12" s="16" t="n">
        <x:f>IF(T12&lt;&gt;"",T12-Inputs!$B$7*X12+Inputs!$B$8*AB12,"")</x:f>
        <x:v>18.55889905049393</x:v>
      </x:c>
      <x:c r="AG12" s="16" t="str">
        <x:f>IF(U12&lt;&gt;"",U12-Inputs!$B$7*Y12+Inputs!$B$8*AC12,"")</x:f>
      </x:c>
      <x:c r="AH12" s="16" t="n">
        <x:f>IF(AD12&lt;&gt;"",MAX(0,AD12*Inputs!$B$9),"")</x:f>
        <x:v>22.241007484336144</x:v>
      </x:c>
      <x:c r="AI12" s="16" t="n">
        <x:f>IF(AE12&lt;&gt;"",MAX(0,AE12*Inputs!$B$9),"")</x:f>
        <x:v>14.04646096165122</x:v>
      </x:c>
      <x:c r="AJ12" s="16" t="n">
        <x:f>IF(AF12&lt;&gt;"",MAX(0,AF12*Inputs!$B$9),"")</x:f>
        <x:v>37.11779810098786</x:v>
      </x:c>
      <x:c r="AK12" s="16" t="str">
        <x:f>IF(AG12&lt;&gt;"",MAX(0,AG12*Inputs!$B$9),"")</x:f>
      </x:c>
    </x:row>
    <x:row r="13">
      <x:c r="A13" t="n">
        <x:v>12</x:v>
      </x:c>
      <x:c r="B13" s="36" t="n">
        <x:f>$B$2*COMBIN(Inputs!$B$4,$A13)</x:f>
        <x:v>1820</x:v>
      </x:c>
      <x:c r="C13" s="36" t="n">
        <x:f>(Inputs!$B$4-$A13+1)*($B$2^$A13)</x:f>
        <x:v>67108864</x:v>
      </x:c>
      <x:c r="D13" s="36" t="n">
        <x:f>$B$2*(Inputs!$B$4-$A13+1)</x:f>
        <x:v>16</x:v>
      </x:c>
      <x:c r="E13" s="36" t="str">
        <x:f>IF($A13&lt;=$B$2,Inputs!$B$4*COMBIN($B$2,$A13),"")</x:f>
      </x:c>
      <x:c r="F13" s="38" t="n">
        <x:f>IF(OR(B13="",Inputs!$B$5&lt;$A13),"",IF((B13*COMBIN($D$2-$A13,Inputs!$B$5-$A13)/COMBIN($D$2,Inputs!$B$5))&lt;1E-8,(B13*COMBIN($D$2-$A13,Inputs!$B$5-$A13)/COMBIN($D$2,Inputs!$B$5)),1-EXP(-(B13*COMBIN($D$2-$A13,Inputs!$B$5-$A13)/COMBIN($D$2,Inputs!$B$5)))))</x:f>
        <x:v>5.917708369995722e-7</x:v>
      </x:c>
      <x:c r="G13" s="38" t="n">
        <x:f>IF(OR(C13="",Inputs!$B$5&lt;$A13),"",IF((C13*COMBIN($D$2-$A13,Inputs!$B$5-$A13)/COMBIN($D$2,Inputs!$B$5))&lt;1E-8,(C13*COMBIN($D$2-$A13,Inputs!$B$5-$A13)/COMBIN($D$2,Inputs!$B$5)),1-EXP(-(C13*COMBIN($D$2-$A13,Inputs!$B$5-$A13)/COMBIN($D$2,Inputs!$B$5)))))</x:f>
        <x:v>0.02158403161957756</x:v>
      </x:c>
      <x:c r="H13" s="38" t="n">
        <x:f>IF(OR(D13="",Inputs!$B$5&lt;$A13),"",IF((D13*COMBIN($D$2-$A13,Inputs!$B$5-$A13)/COMBIN($D$2,Inputs!$B$5))&lt;1E-8,(D13*COMBIN($D$2-$A13,Inputs!$B$5-$A13)/COMBIN($D$2,Inputs!$B$5)),1-EXP(-(D13*COMBIN($D$2-$A13,Inputs!$B$5-$A13)/COMBIN($D$2,Inputs!$B$5)))))</x:f>
        <x:v>5.202382524069484e-9</x:v>
      </x:c>
      <x:c r="I13" s="38" t="str">
        <x:f>IF(OR(E13="",Inputs!$B$5&lt;$A13),"",IF((E13*COMBIN($D$2-$A13,Inputs!$B$5-$A13)/COMBIN($D$2,Inputs!$B$5))&lt;1E-8,(E13*COMBIN($D$2-$A13,Inputs!$B$5-$A13)/COMBIN($D$2,Inputs!$B$5)),1-EXP(-(E13*COMBIN($D$2-$A13,Inputs!$B$5-$A13)/COMBIN($D$2,Inputs!$B$5)))))</x:f>
      </x:c>
      <x:c r="J13" s="16" t="n">
        <x:f>IF(OR(B13="",Inputs!$B$5&lt;$A13),"",IF((B13*COMBIN($D$2-$A13,Inputs!$B$5-$A13)/COMBIN($D$2,Inputs!$B$5))&lt;1E-8,-LN((B13*COMBIN($D$2-$A13,Inputs!$B$5-$A13)/COMBIN($D$2,Inputs!$B$5))),-LN(1-EXP(-(B13*COMBIN($D$2-$A13,Inputs!$B$5-$A13)/COMBIN($D$2,Inputs!$B$5))))))</x:f>
        <x:v>14.340146376667706</x:v>
      </x:c>
      <x:c r="K13" s="16" t="n">
        <x:f>IF(OR(C13="",Inputs!$B$5&lt;$A13),"",IF((C13*COMBIN($D$2-$A13,Inputs!$B$5-$A13)/COMBIN($D$2,Inputs!$B$5))&lt;1E-8,-LN((C13*COMBIN($D$2-$A13,Inputs!$B$5-$A13)/COMBIN($D$2,Inputs!$B$5))),-LN(1-EXP(-(C13*COMBIN($D$2-$A13,Inputs!$B$5-$A13)/COMBIN($D$2,Inputs!$B$5))))))</x:f>
        <x:v>3.835801514563327</x:v>
      </x:c>
      <x:c r="L13" s="16" t="n">
        <x:f>IF(OR(D13="",Inputs!$B$5&lt;$A13),"",IF((D13*COMBIN($D$2-$A13,Inputs!$B$5-$A13)/COMBIN($D$2,Inputs!$B$5))&lt;1E-8,-LN((D13*COMBIN($D$2-$A13,Inputs!$B$5-$A13)/COMBIN($D$2,Inputs!$B$5))),-LN(1-EXP(-(D13*COMBIN($D$2-$A13,Inputs!$B$5-$A13)/COMBIN($D$2,Inputs!$B$5))))))</x:f>
        <x:v>19.074149138584716</x:v>
      </x:c>
      <x:c r="M13" s="16" t="str">
        <x:f>IF(OR(E13="",Inputs!$B$5&lt;$A13),"",IF((E13*COMBIN($D$2-$A13,Inputs!$B$5-$A13)/COMBIN($D$2,Inputs!$B$5))&lt;1E-8,-LN((E13*COMBIN($D$2-$A13,Inputs!$B$5-$A13)/COMBIN($D$2,Inputs!$B$5))),-LN(1-EXP(-(E13*COMBIN($D$2-$A13,Inputs!$B$5-$A13)/COMBIN($D$2,Inputs!$B$5))))))</x:f>
      </x:c>
      <x:c r="N13" s="16" t="n">
        <x:f>N12+(-LN((Inputs!$B$4-($A13-1))/($D$2-($A13-1))))</x:f>
        <x:v>17.52646973236019</x:v>
      </x:c>
      <x:c r="O13" s="16" t="n">
        <x:f>O12+((MAX(Inputs!$B$4-($A13-1)-1,0))/(Inputs!$B$4-($A13-1)+1))*(-LN((2*$B$2)/($D$2-($A13-1))))+(2/(Inputs!$B$4-($A13-1)+1))*(-LN($B$2/($D$2-($A13-1))))</x:f>
        <x:v>18.527454813006273</x:v>
      </x:c>
      <x:c r="P13" s="16" t="n">
        <x:f>P12+((MAX(Inputs!$B$4-($A13-1)-1,0))/(Inputs!$B$4-($A13-1)+1))*(-LN(2/($D$2-($A13-1))))+(2/(Inputs!$B$4-($A13-1)+1))*(-LN(1/($D$2-($A13-1))))</x:f>
        <x:v>31.698977229998626</x:v>
      </x:c>
      <x:c r="Q13" s="16" t="str">
        <x:f>IF($A13&gt;$B$2,"",Q12+(-LN(($B$2-($A13-1))/($D$2-($A13-1)))))</x:f>
      </x:c>
      <x:c r="R13" s="16" t="n">
        <x:f>IF(J13&lt;&gt;"",Inputs!$B$6*J13+(1-Inputs!$B$6)*N13,"")</x:f>
        <x:v>14.977411047806202</x:v>
      </x:c>
      <x:c r="S13" s="16" t="n">
        <x:f>IF(K13&lt;&gt;"",Inputs!$B$6*K13+(1-Inputs!$B$6)*O13,"")</x:f>
        <x:v>6.774132174251916</x:v>
      </x:c>
      <x:c r="T13" s="16" t="n">
        <x:f>IF(L13&lt;&gt;"",Inputs!$B$6*L13+(1-Inputs!$B$6)*P13,"")</x:f>
        <x:v>21.599114756867497</x:v>
      </x:c>
      <x:c r="U13" s="16" t="str">
        <x:f>IF(M13&lt;&gt;"",Inputs!$B$6*M13+(1-Inputs!$B$6)*Q13,"")</x:f>
      </x:c>
      <x:c r="V13" s="16" t="n">
        <x:f>Inputs!$B$10*Inputs!$B$11*(IF($A13&lt;=5,1,2))*(Inputs!$B$14-Inputs!$B$15)</x:f>
        <x:v>1.8899999999999997</x:v>
      </x:c>
      <x:c r="W13" s="16" t="n">
        <x:f>Inputs!$B$10*Inputs!$B$12*(Inputs!$B$16-IF($A13=3,Inputs!$B$17,Inputs!$B$18))</x:f>
        <x:v>0.06749999999999999</x:v>
      </x:c>
      <x:c r="X13" s="16" t="n">
        <x:f>Inputs!$B$10*Inputs!$B$13*Inputs!$B$21*(((IF($A13&lt;=5,1,2))*(Inputs!$B$14-Inputs!$B$15))+Inputs!$B$16-IF($A13=3,Inputs!$B$17,Inputs!$B$18))</x:f>
        <x:v>0.6483749999999999</x:v>
      </x:c>
      <x:c r="Y13" s="16" t="str">
        <x:f>IF(ISNUMBER(M13),Inputs!$B$10*Inputs!$B$23*Inputs!$B$22*IF($A13=3,Inputs!$B$24,IF($A13=4,Inputs!$B$25,IF($A13=5,Inputs!$B$26,""))),"")</x:f>
      </x:c>
      <x:c r="Z13" s="16" t="n">
        <x:f>0</x:f>
        <x:v>0</x:v>
      </x:c>
      <x:c r="AA13" s="16" t="n">
        <x:f>Inputs!$B$19+Inputs!$B$20*(($A13-3)/(Inputs!$B$4-3))</x:f>
        <x:v>1.8</x:v>
      </x:c>
      <x:c r="AB13" s="16" t="n">
        <x:f>0</x:f>
        <x:v>0</x:v>
      </x:c>
      <x:c r="AC13" s="16" t="n">
        <x:f>0</x:f>
        <x:v>0</x:v>
      </x:c>
      <x:c r="AD13" s="16" t="n">
        <x:f>IF(R13&lt;&gt;"",R13-Inputs!$B$7*V13+Inputs!$B$8*Z13,"")</x:f>
        <x:v>14.504911047806202</x:v>
      </x:c>
      <x:c r="AE13" s="16" t="n">
        <x:f>IF(S13&lt;&gt;"",S13-Inputs!$B$7*W13+Inputs!$B$8*AA13,"")</x:f>
        <x:v>8.557257174251916</x:v>
      </x:c>
      <x:c r="AF13" s="16" t="n">
        <x:f>IF(T13&lt;&gt;"",T13-Inputs!$B$7*X13+Inputs!$B$8*AB13,"")</x:f>
        <x:v>21.437021006867496</x:v>
      </x:c>
      <x:c r="AG13" s="16" t="str">
        <x:f>IF(U13&lt;&gt;"",U13-Inputs!$B$7*Y13+Inputs!$B$8*AC13,"")</x:f>
      </x:c>
      <x:c r="AH13" s="16" t="n">
        <x:f>IF(AD13&lt;&gt;"",MAX(0,AD13*Inputs!$B$9),"")</x:f>
        <x:v>29.009822095612403</x:v>
      </x:c>
      <x:c r="AI13" s="16" t="n">
        <x:f>IF(AE13&lt;&gt;"",MAX(0,AE13*Inputs!$B$9),"")</x:f>
        <x:v>17.114514348503832</x:v>
      </x:c>
      <x:c r="AJ13" s="16" t="n">
        <x:f>IF(AF13&lt;&gt;"",MAX(0,AF13*Inputs!$B$9),"")</x:f>
        <x:v>42.87404201373499</x:v>
      </x:c>
      <x:c r="AK13" s="16" t="str">
        <x:f>IF(AG13&lt;&gt;"",MAX(0,AG13*Inputs!$B$9),"")</x:f>
      </x:c>
    </x:row>
    <x:row r="14">
      <x:c r="A14" t="n">
        <x:v>13</x:v>
      </x:c>
      <x:c r="B14" s="36" t="n">
        <x:f>$B$2*COMBIN(Inputs!$B$4,$A14)</x:f>
        <x:v>420</x:v>
      </x:c>
      <x:c r="C14" s="36" t="n">
        <x:f>(Inputs!$B$4-$A14+1)*($B$2^$A14)</x:f>
        <x:v>201326592</x:v>
      </x:c>
      <x:c r="D14" s="36" t="n">
        <x:f>$B$2*(Inputs!$B$4-$A14+1)</x:f>
        <x:v>12</x:v>
      </x:c>
      <x:c r="E14" s="36" t="str">
        <x:f>IF($A14&lt;=$B$2,Inputs!$B$4*COMBIN($B$2,$A14),"")</x:f>
      </x:c>
      <x:c r="F14" s="38" t="n">
        <x:f>IF(OR(B14="",Inputs!$B$5&lt;$A14),"",IF((B14*COMBIN($D$2-$A14,Inputs!$B$5-$A14)/COMBIN($D$2,Inputs!$B$5))&lt;1E-8,(B14*COMBIN($D$2-$A14,Inputs!$B$5-$A14)/COMBIN($D$2,Inputs!$B$5)),1-EXP(-(B14*COMBIN($D$2-$A14,Inputs!$B$5-$A14)/COMBIN($D$2,Inputs!$B$5)))))</x:f>
        <x:v>8.535158828551496e-9</x:v>
      </x:c>
      <x:c r="G14" s="38" t="n">
        <x:f>IF(OR(C14="",Inputs!$B$5&lt;$A14),"",IF((C14*COMBIN($D$2-$A14,Inputs!$B$5-$A14)/COMBIN($D$2,Inputs!$B$5))&lt;1E-8,(C14*COMBIN($D$2-$A14,Inputs!$B$5-$A14)/COMBIN($D$2,Inputs!$B$5)),1-EXP(-(C14*COMBIN($D$2-$A14,Inputs!$B$5-$A14)/COMBIN($D$2,Inputs!$B$5)))))</x:f>
        <x:v>0.004082962045484639</x:v>
      </x:c>
      <x:c r="H14" s="38" t="n">
        <x:f>IF(OR(D14="",Inputs!$B$5&lt;$A14),"",IF((D14*COMBIN($D$2-$A14,Inputs!$B$5-$A14)/COMBIN($D$2,Inputs!$B$5))&lt;1E-8,(D14*COMBIN($D$2-$A14,Inputs!$B$5-$A14)/COMBIN($D$2,Inputs!$B$5)),1-EXP(-(D14*COMBIN($D$2-$A14,Inputs!$B$5-$A14)/COMBIN($D$2,Inputs!$B$5)))))</x:f>
        <x:v>2.4386168081575705e-10</x:v>
      </x:c>
      <x:c r="I14" s="38" t="str">
        <x:f>IF(OR(E14="",Inputs!$B$5&lt;$A14),"",IF((E14*COMBIN($D$2-$A14,Inputs!$B$5-$A14)/COMBIN($D$2,Inputs!$B$5))&lt;1E-8,(E14*COMBIN($D$2-$A14,Inputs!$B$5-$A14)/COMBIN($D$2,Inputs!$B$5)),1-EXP(-(E14*COMBIN($D$2-$A14,Inputs!$B$5-$A14)/COMBIN($D$2,Inputs!$B$5)))))</x:f>
      </x:c>
      <x:c r="J14" s="16" t="n">
        <x:f>IF(OR(B14="",Inputs!$B$5&lt;$A14),"",IF((B14*COMBIN($D$2-$A14,Inputs!$B$5-$A14)/COMBIN($D$2,Inputs!$B$5))&lt;1E-8,-LN((B14*COMBIN($D$2-$A14,Inputs!$B$5-$A14)/COMBIN($D$2,Inputs!$B$5))),-LN(1-EXP(-(B14*COMBIN($D$2-$A14,Inputs!$B$5-$A14)/COMBIN($D$2,Inputs!$B$5))))))</x:f>
        <x:v>18.579071871786862</x:v>
      </x:c>
      <x:c r="K14" s="16" t="n">
        <x:f>IF(OR(C14="",Inputs!$B$5&lt;$A14),"",IF((C14*COMBIN($D$2-$A14,Inputs!$B$5-$A14)/COMBIN($D$2,Inputs!$B$5))&lt;1E-8,-LN((C14*COMBIN($D$2-$A14,Inputs!$B$5-$A14)/COMBIN($D$2,Inputs!$B$5))),-LN(1-EXP(-(C14*COMBIN($D$2-$A14,Inputs!$B$5-$A14)/COMBIN($D$2,Inputs!$B$5))))))</x:f>
        <x:v>5.500932562430093</x:v>
      </x:c>
      <x:c r="L14" s="16" t="n">
        <x:f>IF(OR(D14="",Inputs!$B$5&lt;$A14),"",IF((D14*COMBIN($D$2-$A14,Inputs!$B$5-$A14)/COMBIN($D$2,Inputs!$B$5))&lt;1E-8,-LN((D14*COMBIN($D$2-$A14,Inputs!$B$5-$A14)/COMBIN($D$2,Inputs!$B$5))),-LN(1-EXP(-(D14*COMBIN($D$2-$A14,Inputs!$B$5-$A14)/COMBIN($D$2,Inputs!$B$5))))))</x:f>
        <x:v>22.134419933276277</x:v>
      </x:c>
      <x:c r="M14" s="16" t="str">
        <x:f>IF(OR(E14="",Inputs!$B$5&lt;$A14),"",IF((E14*COMBIN($D$2-$A14,Inputs!$B$5-$A14)/COMBIN($D$2,Inputs!$B$5))&lt;1E-8,-LN((E14*COMBIN($D$2-$A14,Inputs!$B$5-$A14)/COMBIN($D$2,Inputs!$B$5))),-LN(1-EXP(-(E14*COMBIN($D$2-$A14,Inputs!$B$5-$A14)/COMBIN($D$2,Inputs!$B$5))))))</x:f>
      </x:c>
      <x:c r="N14" s="16" t="n">
        <x:f>N13+(-LN((Inputs!$B$4-($A14-1))/($D$2-($A14-1))))</x:f>
        <x:v>20.299058454599972</x:v>
      </x:c>
      <x:c r="O14" s="16" t="n">
        <x:f>O13+((MAX(Inputs!$B$4-($A14-1)-1,0))/(Inputs!$B$4-($A14-1)+1))*(-LN((2*$B$2)/($D$2-($A14-1))))+(2/(Inputs!$B$4-($A14-1)+1))*(-LN($B$2/($D$2-($A14-1))))</x:f>
        <x:v>20.6657878725143</x:v>
      </x:c>
      <x:c r="P14" s="16" t="n">
        <x:f>P13+((MAX(Inputs!$B$4-($A14-1)-1,0))/(Inputs!$B$4-($A14-1)+1))*(-LN(2/($D$2-($A14-1))))+(2/(Inputs!$B$4-($A14-1)+1))*(-LN(1/($D$2-($A14-1))))</x:f>
        <x:v>35.22360465062655</x:v>
      </x:c>
      <x:c r="Q14" s="16" t="str">
        <x:f>IF($A14&gt;$B$2,"",Q13+(-LN(($B$2-($A14-1))/($D$2-($A14-1)))))</x:f>
      </x:c>
      <x:c r="R14" s="16" t="n">
        <x:f>IF(J14&lt;&gt;"",Inputs!$B$6*J14+(1-Inputs!$B$6)*N14,"")</x:f>
        <x:v>18.923069188349483</x:v>
      </x:c>
      <x:c r="S14" s="16" t="n">
        <x:f>IF(K14&lt;&gt;"",Inputs!$B$6*K14+(1-Inputs!$B$6)*O14,"")</x:f>
        <x:v>8.533903624446934</x:v>
      </x:c>
      <x:c r="T14" s="16" t="n">
        <x:f>IF(L14&lt;&gt;"",Inputs!$B$6*L14+(1-Inputs!$B$6)*P14,"")</x:f>
        <x:v>24.75225687674633</x:v>
      </x:c>
      <x:c r="U14" s="16" t="str">
        <x:f>IF(M14&lt;&gt;"",Inputs!$B$6*M14+(1-Inputs!$B$6)*Q14,"")</x:f>
      </x:c>
      <x:c r="V14" s="16" t="n">
        <x:f>Inputs!$B$10*Inputs!$B$11*(IF($A14&lt;=5,1,2))*(Inputs!$B$14-Inputs!$B$15)</x:f>
        <x:v>1.8899999999999997</x:v>
      </x:c>
      <x:c r="W14" s="16" t="n">
        <x:f>Inputs!$B$10*Inputs!$B$12*(Inputs!$B$16-IF($A14=3,Inputs!$B$17,Inputs!$B$18))</x:f>
        <x:v>0.06749999999999999</x:v>
      </x:c>
      <x:c r="X14" s="16" t="n">
        <x:f>Inputs!$B$10*Inputs!$B$13*Inputs!$B$21*(((IF($A14&lt;=5,1,2))*(Inputs!$B$14-Inputs!$B$15))+Inputs!$B$16-IF($A14=3,Inputs!$B$17,Inputs!$B$18))</x:f>
        <x:v>0.6483749999999999</x:v>
      </x:c>
      <x:c r="Y14" s="16" t="str">
        <x:f>IF(ISNUMBER(M14),Inputs!$B$10*Inputs!$B$23*Inputs!$B$22*IF($A14=3,Inputs!$B$24,IF($A14=4,Inputs!$B$25,IF($A14=5,Inputs!$B$26,""))),"")</x:f>
      </x:c>
      <x:c r="Z14" s="16" t="n">
        <x:f>0</x:f>
        <x:v>0</x:v>
      </x:c>
      <x:c r="AA14" s="16" t="n">
        <x:f>Inputs!$B$19+Inputs!$B$20*(($A14-3)/(Inputs!$B$4-3))</x:f>
        <x:v>1.8666666666666667</x:v>
      </x:c>
      <x:c r="AB14" s="16" t="n">
        <x:f>0</x:f>
        <x:v>0</x:v>
      </x:c>
      <x:c r="AC14" s="16" t="n">
        <x:f>0</x:f>
        <x:v>0</x:v>
      </x:c>
      <x:c r="AD14" s="16" t="n">
        <x:f>IF(R14&lt;&gt;"",R14-Inputs!$B$7*V14+Inputs!$B$8*Z14,"")</x:f>
        <x:v>18.450569188349483</x:v>
      </x:c>
      <x:c r="AE14" s="16" t="n">
        <x:f>IF(S14&lt;&gt;"",S14-Inputs!$B$7*W14+Inputs!$B$8*AA14,"")</x:f>
        <x:v>10.3836952911136</x:v>
      </x:c>
      <x:c r="AF14" s="16" t="n">
        <x:f>IF(T14&lt;&gt;"",T14-Inputs!$B$7*X14+Inputs!$B$8*AB14,"")</x:f>
        <x:v>24.59016312674633</x:v>
      </x:c>
      <x:c r="AG14" s="16" t="str">
        <x:f>IF(U14&lt;&gt;"",U14-Inputs!$B$7*Y14+Inputs!$B$8*AC14,"")</x:f>
      </x:c>
      <x:c r="AH14" s="16" t="n">
        <x:f>IF(AD14&lt;&gt;"",MAX(0,AD14*Inputs!$B$9),"")</x:f>
        <x:v>36.90113837669897</x:v>
      </x:c>
      <x:c r="AI14" s="16" t="n">
        <x:f>IF(AE14&lt;&gt;"",MAX(0,AE14*Inputs!$B$9),"")</x:f>
        <x:v>20.7673905822272</x:v>
      </x:c>
      <x:c r="AJ14" s="16" t="n">
        <x:f>IF(AF14&lt;&gt;"",MAX(0,AF14*Inputs!$B$9),"")</x:f>
        <x:v>49.18032625349266</x:v>
      </x:c>
      <x:c r="AK14" s="16" t="str">
        <x:f>IF(AG14&lt;&gt;"",MAX(0,AG14*Inputs!$B$9),"")</x:f>
      </x:c>
    </x:row>
    <x:row r="15">
      <x:c r="A15" t="n">
        <x:v>14</x:v>
      </x:c>
      <x:c r="B15" s="36" t="n">
        <x:f>$B$2*COMBIN(Inputs!$B$4,$A15)</x:f>
        <x:v>60</x:v>
      </x:c>
      <x:c r="C15" s="36" t="n">
        <x:f>(Inputs!$B$4-$A15+1)*($B$2^$A15)</x:f>
        <x:v>536870912</x:v>
      </x:c>
      <x:c r="D15" s="36" t="n">
        <x:f>$B$2*(Inputs!$B$4-$A15+1)</x:f>
        <x:v>8</x:v>
      </x:c>
      <x:c r="E15" s="36" t="str">
        <x:f>IF($A15&lt;=$B$2,Inputs!$B$4*COMBIN($B$2,$A15),"")</x:f>
      </x:c>
      <x:c r="F15" s="38" t="n">
        <x:f>IF(OR(B15="",Inputs!$B$5&lt;$A15),"",IF((B15*COMBIN($D$2-$A15,Inputs!$B$5-$A15)/COMBIN($D$2,Inputs!$B$5))&lt;1E-8,(B15*COMBIN($D$2-$A15,Inputs!$B$5-$A15)/COMBIN($D$2,Inputs!$B$5)),1-EXP(-(B15*COMBIN($D$2-$A15,Inputs!$B$5-$A15)/COMBIN($D$2,Inputs!$B$5)))))</x:f>
        <x:v>5.188546400335256e-11</x:v>
      </x:c>
      <x:c r="G15" s="38" t="n">
        <x:f>IF(OR(C15="",Inputs!$B$5&lt;$A15),"",IF((C15*COMBIN($D$2-$A15,Inputs!$B$5-$A15)/COMBIN($D$2,Inputs!$B$5))&lt;1E-8,(C15*COMBIN($D$2-$A15,Inputs!$B$5-$A15)/COMBIN($D$2,Inputs!$B$5)),1-EXP(-(C15*COMBIN($D$2-$A15,Inputs!$B$5-$A15)/COMBIN($D$2,Inputs!$B$5)))))</x:f>
        <x:v>0.00046415551946632494</x:v>
      </x:c>
      <x:c r="H15" s="38" t="n">
        <x:f>IF(OR(D15="",Inputs!$B$5&lt;$A15),"",IF((D15*COMBIN($D$2-$A15,Inputs!$B$5-$A15)/COMBIN($D$2,Inputs!$B$5))&lt;1E-8,(D15*COMBIN($D$2-$A15,Inputs!$B$5-$A15)/COMBIN($D$2,Inputs!$B$5)),1-EXP(-(D15*COMBIN($D$2-$A15,Inputs!$B$5-$A15)/COMBIN($D$2,Inputs!$B$5)))))</x:f>
        <x:v>6.918061867113675e-12</x:v>
      </x:c>
      <x:c r="I15" s="38" t="str">
        <x:f>IF(OR(E15="",Inputs!$B$5&lt;$A15),"",IF((E15*COMBIN($D$2-$A15,Inputs!$B$5-$A15)/COMBIN($D$2,Inputs!$B$5))&lt;1E-8,(E15*COMBIN($D$2-$A15,Inputs!$B$5-$A15)/COMBIN($D$2,Inputs!$B$5)),1-EXP(-(E15*COMBIN($D$2-$A15,Inputs!$B$5-$A15)/COMBIN($D$2,Inputs!$B$5)))))</x:f>
      </x:c>
      <x:c r="J15" s="16" t="n">
        <x:f>IF(OR(B15="",Inputs!$B$5&lt;$A15),"",IF((B15*COMBIN($D$2-$A15,Inputs!$B$5-$A15)/COMBIN($D$2,Inputs!$B$5))&lt;1E-8,-LN((B15*COMBIN($D$2-$A15,Inputs!$B$5-$A15)/COMBIN($D$2,Inputs!$B$5))),-LN(1-EXP(-(B15*COMBIN($D$2-$A15,Inputs!$B$5-$A15)/COMBIN($D$2,Inputs!$B$5))))))</x:f>
        <x:v>23.68198244199229</x:v>
      </x:c>
      <x:c r="K15" s="16" t="n">
        <x:f>IF(OR(C15="",Inputs!$B$5&lt;$A15),"",IF((C15*COMBIN($D$2-$A15,Inputs!$B$5-$A15)/COMBIN($D$2,Inputs!$B$5))&lt;1E-8,-LN((C15*COMBIN($D$2-$A15,Inputs!$B$5-$A15)/COMBIN($D$2,Inputs!$B$5))),-LN(1-EXP(-(C15*COMBIN($D$2-$A15,Inputs!$B$5-$A15)/COMBIN($D$2,Inputs!$B$5))))))</x:f>
        <x:v>7.675290890631728</x:v>
      </x:c>
      <x:c r="L15" s="16" t="n">
        <x:f>IF(OR(D15="",Inputs!$B$5&lt;$A15),"",IF((D15*COMBIN($D$2-$A15,Inputs!$B$5-$A15)/COMBIN($D$2,Inputs!$B$5))&lt;1E-8,-LN((D15*COMBIN($D$2-$A15,Inputs!$B$5-$A15)/COMBIN($D$2,Inputs!$B$5))),-LN(1-EXP(-(D15*COMBIN($D$2-$A15,Inputs!$B$5-$A15)/COMBIN($D$2,Inputs!$B$5))))))</x:f>
        <x:v>25.696885462534553</x:v>
      </x:c>
      <x:c r="M15" s="16" t="str">
        <x:f>IF(OR(E15="",Inputs!$B$5&lt;$A15),"",IF((E15*COMBIN($D$2-$A15,Inputs!$B$5-$A15)/COMBIN($D$2,Inputs!$B$5))&lt;1E-8,-LN((E15*COMBIN($D$2-$A15,Inputs!$B$5-$A15)/COMBIN($D$2,Inputs!$B$5))),-LN(1-EXP(-(E15*COMBIN($D$2-$A15,Inputs!$B$5-$A15)/COMBIN($D$2,Inputs!$B$5))))))</x:f>
      </x:c>
      <x:c r="N15" s="16" t="n">
        <x:f>N14+(-LN((Inputs!$B$4-($A15-1))/($D$2-($A15-1))))</x:f>
        <x:v>23.456058875750085</x:v>
      </x:c>
      <x:c r="O15" s="16" t="n">
        <x:f>O14+((MAX(Inputs!$B$4-($A15-1)-1,0))/(Inputs!$B$4-($A15-1)+1))*(-LN((2*$B$2)/($D$2-($A15-1))))+(2/(Inputs!$B$4-($A15-1)+1))*(-LN($B$2/($D$2-($A15-1))))</x:f>
        <x:v>22.89859205291782</x:v>
      </x:c>
      <x:c r="P15" s="16" t="n">
        <x:f>P14+((MAX(Inputs!$B$4-($A15-1)-1,0))/(Inputs!$B$4-($A15-1)+1))*(-LN(2/($D$2-($A15-1))))+(2/(Inputs!$B$4-($A15-1)+1))*(-LN(1/($D$2-($A15-1))))</x:f>
        <x:v>38.84270319214996</x:v>
      </x:c>
      <x:c r="Q15" s="16" t="str">
        <x:f>IF($A15&gt;$B$2,"",Q14+(-LN(($B$2-($A15-1))/($D$2-($A15-1)))))</x:f>
      </x:c>
      <x:c r="R15" s="16" t="n">
        <x:f>IF(J15&lt;&gt;"",Inputs!$B$6*J15+(1-Inputs!$B$6)*N15,"")</x:f>
        <x:v>23.636797728743847</x:v>
      </x:c>
      <x:c r="S15" s="16" t="n">
        <x:f>IF(K15&lt;&gt;"",Inputs!$B$6*K15+(1-Inputs!$B$6)*O15,"")</x:f>
        <x:v>10.719951123088947</x:v>
      </x:c>
      <x:c r="T15" s="16" t="n">
        <x:f>IF(L15&lt;&gt;"",Inputs!$B$6*L15+(1-Inputs!$B$6)*P15,"")</x:f>
        <x:v>28.326049008457634</x:v>
      </x:c>
      <x:c r="U15" s="16" t="str">
        <x:f>IF(M15&lt;&gt;"",Inputs!$B$6*M15+(1-Inputs!$B$6)*Q15,"")</x:f>
      </x:c>
      <x:c r="V15" s="16" t="n">
        <x:f>Inputs!$B$10*Inputs!$B$11*(IF($A15&lt;=5,1,2))*(Inputs!$B$14-Inputs!$B$15)</x:f>
        <x:v>1.8899999999999997</x:v>
      </x:c>
      <x:c r="W15" s="16" t="n">
        <x:f>Inputs!$B$10*Inputs!$B$12*(Inputs!$B$16-IF($A15=3,Inputs!$B$17,Inputs!$B$18))</x:f>
        <x:v>0.06749999999999999</x:v>
      </x:c>
      <x:c r="X15" s="16" t="n">
        <x:f>Inputs!$B$10*Inputs!$B$13*Inputs!$B$21*(((IF($A15&lt;=5,1,2))*(Inputs!$B$14-Inputs!$B$15))+Inputs!$B$16-IF($A15=3,Inputs!$B$17,Inputs!$B$18))</x:f>
        <x:v>0.6483749999999999</x:v>
      </x:c>
      <x:c r="Y15" s="16" t="str">
        <x:f>IF(ISNUMBER(M15),Inputs!$B$10*Inputs!$B$23*Inputs!$B$22*IF($A15=3,Inputs!$B$24,IF($A15=4,Inputs!$B$25,IF($A15=5,Inputs!$B$26,""))),"")</x:f>
      </x:c>
      <x:c r="Z15" s="16" t="n">
        <x:f>0</x:f>
        <x:v>0</x:v>
      </x:c>
      <x:c r="AA15" s="16" t="n">
        <x:f>Inputs!$B$19+Inputs!$B$20*(($A15-3)/(Inputs!$B$4-3))</x:f>
        <x:v>1.9333333333333333</x:v>
      </x:c>
      <x:c r="AB15" s="16" t="n">
        <x:f>0</x:f>
        <x:v>0</x:v>
      </x:c>
      <x:c r="AC15" s="16" t="n">
        <x:f>0</x:f>
        <x:v>0</x:v>
      </x:c>
      <x:c r="AD15" s="16" t="n">
        <x:f>IF(R15&lt;&gt;"",R15-Inputs!$B$7*V15+Inputs!$B$8*Z15,"")</x:f>
        <x:v>23.164297728743847</x:v>
      </x:c>
      <x:c r="AE15" s="16" t="n">
        <x:f>IF(S15&lt;&gt;"",S15-Inputs!$B$7*W15+Inputs!$B$8*AA15,"")</x:f>
        <x:v>12.63640945642228</x:v>
      </x:c>
      <x:c r="AF15" s="16" t="n">
        <x:f>IF(T15&lt;&gt;"",T15-Inputs!$B$7*X15+Inputs!$B$8*AB15,"")</x:f>
        <x:v>28.163955258457634</x:v>
      </x:c>
      <x:c r="AG15" s="16" t="str">
        <x:f>IF(U15&lt;&gt;"",U15-Inputs!$B$7*Y15+Inputs!$B$8*AC15,"")</x:f>
      </x:c>
      <x:c r="AH15" s="16" t="n">
        <x:f>IF(AD15&lt;&gt;"",MAX(0,AD15*Inputs!$B$9),"")</x:f>
        <x:v>46.328595457487694</x:v>
      </x:c>
      <x:c r="AI15" s="16" t="n">
        <x:f>IF(AE15&lt;&gt;"",MAX(0,AE15*Inputs!$B$9),"")</x:f>
        <x:v>25.27281891284456</x:v>
      </x:c>
      <x:c r="AJ15" s="16" t="n">
        <x:f>IF(AF15&lt;&gt;"",MAX(0,AF15*Inputs!$B$9),"")</x:f>
        <x:v>56.32791051691527</x:v>
      </x:c>
      <x:c r="AK15" s="16" t="str">
        <x:f>IF(AG15&lt;&gt;"",MAX(0,AG15*Inputs!$B$9),"")</x:f>
      </x:c>
    </x:row>
    <x:row r="16">
      <x:c r="A16" t="n">
        <x:v>15</x:v>
      </x:c>
      <x:c r="B16" s="36" t="n">
        <x:f>$B$2*COMBIN(Inputs!$B$4,$A16)</x:f>
        <x:v>4</x:v>
      </x:c>
      <x:c r="C16" s="36" t="n">
        <x:f>(Inputs!$B$4-$A16+1)*($B$2^$A16)</x:f>
        <x:v>1073741824</x:v>
      </x:c>
      <x:c r="D16" s="36" t="n">
        <x:f>$B$2*(Inputs!$B$4-$A16+1)</x:f>
        <x:v>4</x:v>
      </x:c>
      <x:c r="E16" s="36" t="str">
        <x:f>IF($A16&lt;=$B$2,Inputs!$B$4*COMBIN($B$2,$A16),"")</x:f>
      </x:c>
      <x:c r="F16" s="38" t="n">
        <x:f>IF(OR(B16="",Inputs!$B$5&lt;$A16),"",IF((B16*COMBIN($D$2-$A16,Inputs!$B$5-$A16)/COMBIN($D$2,Inputs!$B$5))&lt;1E-8,(B16*COMBIN($D$2-$A16,Inputs!$B$5-$A16)/COMBIN($D$2,Inputs!$B$5)),1-EXP(-(B16*COMBIN($D$2-$A16,Inputs!$B$5-$A16)/COMBIN($D$2,Inputs!$B$5)))))</x:f>
        <x:v>7.519632464253995e-14</x:v>
      </x:c>
      <x:c r="G16" s="38" t="n">
        <x:f>IF(OR(C16="",Inputs!$B$5&lt;$A16),"",IF((C16*COMBIN($D$2-$A16,Inputs!$B$5-$A16)/COMBIN($D$2,Inputs!$B$5))&lt;1E-8,(C16*COMBIN($D$2-$A16,Inputs!$B$5-$A16)/COMBIN($D$2,Inputs!$B$5)),1-EXP(-(C16*COMBIN($D$2-$A16,Inputs!$B$5-$A16)/COMBIN($D$2,Inputs!$B$5)))))</x:f>
        <x:v>0.000020185155971907953</x:v>
      </x:c>
      <x:c r="H16" s="38" t="n">
        <x:f>IF(OR(D16="",Inputs!$B$5&lt;$A16),"",IF((D16*COMBIN($D$2-$A16,Inputs!$B$5-$A16)/COMBIN($D$2,Inputs!$B$5))&lt;1E-8,(D16*COMBIN($D$2-$A16,Inputs!$B$5-$A16)/COMBIN($D$2,Inputs!$B$5)),1-EXP(-(D16*COMBIN($D$2-$A16,Inputs!$B$5-$A16)/COMBIN($D$2,Inputs!$B$5)))))</x:f>
        <x:v>7.519632464253995e-14</x:v>
      </x:c>
      <x:c r="I16" s="38" t="str">
        <x:f>IF(OR(E16="",Inputs!$B$5&lt;$A16),"",IF((E16*COMBIN($D$2-$A16,Inputs!$B$5-$A16)/COMBIN($D$2,Inputs!$B$5))&lt;1E-8,(E16*COMBIN($D$2-$A16,Inputs!$B$5-$A16)/COMBIN($D$2,Inputs!$B$5)),1-EXP(-(E16*COMBIN($D$2-$A16,Inputs!$B$5-$A16)/COMBIN($D$2,Inputs!$B$5)))))</x:f>
      </x:c>
      <x:c r="J16" s="16" t="n">
        <x:f>IF(OR(B16="",Inputs!$B$5&lt;$A16),"",IF((B16*COMBIN($D$2-$A16,Inputs!$B$5-$A16)/COMBIN($D$2,Inputs!$B$5))&lt;1E-8,-LN((B16*COMBIN($D$2-$A16,Inputs!$B$5-$A16)/COMBIN($D$2,Inputs!$B$5))),-LN(1-EXP(-(B16*COMBIN($D$2-$A16,Inputs!$B$5-$A16)/COMBIN($D$2,Inputs!$B$5))))))</x:f>
        <x:v>30.218674039583593</x:v>
      </x:c>
      <x:c r="K16" s="16" t="n">
        <x:f>IF(OR(C16="",Inputs!$B$5&lt;$A16),"",IF((C16*COMBIN($D$2-$A16,Inputs!$B$5-$A16)/COMBIN($D$2,Inputs!$B$5))&lt;1E-8,-LN((C16*COMBIN($D$2-$A16,Inputs!$B$5-$A16)/COMBIN($D$2,Inputs!$B$5))),-LN(1-EXP(-(C16*COMBIN($D$2-$A16,Inputs!$B$5-$A16)/COMBIN($D$2,Inputs!$B$5))))))</x:f>
        <x:v>10.810563076569682</x:v>
      </x:c>
      <x:c r="L16" s="16" t="n">
        <x:f>IF(OR(D16="",Inputs!$B$5&lt;$A16),"",IF((D16*COMBIN($D$2-$A16,Inputs!$B$5-$A16)/COMBIN($D$2,Inputs!$B$5))&lt;1E-8,-LN((D16*COMBIN($D$2-$A16,Inputs!$B$5-$A16)/COMBIN($D$2,Inputs!$B$5))),-LN(1-EXP(-(D16*COMBIN($D$2-$A16,Inputs!$B$5-$A16)/COMBIN($D$2,Inputs!$B$5))))))</x:f>
        <x:v>30.218674039583593</x:v>
      </x:c>
      <x:c r="M16" s="16" t="str">
        <x:f>IF(OR(E16="",Inputs!$B$5&lt;$A16),"",IF((E16*COMBIN($D$2-$A16,Inputs!$B$5-$A16)/COMBIN($D$2,Inputs!$B$5))&lt;1E-8,-LN((E16*COMBIN($D$2-$A16,Inputs!$B$5-$A16)/COMBIN($D$2,Inputs!$B$5))),-LN(1-EXP(-(E16*COMBIN($D$2-$A16,Inputs!$B$5-$A16)/COMBIN($D$2,Inputs!$B$5))))))</x:f>
      </x:c>
      <x:c r="N16" s="16" t="n">
        <x:f>N15+(-LN((Inputs!$B$4-($A16-1))/($D$2-($A16-1))))</x:f>
        <x:v>27.284700272239178</x:v>
      </x:c>
      <x:c r="O16" s="16" t="n">
        <x:f>O15+((MAX(Inputs!$B$4-($A16-1)-1,0))/(Inputs!$B$4-($A16-1)+1))*(-LN((2*$B$2)/($D$2-($A16-1))))+(2/(Inputs!$B$4-($A16-1)+1))*(-LN($B$2/($D$2-($A16-1))))</x:f>
        <x:v>25.340939088287023</x:v>
      </x:c>
      <x:c r="P16" s="16" t="n">
        <x:f>P15+((MAX(Inputs!$B$4-($A16-1)-1,0))/(Inputs!$B$4-($A16-1)+1))*(-LN(2/($D$2-($A16-1))))+(2/(Inputs!$B$4-($A16-1)+1))*(-LN(1/($D$2-($A16-1))))</x:f>
        <x:v>42.67134458863906</x:v>
      </x:c>
      <x:c r="Q16" s="16" t="str">
        <x:f>IF($A16&gt;$B$2,"",Q15+(-LN(($B$2-($A16-1))/($D$2-($A16-1)))))</x:f>
      </x:c>
      <x:c r="R16" s="16" t="n">
        <x:f>IF(J16&lt;&gt;"",Inputs!$B$6*J16+(1-Inputs!$B$6)*N16,"")</x:f>
        <x:v>29.63187928611471</x:v>
      </x:c>
      <x:c r="S16" s="16" t="n">
        <x:f>IF(K16&lt;&gt;"",Inputs!$B$6*K16+(1-Inputs!$B$6)*O16,"")</x:f>
        <x:v>13.71663827891315</x:v>
      </x:c>
      <x:c r="T16" s="16" t="n">
        <x:f>IF(L16&lt;&gt;"",Inputs!$B$6*L16+(1-Inputs!$B$6)*P16,"")</x:f>
        <x:v>32.709208149394684</x:v>
      </x:c>
      <x:c r="U16" s="16" t="str">
        <x:f>IF(M16&lt;&gt;"",Inputs!$B$6*M16+(1-Inputs!$B$6)*Q16,"")</x:f>
      </x:c>
      <x:c r="V16" s="16" t="n">
        <x:f>Inputs!$B$10*Inputs!$B$11*(IF($A16&lt;=5,1,2))*(Inputs!$B$14-Inputs!$B$15)</x:f>
        <x:v>1.8899999999999997</x:v>
      </x:c>
      <x:c r="W16" s="16" t="n">
        <x:f>Inputs!$B$10*Inputs!$B$12*(Inputs!$B$16-IF($A16=3,Inputs!$B$17,Inputs!$B$18))</x:f>
        <x:v>0.06749999999999999</x:v>
      </x:c>
      <x:c r="X16" s="16" t="n">
        <x:f>Inputs!$B$10*Inputs!$B$13*Inputs!$B$21*(((IF($A16&lt;=5,1,2))*(Inputs!$B$14-Inputs!$B$15))+Inputs!$B$16-IF($A16=3,Inputs!$B$17,Inputs!$B$18))</x:f>
        <x:v>0.6483749999999999</x:v>
      </x:c>
      <x:c r="Y16" s="16" t="str">
        <x:f>IF(ISNUMBER(M16),Inputs!$B$10*Inputs!$B$23*Inputs!$B$22*IF($A16=3,Inputs!$B$24,IF($A16=4,Inputs!$B$25,IF($A16=5,Inputs!$B$26,""))),"")</x:f>
      </x:c>
      <x:c r="Z16" s="16" t="n">
        <x:f>0</x:f>
        <x:v>0</x:v>
      </x:c>
      <x:c r="AA16" s="16" t="n">
        <x:f>Inputs!$B$19+Inputs!$B$20*(($A16-3)/(Inputs!$B$4-3))</x:f>
        <x:v>2</x:v>
      </x:c>
      <x:c r="AB16" s="16" t="n">
        <x:f>0</x:f>
        <x:v>0</x:v>
      </x:c>
      <x:c r="AC16" s="16" t="n">
        <x:f>0</x:f>
        <x:v>0</x:v>
      </x:c>
      <x:c r="AD16" s="16" t="n">
        <x:f>IF(R16&lt;&gt;"",R16-Inputs!$B$7*V16+Inputs!$B$8*Z16,"")</x:f>
        <x:v>29.15937928611471</x:v>
      </x:c>
      <x:c r="AE16" s="16" t="n">
        <x:f>IF(S16&lt;&gt;"",S16-Inputs!$B$7*W16+Inputs!$B$8*AA16,"")</x:f>
        <x:v>15.69976327891315</x:v>
      </x:c>
      <x:c r="AF16" s="16" t="n">
        <x:f>IF(Inputs!$B$27=TRUE,AD16,IF(T16&lt;&gt;"",T16-Inputs!$B$7*X16+Inputs!$B$8*AB16,""))</x:f>
        <x:v>29.15937928611471</x:v>
      </x:c>
      <x:c r="AG16" s="16" t="str">
        <x:f>IF(U16&lt;&gt;"",U16-Inputs!$B$7*Y16+Inputs!$B$8*AC16,"")</x:f>
      </x:c>
      <x:c r="AH16" s="16" t="n">
        <x:f>IF(AD16&lt;&gt;"",MAX(0,AD16*Inputs!$B$9),"")</x:f>
        <x:v>58.31875857222942</x:v>
      </x:c>
      <x:c r="AI16" s="16" t="n">
        <x:f>IF(AE16&lt;&gt;"",MAX(0,AE16*Inputs!$B$9),"")</x:f>
        <x:v>31.3995265578263</x:v>
      </x:c>
      <x:c r="AJ16" s="16" t="n">
        <x:f>IF(AF16&lt;&gt;"",MAX(0,AF16*Inputs!$B$9),"")</x:f>
        <x:v>58.31875857222942</x:v>
      </x:c>
      <x:c r="AK16" s="16" t="str">
        <x:f>IF(AG16&lt;&gt;"",MAX(0,AG16*Inputs!$B$9),"")</x:f>
      </x:c>
    </x:row>
  </x:sheetData>
  <x:mergeCells>
    <x:mergeCell ref="A1:A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</x:cols>
  <x:sheetData>
    <x:row r="1" ht="26" customHeight="1">
      <x:c r="A1" s="24" t="str">
        <x:v>Deck 2 (5×15 = 75): fixed m=15 model with utility layer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</x:row>
    <x:row r="2">
      <x:c r="A2" s="28" t="str">
        <x:v>Energies</x:v>
      </x:c>
      <x:c r="B2" s="28" t="n">
        <x:v>5</x:v>
      </x:c>
      <x:c r="C2" s="28" t="str">
        <x:v>Deck cards</x:v>
      </x:c>
      <x:c r="D2" s="28" t="n">
        <x:f>Inputs!$B$4*B2</x:f>
        <x:v>75</x:v>
      </x:c>
    </x:row>
    <x:row r="3" ht="34" customHeight="1">
      <x:c r="A3" s="34" t="str">
        <x:v>Size</x:v>
      </x:c>
      <x:c r="B3" s="40" t="str">
        <x:v>Count C</x:v>
      </x:c>
      <x:c r="C3" s="40" t="str">
        <x:v>Count T</x:v>
      </x:c>
      <x:c r="D3" s="40" t="str">
        <x:v>Count PT</x:v>
      </x:c>
      <x:c r="E3" s="40" t="str">
        <x:v>Count E</x:v>
      </x:c>
      <x:c r="F3" s="42" t="str">
        <x:v>P C</x:v>
      </x:c>
      <x:c r="G3" s="42" t="str">
        <x:v>P T</x:v>
      </x:c>
      <x:c r="H3" s="42" t="str">
        <x:v>P PT</x:v>
      </x:c>
      <x:c r="I3" s="42" t="str">
        <x:v>P E</x:v>
      </x:c>
      <x:c r="J3" s="44" t="str">
        <x:v>RawDiff C</x:v>
      </x:c>
      <x:c r="K3" s="44" t="str">
        <x:v>RawDiff T</x:v>
      </x:c>
      <x:c r="L3" s="44" t="str">
        <x:v>RawDiff PT</x:v>
      </x:c>
      <x:c r="M3" s="44" t="str">
        <x:v>RawDiff E</x:v>
      </x:c>
      <x:c r="N3" s="46" t="str">
        <x:v>MargDiff C</x:v>
      </x:c>
      <x:c r="O3" s="46" t="str">
        <x:v>MargDiff T</x:v>
      </x:c>
      <x:c r="P3" s="46" t="str">
        <x:v>MargDiff PT</x:v>
      </x:c>
      <x:c r="Q3" s="46" t="str">
        <x:v>MargDiff E</x:v>
      </x:c>
      <x:c r="R3" s="48" t="str">
        <x:v>Baseline C</x:v>
      </x:c>
      <x:c r="S3" s="48" t="str">
        <x:v>Baseline T</x:v>
      </x:c>
      <x:c r="T3" s="48" t="str">
        <x:v>Baseline PT</x:v>
      </x:c>
      <x:c r="U3" s="48" t="str">
        <x:v>Baseline E</x:v>
      </x:c>
      <x:c r="V3" s="50" t="str">
        <x:v>Utility C</x:v>
      </x:c>
      <x:c r="W3" s="50" t="str">
        <x:v>Utility T</x:v>
      </x:c>
      <x:c r="X3" s="50" t="str">
        <x:v>Utility PT</x:v>
      </x:c>
      <x:c r="Y3" s="50" t="str">
        <x:v>Utility E</x:v>
      </x:c>
      <x:c r="Z3" s="52" t="str">
        <x:v>Role C</x:v>
      </x:c>
      <x:c r="AA3" s="52" t="str">
        <x:v>Role T</x:v>
      </x:c>
      <x:c r="AB3" s="52" t="str">
        <x:v>Role PT</x:v>
      </x:c>
      <x:c r="AC3" s="52" t="str">
        <x:v>Role E</x:v>
      </x:c>
      <x:c r="AD3" s="54" t="str">
        <x:v>AdjDiff C</x:v>
      </x:c>
      <x:c r="AE3" s="54" t="str">
        <x:v>AdjDiff T</x:v>
      </x:c>
      <x:c r="AF3" s="54" t="str">
        <x:v>AdjDiff PT</x:v>
      </x:c>
      <x:c r="AG3" s="54" t="str">
        <x:v>AdjDiff E</x:v>
      </x:c>
      <x:c r="AH3" s="56" t="str">
        <x:v>AdjScore C</x:v>
      </x:c>
      <x:c r="AI3" s="56" t="str">
        <x:v>AdjScore T</x:v>
      </x:c>
      <x:c r="AJ3" s="56" t="str">
        <x:v>AdjScore PT</x:v>
      </x:c>
      <x:c r="AK3" s="56" t="str">
        <x:v>AdjScore E</x:v>
      </x:c>
    </x:row>
    <x:row r="4">
      <x:c r="A4" t="n">
        <x:v>3</x:v>
      </x:c>
      <x:c r="B4" s="36" t="n">
        <x:f>$B$2*COMBIN(Inputs!$B$4,$A4)</x:f>
        <x:v>2275</x:v>
      </x:c>
      <x:c r="C4" s="36" t="n">
        <x:f>(Inputs!$B$4-$A4+1)*($B$2^$A4)</x:f>
        <x:v>1625</x:v>
      </x:c>
      <x:c r="D4" s="36" t="n">
        <x:f>$B$2*(Inputs!$B$4-$A4+1)</x:f>
        <x:v>65</x:v>
      </x:c>
      <x:c r="E4" s="36" t="n">
        <x:f>IF($A4&lt;=$B$2,Inputs!$B$4*COMBIN($B$2,$A4),"")</x:f>
        <x:v>150</x:v>
      </x:c>
      <x:c r="F4" s="38" t="n">
        <x:f>IF(OR(B4="",Inputs!$B$5&lt;$A4),"",IF((B4*COMBIN($D$2-$A4,Inputs!$B$5-$A4)/COMBIN($D$2,Inputs!$B$5))&lt;1E-8,(B4*COMBIN($D$2-$A4,Inputs!$B$5-$A4)/COMBIN($D$2,Inputs!$B$5)),1-EXP(-(B4*COMBIN($D$2-$A4,Inputs!$B$5-$A4)/COMBIN($D$2,Inputs!$B$5)))))</x:f>
        <x:v>0.9999997799712439</x:v>
      </x:c>
      <x:c r="G4" s="38" t="n">
        <x:f>IF(OR(C4="",Inputs!$B$5&lt;$A4),"",IF((C4*COMBIN($D$2-$A4,Inputs!$B$5-$A4)/COMBIN($D$2,Inputs!$B$5))&lt;1E-8,(C4*COMBIN($D$2-$A4,Inputs!$B$5-$A4)/COMBIN($D$2,Inputs!$B$5)),1-EXP(-(C4*COMBIN($D$2-$A4,Inputs!$B$5-$A4)/COMBIN($D$2,Inputs!$B$5)))))</x:f>
        <x:v>0.9999824358080798</x:v>
      </x:c>
      <x:c r="H4" s="38" t="n">
        <x:f>IF(OR(D4="",Inputs!$B$5&lt;$A4),"",IF((D4*COMBIN($D$2-$A4,Inputs!$B$5-$A4)/COMBIN($D$2,Inputs!$B$5))&lt;1E-8,(D4*COMBIN($D$2-$A4,Inputs!$B$5-$A4)/COMBIN($D$2,Inputs!$B$5)),1-EXP(-(D4*COMBIN($D$2-$A4,Inputs!$B$5-$A4)/COMBIN($D$2,Inputs!$B$5)))))</x:f>
        <x:v>0.3546651380785625</x:v>
      </x:c>
      <x:c r="I4" s="38" t="n">
        <x:f>IF(OR(E4="",Inputs!$B$5&lt;$A4),"",IF((E4*COMBIN($D$2-$A4,Inputs!$B$5-$A4)/COMBIN($D$2,Inputs!$B$5))&lt;1E-8,(E4*COMBIN($D$2-$A4,Inputs!$B$5-$A4)/COMBIN($D$2,Inputs!$B$5)),1-EXP(-(E4*COMBIN($D$2-$A4,Inputs!$B$5-$A4)/COMBIN($D$2,Inputs!$B$5)))))</x:f>
        <x:v>0.6360492650908738</x:v>
      </x:c>
      <x:c r="J4" s="16" t="n">
        <x:f>IF(OR(B4="",Inputs!$B$5&lt;$A4),"",IF((B4*COMBIN($D$2-$A4,Inputs!$B$5-$A4)/COMBIN($D$2,Inputs!$B$5))&lt;1E-8,-LN((B4*COMBIN($D$2-$A4,Inputs!$B$5-$A4)/COMBIN($D$2,Inputs!$B$5))),-LN(1-EXP(-(B4*COMBIN($D$2-$A4,Inputs!$B$5-$A4)/COMBIN($D$2,Inputs!$B$5))))))</x:f>
        <x:v>2.2002878031015974e-7</x:v>
      </x:c>
      <x:c r="K4" s="16" t="n">
        <x:f>IF(OR(C4="",Inputs!$B$5&lt;$A4),"",IF((C4*COMBIN($D$2-$A4,Inputs!$B$5-$A4)/COMBIN($D$2,Inputs!$B$5))&lt;1E-8,-LN((C4*COMBIN($D$2-$A4,Inputs!$B$5-$A4)/COMBIN($D$2,Inputs!$B$5))),-LN(1-EXP(-(C4*COMBIN($D$2-$A4,Inputs!$B$5-$A4)/COMBIN($D$2,Inputs!$B$5))))))</x:f>
        <x:v>0.00001756434617245252</x:v>
      </x:c>
      <x:c r="L4" s="16" t="n">
        <x:f>IF(OR(D4="",Inputs!$B$5&lt;$A4),"",IF((D4*COMBIN($D$2-$A4,Inputs!$B$5-$A4)/COMBIN($D$2,Inputs!$B$5))&lt;1E-8,-LN((D4*COMBIN($D$2-$A4,Inputs!$B$5-$A4)/COMBIN($D$2,Inputs!$B$5))),-LN(1-EXP(-(D4*COMBIN($D$2-$A4,Inputs!$B$5-$A4)/COMBIN($D$2,Inputs!$B$5))))))</x:f>
        <x:v>1.03658120768681</x:v>
      </x:c>
      <x:c r="M4" s="16" t="n">
        <x:f>IF(OR(E4="",Inputs!$B$5&lt;$A4),"",IF((E4*COMBIN($D$2-$A4,Inputs!$B$5-$A4)/COMBIN($D$2,Inputs!$B$5))&lt;1E-8,-LN((E4*COMBIN($D$2-$A4,Inputs!$B$5-$A4)/COMBIN($D$2,Inputs!$B$5))),-LN(1-EXP(-(E4*COMBIN($D$2-$A4,Inputs!$B$5-$A4)/COMBIN($D$2,Inputs!$B$5))))))</x:f>
        <x:v>0.45247925780724324</x:v>
      </x:c>
      <x:c r="N4" s="16" t="n">
        <x:f>J4</x:f>
        <x:v>2.2002878031015974e-7</x:v>
      </x:c>
      <x:c r="O4" s="16" t="n">
        <x:f>K4</x:f>
        <x:v>0.00001756434617245252</x:v>
      </x:c>
      <x:c r="P4" s="16" t="n">
        <x:f>L4</x:f>
        <x:v>1.03658120768681</x:v>
      </x:c>
      <x:c r="Q4" s="16" t="n">
        <x:f>M4</x:f>
        <x:v>0.45247925780724324</x:v>
      </x:c>
      <x:c r="R4" s="16" t="n">
        <x:f>IF(J4&lt;&gt;"",Inputs!$B$6*J4+(1-Inputs!$B$6)*N4,"")</x:f>
        <x:v>2.2002878031015974e-7</x:v>
      </x:c>
      <x:c r="S4" s="16" t="n">
        <x:f>IF(K4&lt;&gt;"",Inputs!$B$6*K4+(1-Inputs!$B$6)*O4,"")</x:f>
        <x:v>0.00001756434617245252</x:v>
      </x:c>
      <x:c r="T4" s="16" t="n">
        <x:f>IF(L4&lt;&gt;"",Inputs!$B$6*L4+(1-Inputs!$B$6)*P4,"")</x:f>
        <x:v>1.03658120768681</x:v>
      </x:c>
      <x:c r="U4" s="16" t="n">
        <x:f>IF(M4&lt;&gt;"",Inputs!$B$6*M4+(1-Inputs!$B$6)*Q4,"")</x:f>
        <x:v>0.45247925780724324</x:v>
      </x:c>
      <x:c r="V4" s="16" t="n">
        <x:f>Inputs!$B$10*Inputs!$B$11*(IF($A4&lt;=5,1,2))*(Inputs!$B$14-Inputs!$B$15)</x:f>
        <x:v>0.9449999999999998</x:v>
      </x:c>
      <x:c r="W4" s="16" t="n">
        <x:f>Inputs!$B$10*Inputs!$B$12*(Inputs!$B$16-IF($A4=3,Inputs!$B$17,Inputs!$B$18))</x:f>
        <x:v>-0.33749999999999997</x:v>
      </x:c>
      <x:c r="X4" s="16" t="n">
        <x:f>Inputs!$B$10*Inputs!$B$13*Inputs!$B$21*(((IF($A4&lt;=5,1,2))*(Inputs!$B$14-Inputs!$B$15))+Inputs!$B$16-IF($A4=3,Inputs!$B$17,Inputs!$B$18))</x:f>
        <x:v>0.1365</x:v>
      </x:c>
      <x:c r="Y4" s="16" t="n">
        <x:f>IF(ISNUMBER(M4),Inputs!$B$10*Inputs!$B$23*Inputs!$B$22*IF($A4=3,Inputs!$B$24,IF($A4=4,Inputs!$B$25,IF($A4=5,Inputs!$B$26,""))),"")</x:f>
        <x:v>1.5600000000000003</x:v>
      </x:c>
      <x:c r="Z4" s="16" t="n">
        <x:f>0</x:f>
        <x:v>0</x:v>
      </x:c>
      <x:c r="AA4" s="16" t="n">
        <x:f>Inputs!$B$19+Inputs!$B$20*(($A4-3)/(Inputs!$B$4-3))</x:f>
        <x:v>1.2</x:v>
      </x:c>
      <x:c r="AB4" s="16" t="n">
        <x:f>0</x:f>
        <x:v>0</x:v>
      </x:c>
      <x:c r="AC4" s="16" t="n">
        <x:f>0</x:f>
        <x:v>0</x:v>
      </x:c>
      <x:c r="AD4" s="16" t="n">
        <x:f>IF(R4&lt;&gt;"",R4-Inputs!$B$7*V4+Inputs!$B$8*Z4,"")</x:f>
        <x:v>-0.23624977997121965</x:v>
      </x:c>
      <x:c r="AE4" s="16" t="n">
        <x:f>IF(S4&lt;&gt;"",S4-Inputs!$B$7*W4+Inputs!$B$8*AA4,"")</x:f>
        <x:v>1.2843925643461724</x:v>
      </x:c>
      <x:c r="AF4" s="16" t="n">
        <x:f>IF(T4&lt;&gt;"",T4-Inputs!$B$7*X4+Inputs!$B$8*AB4,"")</x:f>
        <x:v>1.00245620768681</x:v>
      </x:c>
      <x:c r="AG4" s="16" t="n">
        <x:f>IF(U4&lt;&gt;"",U4-Inputs!$B$7*Y4+Inputs!$B$8*AC4,"")</x:f>
        <x:v>0.06247925780724317</x:v>
      </x:c>
      <x:c r="AH4" s="16" t="n">
        <x:f>IF(AD4&lt;&gt;"",MAX(0,AD4*Inputs!$B$9),"")</x:f>
        <x:v>0</x:v>
      </x:c>
      <x:c r="AI4" s="16" t="n">
        <x:f>IF(AE4&lt;&gt;"",MAX(0,AE4*Inputs!$B$9),"")</x:f>
        <x:v>2.568785128692345</x:v>
      </x:c>
      <x:c r="AJ4" s="16" t="n">
        <x:f>IF(AF4&lt;&gt;"",MAX(0,AF4*Inputs!$B$9),"")</x:f>
        <x:v>2.00491241537362</x:v>
      </x:c>
      <x:c r="AK4" s="16" t="n">
        <x:f>IF(AG4&lt;&gt;"",MAX(0,AG4*Inputs!$B$9),"")</x:f>
        <x:v>0.12495851561448634</x:v>
      </x:c>
    </x:row>
    <x:row r="5">
      <x:c r="A5" t="n">
        <x:v>4</x:v>
      </x:c>
      <x:c r="B5" s="36" t="n">
        <x:f>$B$2*COMBIN(Inputs!$B$4,$A5)</x:f>
        <x:v>6825</x:v>
      </x:c>
      <x:c r="C5" s="36" t="n">
        <x:f>(Inputs!$B$4-$A5+1)*($B$2^$A5)</x:f>
        <x:v>7500</x:v>
      </x:c>
      <x:c r="D5" s="36" t="n">
        <x:f>$B$2*(Inputs!$B$4-$A5+1)</x:f>
        <x:v>60</x:v>
      </x:c>
      <x:c r="E5" s="36" t="n">
        <x:f>IF($A5&lt;=$B$2,Inputs!$B$4*COMBIN($B$2,$A5),"")</x:f>
        <x:v>75</x:v>
      </x:c>
      <x:c r="F5" s="38" t="n">
        <x:f>IF(OR(B5="",Inputs!$B$5&lt;$A5),"",IF((B5*COMBIN($D$2-$A5,Inputs!$B$5-$A5)/COMBIN($D$2,Inputs!$B$5))&lt;1E-8,(B5*COMBIN($D$2-$A5,Inputs!$B$5-$A5)/COMBIN($D$2,Inputs!$B$5)),1-EXP(-(B5*COMBIN($D$2-$A5,Inputs!$B$5-$A5)/COMBIN($D$2,Inputs!$B$5)))))</x:f>
        <x:v>0.9995309277709585</x:v>
      </x:c>
      <x:c r="G5" s="38" t="n">
        <x:f>IF(OR(C5="",Inputs!$B$5&lt;$A5),"",IF((C5*COMBIN($D$2-$A5,Inputs!$B$5-$A5)/COMBIN($D$2,Inputs!$B$5))&lt;1E-8,(C5*COMBIN($D$2-$A5,Inputs!$B$5-$A5)/COMBIN($D$2,Inputs!$B$5)),1-EXP(-(C5*COMBIN($D$2-$A5,Inputs!$B$5-$A5)/COMBIN($D$2,Inputs!$B$5)))))</x:f>
        <x:v>0.9997802030446523</x:v>
      </x:c>
      <x:c r="H5" s="38" t="n">
        <x:f>IF(OR(D5="",Inputs!$B$5&lt;$A5),"",IF((D5*COMBIN($D$2-$A5,Inputs!$B$5-$A5)/COMBIN($D$2,Inputs!$B$5))&lt;1E-8,(D5*COMBIN($D$2-$A5,Inputs!$B$5-$A5)/COMBIN($D$2,Inputs!$B$5)),1-EXP(-(D5*COMBIN($D$2-$A5,Inputs!$B$5-$A5)/COMBIN($D$2,Inputs!$B$5)))))</x:f>
        <x:v>0.06516239656470135</x:v>
      </x:c>
      <x:c r="I5" s="38" t="n">
        <x:f>IF(OR(E5="",Inputs!$B$5&lt;$A5),"",IF((E5*COMBIN($D$2-$A5,Inputs!$B$5-$A5)/COMBIN($D$2,Inputs!$B$5))&lt;1E-8,(E5*COMBIN($D$2-$A5,Inputs!$B$5-$A5)/COMBIN($D$2,Inputs!$B$5)),1-EXP(-(E5*COMBIN($D$2-$A5,Inputs!$B$5-$A5)/COMBIN($D$2,Inputs!$B$5)))))</x:f>
        <x:v>0.08077840887136567</x:v>
      </x:c>
      <x:c r="J5" s="16" t="n">
        <x:f>IF(OR(B5="",Inputs!$B$5&lt;$A5),"",IF((B5*COMBIN($D$2-$A5,Inputs!$B$5-$A5)/COMBIN($D$2,Inputs!$B$5))&lt;1E-8,-LN((B5*COMBIN($D$2-$A5,Inputs!$B$5-$A5)/COMBIN($D$2,Inputs!$B$5))),-LN(1-EXP(-(B5*COMBIN($D$2-$A5,Inputs!$B$5-$A5)/COMBIN($D$2,Inputs!$B$5))))))</x:f>
        <x:v>0.00046918227783473033</x:v>
      </x:c>
      <x:c r="K5" s="16" t="n">
        <x:f>IF(OR(C5="",Inputs!$B$5&lt;$A5),"",IF((C5*COMBIN($D$2-$A5,Inputs!$B$5-$A5)/COMBIN($D$2,Inputs!$B$5))&lt;1E-8,-LN((C5*COMBIN($D$2-$A5,Inputs!$B$5-$A5)/COMBIN($D$2,Inputs!$B$5))),-LN(1-EXP(-(C5*COMBIN($D$2-$A5,Inputs!$B$5-$A5)/COMBIN($D$2,Inputs!$B$5))))))</x:f>
        <x:v>0.00021982111423857285</x:v>
      </x:c>
      <x:c r="L5" s="16" t="n">
        <x:f>IF(OR(D5="",Inputs!$B$5&lt;$A5),"",IF((D5*COMBIN($D$2-$A5,Inputs!$B$5-$A5)/COMBIN($D$2,Inputs!$B$5))&lt;1E-8,-LN((D5*COMBIN($D$2-$A5,Inputs!$B$5-$A5)/COMBIN($D$2,Inputs!$B$5))),-LN(1-EXP(-(D5*COMBIN($D$2-$A5,Inputs!$B$5-$A5)/COMBIN($D$2,Inputs!$B$5))))))</x:f>
        <x:v>2.7308727162330997</x:v>
      </x:c>
      <x:c r="M5" s="16" t="n">
        <x:f>IF(OR(E5="",Inputs!$B$5&lt;$A5),"",IF((E5*COMBIN($D$2-$A5,Inputs!$B$5-$A5)/COMBIN($D$2,Inputs!$B$5))&lt;1E-8,-LN((E5*COMBIN($D$2-$A5,Inputs!$B$5-$A5)/COMBIN($D$2,Inputs!$B$5))),-LN(1-EXP(-(E5*COMBIN($D$2-$A5,Inputs!$B$5-$A5)/COMBIN($D$2,Inputs!$B$5))))))</x:f>
        <x:v>2.516045566102439</x:v>
      </x:c>
      <x:c r="N5" s="16" t="n">
        <x:f>N4+(-LN((Inputs!$B$4-($A5-1))/($D$2-($A5-1))))</x:f>
        <x:v>1.7917596892568353</x:v>
      </x:c>
      <x:c r="O5" s="16" t="n">
        <x:f>O4+((MAX(Inputs!$B$4-($A5-1)-1,0))/(Inputs!$B$4-($A5-1)+1))*(-LN((2*$B$2)/($D$2-($A5-1))))+(2/(Inputs!$B$4-($A5-1)+1))*(-LN($B$2/($D$2-($A5-1))))</x:f>
        <x:v>2.080736618146635</x:v>
      </x:c>
      <x:c r="P5" s="16" t="n">
        <x:f>P4+((MAX(Inputs!$B$4-($A5-1)-1,0))/(Inputs!$B$4-($A5-1)+1))*(-LN(2/($D$2-($A5-1))))+(2/(Inputs!$B$4-($A5-1)+1))*(-LN(1/($D$2-($A5-1))))</x:f>
        <x:v>4.7267381739213725</x:v>
      </x:c>
      <x:c r="Q5" s="16" t="n">
        <x:f>IF($A5&gt;$B$2,"",Q4+(-LN(($B$2-($A5-1))/($D$2-($A5-1)))))</x:f>
        <x:v>4.035998196263353</x:v>
      </x:c>
      <x:c r="R5" s="16" t="n">
        <x:f>IF(J5&lt;&gt;"",Inputs!$B$6*J5+(1-Inputs!$B$6)*N5,"")</x:f>
        <x:v>0.35872728367363477</x:v>
      </x:c>
      <x:c r="S5" s="16" t="n">
        <x:f>IF(K5&lt;&gt;"",Inputs!$B$6*K5+(1-Inputs!$B$6)*O5,"")</x:f>
        <x:v>0.4163231805207178</x:v>
      </x:c>
      <x:c r="T5" s="16" t="n">
        <x:f>IF(L5&lt;&gt;"",Inputs!$B$6*L5+(1-Inputs!$B$6)*P5,"")</x:f>
        <x:v>3.1300458077707543</x:v>
      </x:c>
      <x:c r="U5" s="16" t="n">
        <x:f>IF(M5&lt;&gt;"",Inputs!$B$6*M5+(1-Inputs!$B$6)*Q5,"")</x:f>
        <x:v>2.8200360921346217</x:v>
      </x:c>
      <x:c r="V5" s="16" t="n">
        <x:f>Inputs!$B$10*Inputs!$B$11*(IF($A5&lt;=5,1,2))*(Inputs!$B$14-Inputs!$B$15)</x:f>
        <x:v>0.9449999999999998</x:v>
      </x:c>
      <x:c r="W5" s="16" t="n">
        <x:f>Inputs!$B$10*Inputs!$B$12*(Inputs!$B$16-IF($A5=3,Inputs!$B$17,Inputs!$B$18))</x:f>
        <x:v>0.06749999999999999</x:v>
      </x:c>
      <x:c r="X5" s="16" t="n">
        <x:f>Inputs!$B$10*Inputs!$B$13*Inputs!$B$21*(((IF($A5&lt;=5,1,2))*(Inputs!$B$14-Inputs!$B$15))+Inputs!$B$16-IF($A5=3,Inputs!$B$17,Inputs!$B$18))</x:f>
        <x:v>0.34124999999999994</x:v>
      </x:c>
      <x:c r="Y5" s="16" t="n">
        <x:f>IF(ISNUMBER(M5),Inputs!$B$10*Inputs!$B$23*Inputs!$B$22*IF($A5=3,Inputs!$B$24,IF($A5=4,Inputs!$B$25,IF($A5=5,Inputs!$B$26,""))),"")</x:f>
        <x:v>4.680000000000001</x:v>
      </x:c>
      <x:c r="Z5" s="16" t="n">
        <x:f>0</x:f>
        <x:v>0</x:v>
      </x:c>
      <x:c r="AA5" s="16" t="n">
        <x:f>Inputs!$B$19+Inputs!$B$20*(($A5-3)/(Inputs!$B$4-3))</x:f>
        <x:v>1.2666666666666666</x:v>
      </x:c>
      <x:c r="AB5" s="16" t="n">
        <x:f>0</x:f>
        <x:v>0</x:v>
      </x:c>
      <x:c r="AC5" s="16" t="n">
        <x:f>0</x:f>
        <x:v>0</x:v>
      </x:c>
      <x:c r="AD5" s="16" t="n">
        <x:f>IF(R5&lt;&gt;"",R5-Inputs!$B$7*V5+Inputs!$B$8*Z5,"")</x:f>
        <x:v>0.12247728367363481</x:v>
      </x:c>
      <x:c r="AE5" s="16" t="n">
        <x:f>IF(S5&lt;&gt;"",S5-Inputs!$B$7*W5+Inputs!$B$8*AA5,"")</x:f>
        <x:v>1.6661148471873846</x:v>
      </x:c>
      <x:c r="AF5" s="16" t="n">
        <x:f>IF(T5&lt;&gt;"",T5-Inputs!$B$7*X5+Inputs!$B$8*AB5,"")</x:f>
        <x:v>3.044733307770754</x:v>
      </x:c>
      <x:c r="AG5" s="16" t="n">
        <x:f>IF(U5&lt;&gt;"",U5-Inputs!$B$7*Y5+Inputs!$B$8*AC5,"")</x:f>
        <x:v>1.6500360921346215</x:v>
      </x:c>
      <x:c r="AH5" s="16" t="n">
        <x:f>IF(AD5&lt;&gt;"",MAX(0,AD5*Inputs!$B$9),"")</x:f>
        <x:v>0.24495456734726961</x:v>
      </x:c>
      <x:c r="AI5" s="16" t="n">
        <x:f>IF(AE5&lt;&gt;"",MAX(0,AE5*Inputs!$B$9),"")</x:f>
        <x:v>3.332229694374769</x:v>
      </x:c>
      <x:c r="AJ5" s="16" t="n">
        <x:f>IF(AF5&lt;&gt;"",MAX(0,AF5*Inputs!$B$9),"")</x:f>
        <x:v>6.089466615541508</x:v>
      </x:c>
      <x:c r="AK5" s="16" t="n">
        <x:f>IF(AG5&lt;&gt;"",MAX(0,AG5*Inputs!$B$9),"")</x:f>
        <x:v>3.300072184269243</x:v>
      </x:c>
    </x:row>
    <x:row r="6">
      <x:c r="A6" t="n">
        <x:v>5</x:v>
      </x:c>
      <x:c r="B6" s="36" t="n">
        <x:f>$B$2*COMBIN(Inputs!$B$4,$A6)</x:f>
        <x:v>15015</x:v>
      </x:c>
      <x:c r="C6" s="36" t="n">
        <x:f>(Inputs!$B$4-$A6+1)*($B$2^$A6)</x:f>
        <x:v>34375</x:v>
      </x:c>
      <x:c r="D6" s="36" t="n">
        <x:f>$B$2*(Inputs!$B$4-$A6+1)</x:f>
        <x:v>55</x:v>
      </x:c>
      <x:c r="E6" s="36" t="n">
        <x:f>IF($A6&lt;=$B$2,Inputs!$B$4*COMBIN($B$2,$A6),"")</x:f>
        <x:v>15</x:v>
      </x:c>
      <x:c r="F6" s="38" t="n">
        <x:f>IF(OR(B6="",Inputs!$B$5&lt;$A6),"",IF((B6*COMBIN($D$2-$A6,Inputs!$B$5-$A6)/COMBIN($D$2,Inputs!$B$5))&lt;1E-8,(B6*COMBIN($D$2-$A6,Inputs!$B$5-$A6)/COMBIN($D$2,Inputs!$B$5)),1-EXP(-(B6*COMBIN($D$2-$A6,Inputs!$B$5-$A6)/COMBIN($D$2,Inputs!$B$5)))))</x:f>
        <x:v>0.9266485896564898</x:v>
      </x:c>
      <x:c r="G6" s="38" t="n">
        <x:f>IF(OR(C6="",Inputs!$B$5&lt;$A6),"",IF((C6*COMBIN($D$2-$A6,Inputs!$B$5-$A6)/COMBIN($D$2,Inputs!$B$5))&lt;1E-8,(C6*COMBIN($D$2-$A6,Inputs!$B$5-$A6)/COMBIN($D$2,Inputs!$B$5)),1-EXP(-(C6*COMBIN($D$2-$A6,Inputs!$B$5-$A6)/COMBIN($D$2,Inputs!$B$5)))))</x:f>
        <x:v>0.9974736593208503</x:v>
      </x:c>
      <x:c r="H6" s="38" t="n">
        <x:f>IF(OR(D6="",Inputs!$B$5&lt;$A6),"",IF((D6*COMBIN($D$2-$A6,Inputs!$B$5-$A6)/COMBIN($D$2,Inputs!$B$5))&lt;1E-8,(D6*COMBIN($D$2-$A6,Inputs!$B$5-$A6)/COMBIN($D$2,Inputs!$B$5)),1-EXP(-(D6*COMBIN($D$2-$A6,Inputs!$B$5-$A6)/COMBIN($D$2,Inputs!$B$5)))))</x:f>
        <x:v>0.0095239307739855</x:v>
      </x:c>
      <x:c r="I6" s="38" t="n">
        <x:f>IF(OR(E6="",Inputs!$B$5&lt;$A6),"",IF((E6*COMBIN($D$2-$A6,Inputs!$B$5-$A6)/COMBIN($D$2,Inputs!$B$5))&lt;1E-8,(E6*COMBIN($D$2-$A6,Inputs!$B$5-$A6)/COMBIN($D$2,Inputs!$B$5)),1-EXP(-(E6*COMBIN($D$2-$A6,Inputs!$B$5-$A6)/COMBIN($D$2,Inputs!$B$5)))))</x:f>
        <x:v>0.0026064808778946125</x:v>
      </x:c>
      <x:c r="J6" s="16" t="n">
        <x:f>IF(OR(B6="",Inputs!$B$5&lt;$A6),"",IF((B6*COMBIN($D$2-$A6,Inputs!$B$5-$A6)/COMBIN($D$2,Inputs!$B$5))&lt;1E-8,-LN((B6*COMBIN($D$2-$A6,Inputs!$B$5-$A6)/COMBIN($D$2,Inputs!$B$5))),-LN(1-EXP(-(B6*COMBIN($D$2-$A6,Inputs!$B$5-$A6)/COMBIN($D$2,Inputs!$B$5))))))</x:f>
        <x:v>0.0761808687207781</x:v>
      </x:c>
      <x:c r="K6" s="16" t="n">
        <x:f>IF(OR(C6="",Inputs!$B$5&lt;$A6),"",IF((C6*COMBIN($D$2-$A6,Inputs!$B$5-$A6)/COMBIN($D$2,Inputs!$B$5))&lt;1E-8,-LN((C6*COMBIN($D$2-$A6,Inputs!$B$5-$A6)/COMBIN($D$2,Inputs!$B$5))),-LN(1-EXP(-(C6*COMBIN($D$2-$A6,Inputs!$B$5-$A6)/COMBIN($D$2,Inputs!$B$5))))))</x:f>
        <x:v>0.0025295372626708825</x:v>
      </x:c>
      <x:c r="L6" s="16" t="n">
        <x:f>IF(OR(D6="",Inputs!$B$5&lt;$A6),"",IF((D6*COMBIN($D$2-$A6,Inputs!$B$5-$A6)/COMBIN($D$2,Inputs!$B$5))&lt;1E-8,-LN((D6*COMBIN($D$2-$A6,Inputs!$B$5-$A6)/COMBIN($D$2,Inputs!$B$5))),-LN(1-EXP(-(D6*COMBIN($D$2-$A6,Inputs!$B$5-$A6)/COMBIN($D$2,Inputs!$B$5))))))</x:f>
        <x:v>4.653947618970088</x:v>
      </x:c>
      <x:c r="M6" s="16" t="n">
        <x:f>IF(OR(E6="",Inputs!$B$5&lt;$A6),"",IF((E6*COMBIN($D$2-$A6,Inputs!$B$5-$A6)/COMBIN($D$2,Inputs!$B$5))&lt;1E-8,-LN((E6*COMBIN($D$2-$A6,Inputs!$B$5-$A6)/COMBIN($D$2,Inputs!$B$5))),-LN(1-EXP(-(E6*COMBIN($D$2-$A6,Inputs!$B$5-$A6)/COMBIN($D$2,Inputs!$B$5))))))</x:f>
        <x:v>5.949754290098155</x:v>
      </x:c>
      <x:c r="N6" s="16" t="n">
        <x:f>N5+(-LN((Inputs!$B$4-($A6-1))/($D$2-($A6-1))))</x:f>
        <x:v>3.6565442934997803</x:v>
      </x:c>
      <x:c r="O6" s="16" t="n">
        <x:f>O5+((MAX(Inputs!$B$4-($A6-1)-1,0))/(Inputs!$B$4-($A6-1)+1))*(-LN((2*$B$2)/($D$2-($A6-1))))+(2/(Inputs!$B$4-($A6-1)+1))*(-LN($B$2/($D$2-($A6-1))))</x:f>
        <x:v>4.156355932287229</x:v>
      </x:c>
      <x:c r="P6" s="16" t="n">
        <x:f>P5+((MAX(Inputs!$B$4-($A6-1)-1,0))/(Inputs!$B$4-($A6-1)+1))*(-LN(2/($D$2-($A6-1))))+(2/(Inputs!$B$4-($A6-1)+1))*(-LN(1/($D$2-($A6-1))))</x:f>
        <x:v>8.411795400496068</x:v>
      </x:c>
      <x:c r="Q6" s="16" t="n">
        <x:f>IF($A6&gt;$B$2,"",Q5+(-LN(($B$2-($A6-1))/($D$2-($A6-1)))))</x:f>
        <x:v>8.298678073304668</x:v>
      </x:c>
      <x:c r="R6" s="16" t="n">
        <x:f>IF(J6&lt;&gt;"",Inputs!$B$6*J6+(1-Inputs!$B$6)*N6,"")</x:f>
        <x:v>0.7922535536765783</x:v>
      </x:c>
      <x:c r="S6" s="16" t="n">
        <x:f>IF(K6&lt;&gt;"",Inputs!$B$6*K6+(1-Inputs!$B$6)*O6,"")</x:f>
        <x:v>0.8332948162675824</x:v>
      </x:c>
      <x:c r="T6" s="16" t="n">
        <x:f>IF(L6&lt;&gt;"",Inputs!$B$6*L6+(1-Inputs!$B$6)*P6,"")</x:f>
        <x:v>5.405517175275284</x:v>
      </x:c>
      <x:c r="U6" s="16" t="n">
        <x:f>IF(M6&lt;&gt;"",Inputs!$B$6*M6+(1-Inputs!$B$6)*Q6,"")</x:f>
        <x:v>6.419539046739457</x:v>
      </x:c>
      <x:c r="V6" s="16" t="n">
        <x:f>Inputs!$B$10*Inputs!$B$11*(IF($A6&lt;=5,1,2))*(Inputs!$B$14-Inputs!$B$15)</x:f>
        <x:v>0.9449999999999998</x:v>
      </x:c>
      <x:c r="W6" s="16" t="n">
        <x:f>Inputs!$B$10*Inputs!$B$12*(Inputs!$B$16-IF($A6=3,Inputs!$B$17,Inputs!$B$18))</x:f>
        <x:v>0.06749999999999999</x:v>
      </x:c>
      <x:c r="X6" s="16" t="n">
        <x:f>Inputs!$B$10*Inputs!$B$13*Inputs!$B$21*(((IF($A6&lt;=5,1,2))*(Inputs!$B$14-Inputs!$B$15))+Inputs!$B$16-IF($A6=3,Inputs!$B$17,Inputs!$B$18))</x:f>
        <x:v>0.34124999999999994</x:v>
      </x:c>
      <x:c r="Y6" s="16" t="n">
        <x:f>IF(ISNUMBER(M6),Inputs!$B$10*Inputs!$B$23*Inputs!$B$22*IF($A6=3,Inputs!$B$24,IF($A6=4,Inputs!$B$25,IF($A6=5,Inputs!$B$26,""))),"")</x:f>
        <x:v>7.800000000000002</x:v>
      </x:c>
      <x:c r="Z6" s="16" t="n">
        <x:f>0</x:f>
        <x:v>0</x:v>
      </x:c>
      <x:c r="AA6" s="16" t="n">
        <x:f>Inputs!$B$19+Inputs!$B$20*(($A6-3)/(Inputs!$B$4-3))</x:f>
        <x:v>1.3333333333333333</x:v>
      </x:c>
      <x:c r="AB6" s="16" t="n">
        <x:f>0</x:f>
        <x:v>0</x:v>
      </x:c>
      <x:c r="AC6" s="16" t="n">
        <x:f>0</x:f>
        <x:v>0</x:v>
      </x:c>
      <x:c r="AD6" s="16" t="n">
        <x:f>IF(R6&lt;&gt;"",R6-Inputs!$B$7*V6+Inputs!$B$8*Z6,"")</x:f>
        <x:v>0.5560035536765784</x:v>
      </x:c>
      <x:c r="AE6" s="16" t="n">
        <x:f>IF(S6&lt;&gt;"",S6-Inputs!$B$7*W6+Inputs!$B$8*AA6,"")</x:f>
        <x:v>2.1497531496009157</x:v>
      </x:c>
      <x:c r="AF6" s="16" t="n">
        <x:f>IF(T6&lt;&gt;"",T6-Inputs!$B$7*X6+Inputs!$B$8*AB6,"")</x:f>
        <x:v>5.320204675275284</x:v>
      </x:c>
      <x:c r="AG6" s="16" t="n">
        <x:f>IF(U6&lt;&gt;"",U6-Inputs!$B$7*Y6+Inputs!$B$8*AC6,"")</x:f>
        <x:v>4.469539046739457</x:v>
      </x:c>
      <x:c r="AH6" s="16" t="n">
        <x:f>IF(AD6&lt;&gt;"",MAX(0,AD6*Inputs!$B$9),"")</x:f>
        <x:v>1.1120071073531568</x:v>
      </x:c>
      <x:c r="AI6" s="16" t="n">
        <x:f>IF(AE6&lt;&gt;"",MAX(0,AE6*Inputs!$B$9),"")</x:f>
        <x:v>4.299506299201831</x:v>
      </x:c>
      <x:c r="AJ6" s="16" t="n">
        <x:f>IF(AF6&lt;&gt;"",MAX(0,AF6*Inputs!$B$9),"")</x:f>
        <x:v>10.640409350550568</x:v>
      </x:c>
      <x:c r="AK6" s="16" t="n">
        <x:f>IF(AG6&lt;&gt;"",MAX(0,AG6*Inputs!$B$9),"")</x:f>
        <x:v>8.939078093478914</x:v>
      </x:c>
    </x:row>
    <x:row r="7">
      <x:c r="A7" t="n">
        <x:v>6</x:v>
      </x:c>
      <x:c r="B7" s="36" t="n">
        <x:f>$B$2*COMBIN(Inputs!$B$4,$A7)</x:f>
        <x:v>25025</x:v>
      </x:c>
      <x:c r="C7" s="36" t="n">
        <x:f>(Inputs!$B$4-$A7+1)*($B$2^$A7)</x:f>
        <x:v>156250</x:v>
      </x:c>
      <x:c r="D7" s="36" t="n">
        <x:f>$B$2*(Inputs!$B$4-$A7+1)</x:f>
        <x:v>50</x:v>
      </x:c>
      <x:c r="E7" s="36" t="str">
        <x:f>IF($A7&lt;=$B$2,Inputs!$B$4*COMBIN($B$2,$A7),"")</x:f>
      </x:c>
      <x:c r="F7" s="38" t="n">
        <x:f>IF(OR(B7="",Inputs!$B$5&lt;$A7),"",IF((B7*COMBIN($D$2-$A7,Inputs!$B$5-$A7)/COMBIN($D$2,Inputs!$B$5))&lt;1E-8,(B7*COMBIN($D$2-$A7,Inputs!$B$5-$A7)/COMBIN($D$2,Inputs!$B$5)),1-EXP(-(B7*COMBIN($D$2-$A7,Inputs!$B$5-$A7)/COMBIN($D$2,Inputs!$B$5)))))</x:f>
        <x:v>0.46314233372247904</x:v>
      </x:c>
      <x:c r="G7" s="38" t="n">
        <x:f>IF(OR(C7="",Inputs!$B$5&lt;$A7),"",IF((C7*COMBIN($D$2-$A7,Inputs!$B$5-$A7)/COMBIN($D$2,Inputs!$B$5))&lt;1E-8,(C7*COMBIN($D$2-$A7,Inputs!$B$5-$A7)/COMBIN($D$2,Inputs!$B$5)),1-EXP(-(C7*COMBIN($D$2-$A7,Inputs!$B$5-$A7)/COMBIN($D$2,Inputs!$B$5)))))</x:f>
        <x:v>0.9794265825467656</x:v>
      </x:c>
      <x:c r="H7" s="38" t="n">
        <x:f>IF(OR(D7="",Inputs!$B$5&lt;$A7),"",IF((D7*COMBIN($D$2-$A7,Inputs!$B$5-$A7)/COMBIN($D$2,Inputs!$B$5))&lt;1E-8,(D7*COMBIN($D$2-$A7,Inputs!$B$5-$A7)/COMBIN($D$2,Inputs!$B$5)),1-EXP(-(D7*COMBIN($D$2-$A7,Inputs!$B$5-$A7)/COMBIN($D$2,Inputs!$B$5)))))</x:f>
        <x:v>0.001242029786183818</x:v>
      </x:c>
      <x:c r="I7" s="38" t="str">
        <x:f>IF(OR(E7="",Inputs!$B$5&lt;$A7),"",IF((E7*COMBIN($D$2-$A7,Inputs!$B$5-$A7)/COMBIN($D$2,Inputs!$B$5))&lt;1E-8,(E7*COMBIN($D$2-$A7,Inputs!$B$5-$A7)/COMBIN($D$2,Inputs!$B$5)),1-EXP(-(E7*COMBIN($D$2-$A7,Inputs!$B$5-$A7)/COMBIN($D$2,Inputs!$B$5)))))</x:f>
      </x:c>
      <x:c r="J7" s="16" t="n">
        <x:f>IF(OR(B7="",Inputs!$B$5&lt;$A7),"",IF((B7*COMBIN($D$2-$A7,Inputs!$B$5-$A7)/COMBIN($D$2,Inputs!$B$5))&lt;1E-8,-LN((B7*COMBIN($D$2-$A7,Inputs!$B$5-$A7)/COMBIN($D$2,Inputs!$B$5))),-LN(1-EXP(-(B7*COMBIN($D$2-$A7,Inputs!$B$5-$A7)/COMBIN($D$2,Inputs!$B$5))))))</x:f>
        <x:v>0.7697208558913408</x:v>
      </x:c>
      <x:c r="K7" s="16" t="n">
        <x:f>IF(OR(C7="",Inputs!$B$5&lt;$A7),"",IF((C7*COMBIN($D$2-$A7,Inputs!$B$5-$A7)/COMBIN($D$2,Inputs!$B$5))&lt;1E-8,-LN((C7*COMBIN($D$2-$A7,Inputs!$B$5-$A7)/COMBIN($D$2,Inputs!$B$5))),-LN(1-EXP(-(C7*COMBIN($D$2-$A7,Inputs!$B$5-$A7)/COMBIN($D$2,Inputs!$B$5))))))</x:f>
        <x:v>0.020787998417182398</x:v>
      </x:c>
      <x:c r="L7" s="16" t="n">
        <x:f>IF(OR(D7="",Inputs!$B$5&lt;$A7),"",IF((D7*COMBIN($D$2-$A7,Inputs!$B$5-$A7)/COMBIN($D$2,Inputs!$B$5))&lt;1E-8,-LN((D7*COMBIN($D$2-$A7,Inputs!$B$5-$A7)/COMBIN($D$2,Inputs!$B$5))),-LN(1-EXP(-(D7*COMBIN($D$2-$A7,Inputs!$B$5-$A7)/COMBIN($D$2,Inputs!$B$5))))))</x:f>
        <x:v>6.691008313323787</x:v>
      </x:c>
      <x:c r="M7" s="16" t="str">
        <x:f>IF(OR(E7="",Inputs!$B$5&lt;$A7),"",IF((E7*COMBIN($D$2-$A7,Inputs!$B$5-$A7)/COMBIN($D$2,Inputs!$B$5))&lt;1E-8,-LN((E7*COMBIN($D$2-$A7,Inputs!$B$5-$A7)/COMBIN($D$2,Inputs!$B$5))),-LN(1-EXP(-(E7*COMBIN($D$2-$A7,Inputs!$B$5-$A7)/COMBIN($D$2,Inputs!$B$5))))))</x:f>
      </x:c>
      <x:c r="N7" s="16" t="n">
        <x:f>N6+(-LN((Inputs!$B$4-($A7-1))/($D$2-($A7-1))))</x:f>
        <x:v>5.602454442555094</x:v>
      </x:c>
      <x:c r="O7" s="16" t="n">
        <x:f>O6+((MAX(Inputs!$B$4-($A7-1)-1,0))/(Inputs!$B$4-($A7-1)+1))*(-LN((2*$B$2)/($D$2-($A7-1))))+(2/(Inputs!$B$4-($A7-1)+1))*(-LN($B$2/($D$2-($A7-1))))</x:f>
        <x:v>6.228292841444351</x:v>
      </x:c>
      <x:c r="P7" s="16" t="n">
        <x:f>P6+((MAX(Inputs!$B$4-($A7-1)-1,0))/(Inputs!$B$4-($A7-1)+1))*(-LN(2/($D$2-($A7-1))))+(2/(Inputs!$B$4-($A7-1)+1))*(-LN(1/($D$2-($A7-1))))</x:f>
        <x:v>12.09317022208729</x:v>
      </x:c>
      <x:c r="Q7" s="16" t="str">
        <x:f>IF($A7&gt;$B$2,"",Q6+(-LN(($B$2-($A7-1))/($D$2-($A7-1)))))</x:f>
      </x:c>
      <x:c r="R7" s="16" t="n">
        <x:f>IF(J7&lt;&gt;"",Inputs!$B$6*J7+(1-Inputs!$B$6)*N7,"")</x:f>
        <x:v>1.736267573224091</x:v>
      </x:c>
      <x:c r="S7" s="16" t="n">
        <x:f>IF(K7&lt;&gt;"",Inputs!$B$6*K7+(1-Inputs!$B$6)*O7,"")</x:f>
        <x:v>1.2622889670226158</x:v>
      </x:c>
      <x:c r="T7" s="16" t="n">
        <x:f>IF(L7&lt;&gt;"",Inputs!$B$6*L7+(1-Inputs!$B$6)*P7,"")</x:f>
        <x:v>7.771440695076487</x:v>
      </x:c>
      <x:c r="U7" s="16" t="str">
        <x:f>IF(M7&lt;&gt;"",Inputs!$B$6*M7+(1-Inputs!$B$6)*Q7,"")</x:f>
      </x:c>
      <x:c r="V7" s="16" t="n">
        <x:f>Inputs!$B$10*Inputs!$B$11*(IF($A7&lt;=5,1,2))*(Inputs!$B$14-Inputs!$B$15)</x:f>
        <x:v>1.8899999999999997</x:v>
      </x:c>
      <x:c r="W7" s="16" t="n">
        <x:f>Inputs!$B$10*Inputs!$B$12*(Inputs!$B$16-IF($A7=3,Inputs!$B$17,Inputs!$B$18))</x:f>
        <x:v>0.06749999999999999</x:v>
      </x:c>
      <x:c r="X7" s="16" t="n">
        <x:f>Inputs!$B$10*Inputs!$B$13*Inputs!$B$21*(((IF($A7&lt;=5,1,2))*(Inputs!$B$14-Inputs!$B$15))+Inputs!$B$16-IF($A7=3,Inputs!$B$17,Inputs!$B$18))</x:f>
        <x:v>0.6483749999999999</x:v>
      </x:c>
      <x:c r="Y7" s="16" t="str">
        <x:f>IF(ISNUMBER(M7),Inputs!$B$10*Inputs!$B$23*Inputs!$B$22*IF($A7=3,Inputs!$B$24,IF($A7=4,Inputs!$B$25,IF($A7=5,Inputs!$B$26,""))),"")</x:f>
      </x:c>
      <x:c r="Z7" s="16" t="n">
        <x:f>0</x:f>
        <x:v>0</x:v>
      </x:c>
      <x:c r="AA7" s="16" t="n">
        <x:f>Inputs!$B$19+Inputs!$B$20*(($A7-3)/(Inputs!$B$4-3))</x:f>
        <x:v>1.4</x:v>
      </x:c>
      <x:c r="AB7" s="16" t="n">
        <x:f>0</x:f>
        <x:v>0</x:v>
      </x:c>
      <x:c r="AC7" s="16" t="n">
        <x:f>0</x:f>
        <x:v>0</x:v>
      </x:c>
      <x:c r="AD7" s="16" t="n">
        <x:f>IF(R7&lt;&gt;"",R7-Inputs!$B$7*V7+Inputs!$B$8*Z7,"")</x:f>
        <x:v>1.2637675732240912</x:v>
      </x:c>
      <x:c r="AE7" s="16" t="n">
        <x:f>IF(S7&lt;&gt;"",S7-Inputs!$B$7*W7+Inputs!$B$8*AA7,"")</x:f>
        <x:v>2.6454139670226158</x:v>
      </x:c>
      <x:c r="AF7" s="16" t="n">
        <x:f>IF(T7&lt;&gt;"",T7-Inputs!$B$7*X7+Inputs!$B$8*AB7,"")</x:f>
        <x:v>7.609346945076487</x:v>
      </x:c>
      <x:c r="AG7" s="16" t="str">
        <x:f>IF(U7&lt;&gt;"",U7-Inputs!$B$7*Y7+Inputs!$B$8*AC7,"")</x:f>
      </x:c>
      <x:c r="AH7" s="16" t="n">
        <x:f>IF(AD7&lt;&gt;"",MAX(0,AD7*Inputs!$B$9),"")</x:f>
        <x:v>2.5275351464481823</x:v>
      </x:c>
      <x:c r="AI7" s="16" t="n">
        <x:f>IF(AE7&lt;&gt;"",MAX(0,AE7*Inputs!$B$9),"")</x:f>
        <x:v>5.2908279340452316</x:v>
      </x:c>
      <x:c r="AJ7" s="16" t="n">
        <x:f>IF(AF7&lt;&gt;"",MAX(0,AF7*Inputs!$B$9),"")</x:f>
        <x:v>15.218693890152974</x:v>
      </x:c>
      <x:c r="AK7" s="16" t="str">
        <x:f>IF(AG7&lt;&gt;"",MAX(0,AG7*Inputs!$B$9),"")</x:f>
      </x:c>
    </x:row>
    <x:row r="8">
      <x:c r="A8" t="n">
        <x:v>7</x:v>
      </x:c>
      <x:c r="B8" s="36" t="n">
        <x:f>$B$2*COMBIN(Inputs!$B$4,$A8)</x:f>
        <x:v>32175</x:v>
      </x:c>
      <x:c r="C8" s="36" t="n">
        <x:f>(Inputs!$B$4-$A8+1)*($B$2^$A8)</x:f>
        <x:v>703125</x:v>
      </x:c>
      <x:c r="D8" s="36" t="n">
        <x:f>$B$2*(Inputs!$B$4-$A8+1)</x:f>
        <x:v>45</x:v>
      </x:c>
      <x:c r="E8" s="36" t="str">
        <x:f>IF($A8&lt;=$B$2,Inputs!$B$4*COMBIN($B$2,$A8),"")</x:f>
      </x:c>
      <x:c r="F8" s="38" t="n">
        <x:f>IF(OR(B8="",Inputs!$B$5&lt;$A8),"",IF((B8*COMBIN($D$2-$A8,Inputs!$B$5-$A8)/COMBIN($D$2,Inputs!$B$5))&lt;1E-8,(B8*COMBIN($D$2-$A8,Inputs!$B$5-$A8)/COMBIN($D$2,Inputs!$B$5)),1-EXP(-(B8*COMBIN($D$2-$A8,Inputs!$B$5-$A8)/COMBIN($D$2,Inputs!$B$5)))))</x:f>
        <x:v>0.09905790799635716</x:v>
      </x:c>
      <x:c r="G8" s="38" t="n">
        <x:f>IF(OR(C8="",Inputs!$B$5&lt;$A8),"",IF((C8*COMBIN($D$2-$A8,Inputs!$B$5-$A8)/COMBIN($D$2,Inputs!$B$5))&lt;1E-8,(C8*COMBIN($D$2-$A8,Inputs!$B$5-$A8)/COMBIN($D$2,Inputs!$B$5)),1-EXP(-(C8*COMBIN($D$2-$A8,Inputs!$B$5-$A8)/COMBIN($D$2,Inputs!$B$5)))))</x:f>
        <x:v>0.8976744202682878</x:v>
      </x:c>
      <x:c r="H8" s="38" t="n">
        <x:f>IF(OR(D8="",Inputs!$B$5&lt;$A8),"",IF((D8*COMBIN($D$2-$A8,Inputs!$B$5-$A8)/COMBIN($D$2,Inputs!$B$5))&lt;1E-8,(D8*COMBIN($D$2-$A8,Inputs!$B$5-$A8)/COMBIN($D$2,Inputs!$B$5)),1-EXP(-(D8*COMBIN($D$2-$A8,Inputs!$B$5-$A8)/COMBIN($D$2,Inputs!$B$5)))))</x:f>
        <x:v>0.0001458834757964711</x:v>
      </x:c>
      <x:c r="I8" s="38" t="str">
        <x:f>IF(OR(E8="",Inputs!$B$5&lt;$A8),"",IF((E8*COMBIN($D$2-$A8,Inputs!$B$5-$A8)/COMBIN($D$2,Inputs!$B$5))&lt;1E-8,(E8*COMBIN($D$2-$A8,Inputs!$B$5-$A8)/COMBIN($D$2,Inputs!$B$5)),1-EXP(-(E8*COMBIN($D$2-$A8,Inputs!$B$5-$A8)/COMBIN($D$2,Inputs!$B$5)))))</x:f>
      </x:c>
      <x:c r="J8" s="16" t="n">
        <x:f>IF(OR(B8="",Inputs!$B$5&lt;$A8),"",IF((B8*COMBIN($D$2-$A8,Inputs!$B$5-$A8)/COMBIN($D$2,Inputs!$B$5))&lt;1E-8,-LN((B8*COMBIN($D$2-$A8,Inputs!$B$5-$A8)/COMBIN($D$2,Inputs!$B$5))),-LN(1-EXP(-(B8*COMBIN($D$2-$A8,Inputs!$B$5-$A8)/COMBIN($D$2,Inputs!$B$5))))))</x:f>
        <x:v>2.312050670595851</x:v>
      </x:c>
      <x:c r="K8" s="16" t="n">
        <x:f>IF(OR(C8="",Inputs!$B$5&lt;$A8),"",IF((C8*COMBIN($D$2-$A8,Inputs!$B$5-$A8)/COMBIN($D$2,Inputs!$B$5))&lt;1E-8,-LN((C8*COMBIN($D$2-$A8,Inputs!$B$5-$A8)/COMBIN($D$2,Inputs!$B$5))),-LN(1-EXP(-(C8*COMBIN($D$2-$A8,Inputs!$B$5-$A8)/COMBIN($D$2,Inputs!$B$5))))))</x:f>
        <x:v>0.10794783736950327</x:v>
      </x:c>
      <x:c r="L8" s="16" t="n">
        <x:f>IF(OR(D8="",Inputs!$B$5&lt;$A8),"",IF((D8*COMBIN($D$2-$A8,Inputs!$B$5-$A8)/COMBIN($D$2,Inputs!$B$5))&lt;1E-8,-LN((D8*COMBIN($D$2-$A8,Inputs!$B$5-$A8)/COMBIN($D$2,Inputs!$B$5))),-LN(1-EXP(-(D8*COMBIN($D$2-$A8,Inputs!$B$5-$A8)/COMBIN($D$2,Inputs!$B$5))))))</x:f>
        <x:v>8.832702365899145</x:v>
      </x:c>
      <x:c r="M8" s="16" t="str">
        <x:f>IF(OR(E8="",Inputs!$B$5&lt;$A8),"",IF((E8*COMBIN($D$2-$A8,Inputs!$B$5-$A8)/COMBIN($D$2,Inputs!$B$5))&lt;1E-8,-LN((E8*COMBIN($D$2-$A8,Inputs!$B$5-$A8)/COMBIN($D$2,Inputs!$B$5))),-LN(1-EXP(-(E8*COMBIN($D$2-$A8,Inputs!$B$5-$A8)/COMBIN($D$2,Inputs!$B$5))))))</x:f>
      </x:c>
      <x:c r="N8" s="16" t="n">
        <x:f>N7+(-LN((Inputs!$B$4-($A8-1))/($D$2-($A8-1))))</x:f>
        <x:v>7.639336369816133</x:v>
      </x:c>
      <x:c r="O8" s="16" t="n">
        <x:f>O7+((MAX(Inputs!$B$4-($A8-1)-1,0))/(Inputs!$B$4-($A8-1)+1))*(-LN((2*$B$2)/($D$2-($A8-1))))+(2/(Inputs!$B$4-($A8-1)+1))*(-LN($B$2/($D$2-($A8-1))))</x:f>
        <x:v>8.298443689159553</x:v>
      </x:c>
      <x:c r="P8" s="16" t="n">
        <x:f>P7+((MAX(Inputs!$B$4-($A8-1)-1,0))/(Inputs!$B$4-($A8-1)+1))*(-LN(2/($D$2-($A8-1))))+(2/(Inputs!$B$4-($A8-1)+1))*(-LN(1/($D$2-($A8-1))))</x:f>
        <x:v>15.772758982236592</x:v>
      </x:c>
      <x:c r="Q8" s="16" t="str">
        <x:f>IF($A8&gt;$B$2,"",Q7+(-LN(($B$2-($A8-1))/($D$2-($A8-1)))))</x:f>
      </x:c>
      <x:c r="R8" s="16" t="n">
        <x:f>IF(J8&lt;&gt;"",Inputs!$B$6*J8+(1-Inputs!$B$6)*N8,"")</x:f>
        <x:v>3.377507810439907</x:v>
      </x:c>
      <x:c r="S8" s="16" t="n">
        <x:f>IF(K8&lt;&gt;"",Inputs!$B$6*K8+(1-Inputs!$B$6)*O8,"")</x:f>
        <x:v>1.746047007727513</x:v>
      </x:c>
      <x:c r="T8" s="16" t="n">
        <x:f>IF(L8&lt;&gt;"",Inputs!$B$6*L8+(1-Inputs!$B$6)*P8,"")</x:f>
        <x:v>10.220713689166633</x:v>
      </x:c>
      <x:c r="U8" s="16" t="str">
        <x:f>IF(M8&lt;&gt;"",Inputs!$B$6*M8+(1-Inputs!$B$6)*Q8,"")</x:f>
      </x:c>
      <x:c r="V8" s="16" t="n">
        <x:f>Inputs!$B$10*Inputs!$B$11*(IF($A8&lt;=5,1,2))*(Inputs!$B$14-Inputs!$B$15)</x:f>
        <x:v>1.8899999999999997</x:v>
      </x:c>
      <x:c r="W8" s="16" t="n">
        <x:f>Inputs!$B$10*Inputs!$B$12*(Inputs!$B$16-IF($A8=3,Inputs!$B$17,Inputs!$B$18))</x:f>
        <x:v>0.06749999999999999</x:v>
      </x:c>
      <x:c r="X8" s="16" t="n">
        <x:f>Inputs!$B$10*Inputs!$B$13*Inputs!$B$21*(((IF($A8&lt;=5,1,2))*(Inputs!$B$14-Inputs!$B$15))+Inputs!$B$16-IF($A8=3,Inputs!$B$17,Inputs!$B$18))</x:f>
        <x:v>0.6483749999999999</x:v>
      </x:c>
      <x:c r="Y8" s="16" t="str">
        <x:f>IF(ISNUMBER(M8),Inputs!$B$10*Inputs!$B$23*Inputs!$B$22*IF($A8=3,Inputs!$B$24,IF($A8=4,Inputs!$B$25,IF($A8=5,Inputs!$B$26,""))),"")</x:f>
      </x:c>
      <x:c r="Z8" s="16" t="n">
        <x:f>0</x:f>
        <x:v>0</x:v>
      </x:c>
      <x:c r="AA8" s="16" t="n">
        <x:f>Inputs!$B$19+Inputs!$B$20*(($A8-3)/(Inputs!$B$4-3))</x:f>
        <x:v>1.4666666666666666</x:v>
      </x:c>
      <x:c r="AB8" s="16" t="n">
        <x:f>0</x:f>
        <x:v>0</x:v>
      </x:c>
      <x:c r="AC8" s="16" t="n">
        <x:f>0</x:f>
        <x:v>0</x:v>
      </x:c>
      <x:c r="AD8" s="16" t="n">
        <x:f>IF(R8&lt;&gt;"",R8-Inputs!$B$7*V8+Inputs!$B$8*Z8,"")</x:f>
        <x:v>2.9050078104399075</x:v>
      </x:c>
      <x:c r="AE8" s="16" t="n">
        <x:f>IF(S8&lt;&gt;"",S8-Inputs!$B$7*W8+Inputs!$B$8*AA8,"")</x:f>
        <x:v>3.19583867439418</x:v>
      </x:c>
      <x:c r="AF8" s="16" t="n">
        <x:f>IF(T8&lt;&gt;"",T8-Inputs!$B$7*X8+Inputs!$B$8*AB8,"")</x:f>
        <x:v>10.058619939166633</x:v>
      </x:c>
      <x:c r="AG8" s="16" t="str">
        <x:f>IF(U8&lt;&gt;"",U8-Inputs!$B$7*Y8+Inputs!$B$8*AC8,"")</x:f>
      </x:c>
      <x:c r="AH8" s="16" t="n">
        <x:f>IF(AD8&lt;&gt;"",MAX(0,AD8*Inputs!$B$9),"")</x:f>
        <x:v>5.810015620879815</x:v>
      </x:c>
      <x:c r="AI8" s="16" t="n">
        <x:f>IF(AE8&lt;&gt;"",MAX(0,AE8*Inputs!$B$9),"")</x:f>
        <x:v>6.39167734878836</x:v>
      </x:c>
      <x:c r="AJ8" s="16" t="n">
        <x:f>IF(AF8&lt;&gt;"",MAX(0,AF8*Inputs!$B$9),"")</x:f>
        <x:v>20.117239878333265</x:v>
      </x:c>
      <x:c r="AK8" s="16" t="str">
        <x:f>IF(AG8&lt;&gt;"",MAX(0,AG8*Inputs!$B$9),"")</x:f>
      </x:c>
    </x:row>
    <x:row r="9">
      <x:c r="A9" t="n">
        <x:v>8</x:v>
      </x:c>
      <x:c r="B9" s="36" t="n">
        <x:f>$B$2*COMBIN(Inputs!$B$4,$A9)</x:f>
        <x:v>32175</x:v>
      </x:c>
      <x:c r="C9" s="36" t="n">
        <x:f>(Inputs!$B$4-$A9+1)*($B$2^$A9)</x:f>
        <x:v>3125000</x:v>
      </x:c>
      <x:c r="D9" s="36" t="n">
        <x:f>$B$2*(Inputs!$B$4-$A9+1)</x:f>
        <x:v>40</x:v>
      </x:c>
      <x:c r="E9" s="36" t="str">
        <x:f>IF($A9&lt;=$B$2,Inputs!$B$4*COMBIN($B$2,$A9),"")</x:f>
      </x:c>
      <x:c r="F9" s="38" t="n">
        <x:f>IF(OR(B9="",Inputs!$B$5&lt;$A9),"",IF((B9*COMBIN($D$2-$A9,Inputs!$B$5-$A9)/COMBIN($D$2,Inputs!$B$5))&lt;1E-8,(B9*COMBIN($D$2-$A9,Inputs!$B$5-$A9)/COMBIN($D$2,Inputs!$B$5)),1-EXP(-(B9*COMBIN($D$2-$A9,Inputs!$B$5-$A9)/COMBIN($D$2,Inputs!$B$5)))))</x:f>
        <x:v>0.012197272715614216</x:v>
      </x:c>
      <x:c r="G9" s="38" t="n">
        <x:f>IF(OR(C9="",Inputs!$B$5&lt;$A9),"",IF((C9*COMBIN($D$2-$A9,Inputs!$B$5-$A9)/COMBIN($D$2,Inputs!$B$5))&lt;1E-8,(C9*COMBIN($D$2-$A9,Inputs!$B$5-$A9)/COMBIN($D$2,Inputs!$B$5)),1-EXP(-(C9*COMBIN($D$2-$A9,Inputs!$B$5-$A9)/COMBIN($D$2,Inputs!$B$5)))))</x:f>
        <x:v>0.6963699948261584</x:v>
      </x:c>
      <x:c r="H9" s="38" t="n">
        <x:f>IF(OR(D9="",Inputs!$B$5&lt;$A9),"",IF((D9*COMBIN($D$2-$A9,Inputs!$B$5-$A9)/COMBIN($D$2,Inputs!$B$5))&lt;1E-8,(D9*COMBIN($D$2-$A9,Inputs!$B$5-$A9)/COMBIN($D$2,Inputs!$B$5)),1-EXP(-(D9*COMBIN($D$2-$A9,Inputs!$B$5-$A9)/COMBIN($D$2,Inputs!$B$5)))))</x:f>
        <x:v>0.000015256784824613234</x:v>
      </x:c>
      <x:c r="I9" s="38" t="str">
        <x:f>IF(OR(E9="",Inputs!$B$5&lt;$A9),"",IF((E9*COMBIN($D$2-$A9,Inputs!$B$5-$A9)/COMBIN($D$2,Inputs!$B$5))&lt;1E-8,(E9*COMBIN($D$2-$A9,Inputs!$B$5-$A9)/COMBIN($D$2,Inputs!$B$5)),1-EXP(-(E9*COMBIN($D$2-$A9,Inputs!$B$5-$A9)/COMBIN($D$2,Inputs!$B$5)))))</x:f>
      </x:c>
      <x:c r="J9" s="16" t="n">
        <x:f>IF(OR(B9="",Inputs!$B$5&lt;$A9),"",IF((B9*COMBIN($D$2-$A9,Inputs!$B$5-$A9)/COMBIN($D$2,Inputs!$B$5))&lt;1E-8,-LN((B9*COMBIN($D$2-$A9,Inputs!$B$5-$A9)/COMBIN($D$2,Inputs!$B$5))),-LN(1-EXP(-(B9*COMBIN($D$2-$A9,Inputs!$B$5-$A9)/COMBIN($D$2,Inputs!$B$5))))))</x:f>
        <x:v>4.406542900133957</x:v>
      </x:c>
      <x:c r="K9" s="16" t="n">
        <x:f>IF(OR(C9="",Inputs!$B$5&lt;$A9),"",IF((C9*COMBIN($D$2-$A9,Inputs!$B$5-$A9)/COMBIN($D$2,Inputs!$B$5))&lt;1E-8,-LN((C9*COMBIN($D$2-$A9,Inputs!$B$5-$A9)/COMBIN($D$2,Inputs!$B$5))),-LN(1-EXP(-(C9*COMBIN($D$2-$A9,Inputs!$B$5-$A9)/COMBIN($D$2,Inputs!$B$5))))))</x:f>
        <x:v>0.36187415813615514</x:v>
      </x:c>
      <x:c r="L9" s="16" t="n">
        <x:f>IF(OR(D9="",Inputs!$B$5&lt;$A9),"",IF((D9*COMBIN($D$2-$A9,Inputs!$B$5-$A9)/COMBIN($D$2,Inputs!$B$5))&lt;1E-8,-LN((D9*COMBIN($D$2-$A9,Inputs!$B$5-$A9)/COMBIN($D$2,Inputs!$B$5))),-LN(1-EXP(-(D9*COMBIN($D$2-$A9,Inputs!$B$5-$A9)/COMBIN($D$2,Inputs!$B$5))))))</x:f>
        <x:v>11.090486247320404</x:v>
      </x:c>
      <x:c r="M9" s="16" t="str">
        <x:f>IF(OR(E9="",Inputs!$B$5&lt;$A9),"",IF((E9*COMBIN($D$2-$A9,Inputs!$B$5-$A9)/COMBIN($D$2,Inputs!$B$5))&lt;1E-8,-LN((E9*COMBIN($D$2-$A9,Inputs!$B$5-$A9)/COMBIN($D$2,Inputs!$B$5))),-LN(1-EXP(-(E9*COMBIN($D$2-$A9,Inputs!$B$5-$A9)/COMBIN($D$2,Inputs!$B$5))))))</x:f>
      </x:c>
      <x:c r="N9" s="16" t="n">
        <x:f>N8+(-LN((Inputs!$B$4-($A9-1))/($D$2-($A9-1))))</x:f>
        <x:v>9.779402533312403</x:v>
      </x:c>
      <x:c r="O9" s="16" t="n">
        <x:f>O8+((MAX(Inputs!$B$4-($A9-1)-1,0))/(Inputs!$B$4-($A9-1)+1))*(-LN((2*$B$2)/($D$2-($A9-1))))+(2/(Inputs!$B$4-($A9-1)+1))*(-LN($B$2/($D$2-($A9-1))))</x:f>
        <x:v>10.369399008132714</x:v>
      </x:c>
      <x:c r="P9" s="16" t="n">
        <x:f>P8+((MAX(Inputs!$B$4-($A9-1)-1,0))/(Inputs!$B$4-($A9-1)+1))*(-LN(2/($D$2-($A9-1))))+(2/(Inputs!$B$4-($A9-1)+1))*(-LN(1/($D$2-($A9-1))))</x:f>
        <x:v>19.453152213643854</x:v>
      </x:c>
      <x:c r="Q9" s="16" t="str">
        <x:f>IF($A9&gt;$B$2,"",Q8+(-LN(($B$2-($A9-1))/($D$2-($A9-1)))))</x:f>
      </x:c>
      <x:c r="R9" s="16" t="n">
        <x:f>IF(J9&lt;&gt;"",Inputs!$B$6*J9+(1-Inputs!$B$6)*N9,"")</x:f>
        <x:v>5.4811148267696455</x:v>
      </x:c>
      <x:c r="S9" s="16" t="n">
        <x:f>IF(K9&lt;&gt;"",Inputs!$B$6*K9+(1-Inputs!$B$6)*O9,"")</x:f>
        <x:v>2.3633791281354664</x:v>
      </x:c>
      <x:c r="T9" s="16" t="n">
        <x:f>IF(L9&lt;&gt;"",Inputs!$B$6*L9+(1-Inputs!$B$6)*P9,"")</x:f>
        <x:v>12.763019440585094</x:v>
      </x:c>
      <x:c r="U9" s="16" t="str">
        <x:f>IF(M9&lt;&gt;"",Inputs!$B$6*M9+(1-Inputs!$B$6)*Q9,"")</x:f>
      </x:c>
      <x:c r="V9" s="16" t="n">
        <x:f>Inputs!$B$10*Inputs!$B$11*(IF($A9&lt;=5,1,2))*(Inputs!$B$14-Inputs!$B$15)</x:f>
        <x:v>1.8899999999999997</x:v>
      </x:c>
      <x:c r="W9" s="16" t="n">
        <x:f>Inputs!$B$10*Inputs!$B$12*(Inputs!$B$16-IF($A9=3,Inputs!$B$17,Inputs!$B$18))</x:f>
        <x:v>0.06749999999999999</x:v>
      </x:c>
      <x:c r="X9" s="16" t="n">
        <x:f>Inputs!$B$10*Inputs!$B$13*Inputs!$B$21*(((IF($A9&lt;=5,1,2))*(Inputs!$B$14-Inputs!$B$15))+Inputs!$B$16-IF($A9=3,Inputs!$B$17,Inputs!$B$18))</x:f>
        <x:v>0.6483749999999999</x:v>
      </x:c>
      <x:c r="Y9" s="16" t="str">
        <x:f>IF(ISNUMBER(M9),Inputs!$B$10*Inputs!$B$23*Inputs!$B$22*IF($A9=3,Inputs!$B$24,IF($A9=4,Inputs!$B$25,IF($A9=5,Inputs!$B$26,""))),"")</x:f>
      </x:c>
      <x:c r="Z9" s="16" t="n">
        <x:f>0</x:f>
        <x:v>0</x:v>
      </x:c>
      <x:c r="AA9" s="16" t="n">
        <x:f>Inputs!$B$19+Inputs!$B$20*(($A9-3)/(Inputs!$B$4-3))</x:f>
        <x:v>1.5333333333333332</x:v>
      </x:c>
      <x:c r="AB9" s="16" t="n">
        <x:f>0</x:f>
        <x:v>0</x:v>
      </x:c>
      <x:c r="AC9" s="16" t="n">
        <x:f>0</x:f>
        <x:v>0</x:v>
      </x:c>
      <x:c r="AD9" s="16" t="n">
        <x:f>IF(R9&lt;&gt;"",R9-Inputs!$B$7*V9+Inputs!$B$8*Z9,"")</x:f>
        <x:v>5.008614826769645</x:v>
      </x:c>
      <x:c r="AE9" s="16" t="n">
        <x:f>IF(S9&lt;&gt;"",S9-Inputs!$B$7*W9+Inputs!$B$8*AA9,"")</x:f>
        <x:v>3.8798374614687994</x:v>
      </x:c>
      <x:c r="AF9" s="16" t="n">
        <x:f>IF(T9&lt;&gt;"",T9-Inputs!$B$7*X9+Inputs!$B$8*AB9,"")</x:f>
        <x:v>12.600925690585093</x:v>
      </x:c>
      <x:c r="AG9" s="16" t="str">
        <x:f>IF(U9&lt;&gt;"",U9-Inputs!$B$7*Y9+Inputs!$B$8*AC9,"")</x:f>
      </x:c>
      <x:c r="AH9" s="16" t="n">
        <x:f>IF(AD9&lt;&gt;"",MAX(0,AD9*Inputs!$B$9),"")</x:f>
        <x:v>10.01722965353929</x:v>
      </x:c>
      <x:c r="AI9" s="16" t="n">
        <x:f>IF(AE9&lt;&gt;"",MAX(0,AE9*Inputs!$B$9),"")</x:f>
        <x:v>7.759674922937599</x:v>
      </x:c>
      <x:c r="AJ9" s="16" t="n">
        <x:f>IF(AF9&lt;&gt;"",MAX(0,AF9*Inputs!$B$9),"")</x:f>
        <x:v>25.201851381170187</x:v>
      </x:c>
      <x:c r="AK9" s="16" t="str">
        <x:f>IF(AG9&lt;&gt;"",MAX(0,AG9*Inputs!$B$9),"")</x:f>
      </x:c>
    </x:row>
    <x:row r="10">
      <x:c r="A10" t="n">
        <x:v>9</x:v>
      </x:c>
      <x:c r="B10" s="36" t="n">
        <x:f>$B$2*COMBIN(Inputs!$B$4,$A10)</x:f>
        <x:v>25025</x:v>
      </x:c>
      <x:c r="C10" s="36" t="n">
        <x:f>(Inputs!$B$4-$A10+1)*($B$2^$A10)</x:f>
        <x:v>13671875</x:v>
      </x:c>
      <x:c r="D10" s="36" t="n">
        <x:f>$B$2*(Inputs!$B$4-$A10+1)</x:f>
        <x:v>35</x:v>
      </x:c>
      <x:c r="E10" s="36" t="str">
        <x:f>IF($A10&lt;=$B$2,Inputs!$B$4*COMBIN($B$2,$A10),"")</x:f>
      </x:c>
      <x:c r="F10" s="38" t="n">
        <x:f>IF(OR(B10="",Inputs!$B$5&lt;$A10),"",IF((B10*COMBIN($D$2-$A10,Inputs!$B$5-$A10)/COMBIN($D$2,Inputs!$B$5))&lt;1E-8,(B10*COMBIN($D$2-$A10,Inputs!$B$5-$A10)/COMBIN($D$2,Inputs!$B$5)),1-EXP(-(B10*COMBIN($D$2-$A10,Inputs!$B$5-$A10)/COMBIN($D$2,Inputs!$B$5)))))</x:f>
        <x:v>0.0009967520427710541</x:v>
      </x:c>
      <x:c r="G10" s="38" t="n">
        <x:f>IF(OR(C10="",Inputs!$B$5&lt;$A10),"",IF((C10*COMBIN($D$2-$A10,Inputs!$B$5-$A10)/COMBIN($D$2,Inputs!$B$5))&lt;1E-8,(C10*COMBIN($D$2-$A10,Inputs!$B$5-$A10)/COMBIN($D$2,Inputs!$B$5)),1-EXP(-(C10*COMBIN($D$2-$A10,Inputs!$B$5-$A10)/COMBIN($D$2,Inputs!$B$5)))))</x:f>
        <x:v>0.4200571950226709</x:v>
      </x:c>
      <x:c r="H10" s="38" t="n">
        <x:f>IF(OR(D10="",Inputs!$B$5&lt;$A10),"",IF((D10*COMBIN($D$2-$A10,Inputs!$B$5-$A10)/COMBIN($D$2,Inputs!$B$5))&lt;1E-8,(D10*COMBIN($D$2-$A10,Inputs!$B$5-$A10)/COMBIN($D$2,Inputs!$B$5)),1-EXP(-(D10*COMBIN($D$2-$A10,Inputs!$B$5-$A10)/COMBIN($D$2,Inputs!$B$5)))))</x:f>
        <x:v>0.0000013947530559388355</x:v>
      </x:c>
      <x:c r="I10" s="38" t="str">
        <x:f>IF(OR(E10="",Inputs!$B$5&lt;$A10),"",IF((E10*COMBIN($D$2-$A10,Inputs!$B$5-$A10)/COMBIN($D$2,Inputs!$B$5))&lt;1E-8,(E10*COMBIN($D$2-$A10,Inputs!$B$5-$A10)/COMBIN($D$2,Inputs!$B$5)),1-EXP(-(E10*COMBIN($D$2-$A10,Inputs!$B$5-$A10)/COMBIN($D$2,Inputs!$B$5)))))</x:f>
      </x:c>
      <x:c r="J10" s="16" t="n">
        <x:f>IF(OR(B10="",Inputs!$B$5&lt;$A10),"",IF((B10*COMBIN($D$2-$A10,Inputs!$B$5-$A10)/COMBIN($D$2,Inputs!$B$5))&lt;1E-8,-LN((B10*COMBIN($D$2-$A10,Inputs!$B$5-$A10)/COMBIN($D$2,Inputs!$B$5))),-LN(1-EXP(-(B10*COMBIN($D$2-$A10,Inputs!$B$5-$A10)/COMBIN($D$2,Inputs!$B$5))))))</x:f>
        <x:v>6.911008522273202</x:v>
      </x:c>
      <x:c r="K10" s="16" t="n">
        <x:f>IF(OR(C10="",Inputs!$B$5&lt;$A10),"",IF((C10*COMBIN($D$2-$A10,Inputs!$B$5-$A10)/COMBIN($D$2,Inputs!$B$5))&lt;1E-8,-LN((C10*COMBIN($D$2-$A10,Inputs!$B$5-$A10)/COMBIN($D$2,Inputs!$B$5))),-LN(1-EXP(-(C10*COMBIN($D$2-$A10,Inputs!$B$5-$A10)/COMBIN($D$2,Inputs!$B$5))))))</x:f>
        <x:v>0.8673643983507834</x:v>
      </x:c>
      <x:c r="L10" s="16" t="n">
        <x:f>IF(OR(D10="",Inputs!$B$5&lt;$A10),"",IF((D10*COMBIN($D$2-$A10,Inputs!$B$5-$A10)/COMBIN($D$2,Inputs!$B$5))&lt;1E-8,-LN((D10*COMBIN($D$2-$A10,Inputs!$B$5-$A10)/COMBIN($D$2,Inputs!$B$5))),-LN(1-EXP(-(D10*COMBIN($D$2-$A10,Inputs!$B$5-$A10)/COMBIN($D$2,Inputs!$B$5))))))</x:f>
        <x:v>13.482793179193358</x:v>
      </x:c>
      <x:c r="M10" s="16" t="str">
        <x:f>IF(OR(E10="",Inputs!$B$5&lt;$A10),"",IF((E10*COMBIN($D$2-$A10,Inputs!$B$5-$A10)/COMBIN($D$2,Inputs!$B$5))&lt;1E-8,-LN((E10*COMBIN($D$2-$A10,Inputs!$B$5-$A10)/COMBIN($D$2,Inputs!$B$5))),-LN(1-EXP(-(E10*COMBIN($D$2-$A10,Inputs!$B$5-$A10)/COMBIN($D$2,Inputs!$B$5))))))</x:f>
      </x:c>
      <x:c r="N10" s="16" t="n">
        <x:f>N9+(-LN((Inputs!$B$4-($A10-1))/($D$2-($A10-1))))</x:f>
        <x:v>12.038185003648056</x:v>
      </x:c>
      <x:c r="O10" s="16" t="n">
        <x:f>O9+((MAX(Inputs!$B$4-($A10-1)-1,0))/(Inputs!$B$4-($A10-1)+1))*(-LN((2*$B$2)/($D$2-($A10-1))))+(2/(Inputs!$B$4-($A10-1)+1))*(-LN($B$2/($D$2-($A10-1))))</x:f>
        <x:v>12.44479332966962</x:v>
      </x:c>
      <x:c r="P10" s="16" t="n">
        <x:f>P9+((MAX(Inputs!$B$4-($A10-1)-1,0))/(Inputs!$B$4-($A10-1)+1))*(-LN(2/($D$2-($A10-1))))+(2/(Inputs!$B$4-($A10-1)+1))*(-LN(1/($D$2-($A10-1))))</x:f>
        <x:v>23.137984447614862</x:v>
      </x:c>
      <x:c r="Q10" s="16" t="str">
        <x:f>IF($A10&gt;$B$2,"",Q9+(-LN(($B$2-($A10-1))/($D$2-($A10-1)))))</x:f>
      </x:c>
      <x:c r="R10" s="16" t="n">
        <x:f>IF(J10&lt;&gt;"",Inputs!$B$6*J10+(1-Inputs!$B$6)*N10,"")</x:f>
        <x:v>7.936443818548174</x:v>
      </x:c>
      <x:c r="S10" s="16" t="n">
        <x:f>IF(K10&lt;&gt;"",Inputs!$B$6*K10+(1-Inputs!$B$6)*O10,"")</x:f>
        <x:v>3.18285018461455</x:v>
      </x:c>
      <x:c r="T10" s="16" t="n">
        <x:f>IF(L10&lt;&gt;"",Inputs!$B$6*L10+(1-Inputs!$B$6)*P10,"")</x:f>
        <x:v>15.413831432877659</x:v>
      </x:c>
      <x:c r="U10" s="16" t="str">
        <x:f>IF(M10&lt;&gt;"",Inputs!$B$6*M10+(1-Inputs!$B$6)*Q10,"")</x:f>
      </x:c>
      <x:c r="V10" s="16" t="n">
        <x:f>Inputs!$B$10*Inputs!$B$11*(IF($A10&lt;=5,1,2))*(Inputs!$B$14-Inputs!$B$15)</x:f>
        <x:v>1.8899999999999997</x:v>
      </x:c>
      <x:c r="W10" s="16" t="n">
        <x:f>Inputs!$B$10*Inputs!$B$12*(Inputs!$B$16-IF($A10=3,Inputs!$B$17,Inputs!$B$18))</x:f>
        <x:v>0.06749999999999999</x:v>
      </x:c>
      <x:c r="X10" s="16" t="n">
        <x:f>Inputs!$B$10*Inputs!$B$13*Inputs!$B$21*(((IF($A10&lt;=5,1,2))*(Inputs!$B$14-Inputs!$B$15))+Inputs!$B$16-IF($A10=3,Inputs!$B$17,Inputs!$B$18))</x:f>
        <x:v>0.6483749999999999</x:v>
      </x:c>
      <x:c r="Y10" s="16" t="str">
        <x:f>IF(ISNUMBER(M10),Inputs!$B$10*Inputs!$B$23*Inputs!$B$22*IF($A10=3,Inputs!$B$24,IF($A10=4,Inputs!$B$25,IF($A10=5,Inputs!$B$26,""))),"")</x:f>
      </x:c>
      <x:c r="Z10" s="16" t="n">
        <x:f>0</x:f>
        <x:v>0</x:v>
      </x:c>
      <x:c r="AA10" s="16" t="n">
        <x:f>Inputs!$B$19+Inputs!$B$20*(($A10-3)/(Inputs!$B$4-3))</x:f>
        <x:v>1.6</x:v>
      </x:c>
      <x:c r="AB10" s="16" t="n">
        <x:f>0</x:f>
        <x:v>0</x:v>
      </x:c>
      <x:c r="AC10" s="16" t="n">
        <x:f>0</x:f>
        <x:v>0</x:v>
      </x:c>
      <x:c r="AD10" s="16" t="n">
        <x:f>IF(R10&lt;&gt;"",R10-Inputs!$B$7*V10+Inputs!$B$8*Z10,"")</x:f>
        <x:v>7.463943818548174</x:v>
      </x:c>
      <x:c r="AE10" s="16" t="n">
        <x:f>IF(S10&lt;&gt;"",S10-Inputs!$B$7*W10+Inputs!$B$8*AA10,"")</x:f>
        <x:v>4.76597518461455</x:v>
      </x:c>
      <x:c r="AF10" s="16" t="n">
        <x:f>IF(T10&lt;&gt;"",T10-Inputs!$B$7*X10+Inputs!$B$8*AB10,"")</x:f>
        <x:v>15.251737682877659</x:v>
      </x:c>
      <x:c r="AG10" s="16" t="str">
        <x:f>IF(U10&lt;&gt;"",U10-Inputs!$B$7*Y10+Inputs!$B$8*AC10,"")</x:f>
      </x:c>
      <x:c r="AH10" s="16" t="n">
        <x:f>IF(AD10&lt;&gt;"",MAX(0,AD10*Inputs!$B$9),"")</x:f>
        <x:v>14.927887637096347</x:v>
      </x:c>
      <x:c r="AI10" s="16" t="n">
        <x:f>IF(AE10&lt;&gt;"",MAX(0,AE10*Inputs!$B$9),"")</x:f>
        <x:v>9.5319503692291</x:v>
      </x:c>
      <x:c r="AJ10" s="16" t="n">
        <x:f>IF(AF10&lt;&gt;"",MAX(0,AF10*Inputs!$B$9),"")</x:f>
        <x:v>30.503475365755317</x:v>
      </x:c>
      <x:c r="AK10" s="16" t="str">
        <x:f>IF(AG10&lt;&gt;"",MAX(0,AG10*Inputs!$B$9),"")</x:f>
      </x:c>
    </x:row>
    <x:row r="11">
      <x:c r="A11" t="n">
        <x:v>10</x:v>
      </x:c>
      <x:c r="B11" s="36" t="n">
        <x:f>$B$2*COMBIN(Inputs!$B$4,$A11)</x:f>
        <x:v>15015</x:v>
      </x:c>
      <x:c r="C11" s="36" t="n">
        <x:f>(Inputs!$B$4-$A11+1)*($B$2^$A11)</x:f>
        <x:v>58593750</x:v>
      </x:c>
      <x:c r="D11" s="36" t="n">
        <x:f>$B$2*(Inputs!$B$4-$A11+1)</x:f>
        <x:v>30</x:v>
      </x:c>
      <x:c r="E11" s="36" t="str">
        <x:f>IF($A11&lt;=$B$2,Inputs!$B$4*COMBIN($B$2,$A11),"")</x:f>
      </x:c>
      <x:c r="F11" s="38" t="n">
        <x:f>IF(OR(B11="",Inputs!$B$5&lt;$A11),"",IF((B11*COMBIN($D$2-$A11,Inputs!$B$5-$A11)/COMBIN($D$2,Inputs!$B$5))&lt;1E-8,(B11*COMBIN($D$2-$A11,Inputs!$B$5-$A11)/COMBIN($D$2,Inputs!$B$5)),1-EXP(-(B11*COMBIN($D$2-$A11,Inputs!$B$5-$A11)/COMBIN($D$2,Inputs!$B$5)))))</x:f>
        <x:v>0.000054393927711116064</x:v>
      </x:c>
      <x:c r="G11" s="38" t="n">
        <x:f>IF(OR(C11="",Inputs!$B$5&lt;$A11),"",IF((C11*COMBIN($D$2-$A11,Inputs!$B$5-$A11)/COMBIN($D$2,Inputs!$B$5))&lt;1E-8,(C11*COMBIN($D$2-$A11,Inputs!$B$5-$A11)/COMBIN($D$2,Inputs!$B$5)),1-EXP(-(C11*COMBIN($D$2-$A11,Inputs!$B$5-$A11)/COMBIN($D$2,Inputs!$B$5)))))</x:f>
        <x:v>0.1912535229756558</x:v>
      </x:c>
      <x:c r="H11" s="38" t="n">
        <x:f>IF(OR(D11="",Inputs!$B$5&lt;$A11),"",IF((D11*COMBIN($D$2-$A11,Inputs!$B$5-$A11)/COMBIN($D$2,Inputs!$B$5))&lt;1E-8,(D11*COMBIN($D$2-$A11,Inputs!$B$5-$A11)/COMBIN($D$2,Inputs!$B$5)),1-EXP(-(D11*COMBIN($D$2-$A11,Inputs!$B$5-$A11)/COMBIN($D$2,Inputs!$B$5)))))</x:f>
        <x:v>1.0868212618753148e-7</x:v>
      </x:c>
      <x:c r="I11" s="38" t="str">
        <x:f>IF(OR(E11="",Inputs!$B$5&lt;$A11),"",IF((E11*COMBIN($D$2-$A11,Inputs!$B$5-$A11)/COMBIN($D$2,Inputs!$B$5))&lt;1E-8,(E11*COMBIN($D$2-$A11,Inputs!$B$5-$A11)/COMBIN($D$2,Inputs!$B$5)),1-EXP(-(E11*COMBIN($D$2-$A11,Inputs!$B$5-$A11)/COMBIN($D$2,Inputs!$B$5)))))</x:f>
      </x:c>
      <x:c r="J11" s="16" t="n">
        <x:f>IF(OR(B11="",Inputs!$B$5&lt;$A11),"",IF((B11*COMBIN($D$2-$A11,Inputs!$B$5-$A11)/COMBIN($D$2,Inputs!$B$5))&lt;1E-8,-LN((B11*COMBIN($D$2-$A11,Inputs!$B$5-$A11)/COMBIN($D$2,Inputs!$B$5))),-LN(1-EXP(-(B11*COMBIN($D$2-$A11,Inputs!$B$5-$A11)/COMBIN($D$2,Inputs!$B$5))))))</x:f>
        <x:v>9.819258033290108</x:v>
      </x:c>
      <x:c r="K11" s="16" t="n">
        <x:f>IF(OR(C11="",Inputs!$B$5&lt;$A11),"",IF((C11*COMBIN($D$2-$A11,Inputs!$B$5-$A11)/COMBIN($D$2,Inputs!$B$5))&lt;1E-8,-LN((C11*COMBIN($D$2-$A11,Inputs!$B$5-$A11)/COMBIN($D$2,Inputs!$B$5))),-LN(1-EXP(-(C11*COMBIN($D$2-$A11,Inputs!$B$5-$A11)/COMBIN($D$2,Inputs!$B$5))))))</x:f>
        <x:v>1.6541553856574098</x:v>
      </x:c>
      <x:c r="L11" s="16" t="n">
        <x:f>IF(OR(D11="",Inputs!$B$5&lt;$A11),"",IF((D11*COMBIN($D$2-$A11,Inputs!$B$5-$A11)/COMBIN($D$2,Inputs!$B$5))&lt;1E-8,-LN((D11*COMBIN($D$2-$A11,Inputs!$B$5-$A11)/COMBIN($D$2,Inputs!$B$5))),-LN(1-EXP(-(D11*COMBIN($D$2-$A11,Inputs!$B$5-$A11)/COMBIN($D$2,Inputs!$B$5))))))</x:f>
        <x:v>16.034838488837163</x:v>
      </x:c>
      <x:c r="M11" s="16" t="str">
        <x:f>IF(OR(E11="",Inputs!$B$5&lt;$A11),"",IF((E11*COMBIN($D$2-$A11,Inputs!$B$5-$A11)/COMBIN($D$2,Inputs!$B$5))&lt;1E-8,-LN((E11*COMBIN($D$2-$A11,Inputs!$B$5-$A11)/COMBIN($D$2,Inputs!$B$5))),-LN(1-EXP(-(E11*COMBIN($D$2-$A11,Inputs!$B$5-$A11)/COMBIN($D$2,Inputs!$B$5))))))</x:f>
      </x:c>
      <x:c r="N11" s="16" t="n">
        <x:f>N10+(-LN((Inputs!$B$4-($A11-1))/($D$2-($A11-1))))</x:f>
        <x:v>14.436080276446427</x:v>
      </x:c>
      <x:c r="O11" s="16" t="n">
        <x:f>O10+((MAX(Inputs!$B$4-($A11-1)-1,0))/(Inputs!$B$4-($A11-1)+1))*(-LN((2*$B$2)/($D$2-($A11-1))))+(2/(Inputs!$B$4-($A11-1)+1))*(-LN($B$2/($D$2-($A11-1))))</x:f>
        <x:v>14.529905030290555</x:v>
      </x:c>
      <x:c r="P11" s="16" t="n">
        <x:f>P10+((MAX(Inputs!$B$4-($A11-1)-1,0))/(Inputs!$B$4-($A11-1)+1))*(-LN(2/($D$2-($A11-1))))+(2/(Inputs!$B$4-($A11-1)+1))*(-LN(1/($D$2-($A11-1))))</x:f>
        <x:v>26.8325340606699</x:v>
      </x:c>
      <x:c r="Q11" s="16" t="str">
        <x:f>IF($A11&gt;$B$2,"",Q10+(-LN(($B$2-($A11-1))/($D$2-($A11-1)))))</x:f>
      </x:c>
      <x:c r="R11" s="16" t="n">
        <x:f>IF(J11&lt;&gt;"",Inputs!$B$6*J11+(1-Inputs!$B$6)*N11,"")</x:f>
        <x:v>10.742622481921371</x:v>
      </x:c>
      <x:c r="S11" s="16" t="n">
        <x:f>IF(K11&lt;&gt;"",Inputs!$B$6*K11+(1-Inputs!$B$6)*O11,"")</x:f>
        <x:v>4.229305314584039</x:v>
      </x:c>
      <x:c r="T11" s="16" t="n">
        <x:f>IF(L11&lt;&gt;"",Inputs!$B$6*L11+(1-Inputs!$B$6)*P11,"")</x:f>
        <x:v>18.194377603203712</x:v>
      </x:c>
      <x:c r="U11" s="16" t="str">
        <x:f>IF(M11&lt;&gt;"",Inputs!$B$6*M11+(1-Inputs!$B$6)*Q11,"")</x:f>
      </x:c>
      <x:c r="V11" s="16" t="n">
        <x:f>Inputs!$B$10*Inputs!$B$11*(IF($A11&lt;=5,1,2))*(Inputs!$B$14-Inputs!$B$15)</x:f>
        <x:v>1.8899999999999997</x:v>
      </x:c>
      <x:c r="W11" s="16" t="n">
        <x:f>Inputs!$B$10*Inputs!$B$12*(Inputs!$B$16-IF($A11=3,Inputs!$B$17,Inputs!$B$18))</x:f>
        <x:v>0.06749999999999999</x:v>
      </x:c>
      <x:c r="X11" s="16" t="n">
        <x:f>Inputs!$B$10*Inputs!$B$13*Inputs!$B$21*(((IF($A11&lt;=5,1,2))*(Inputs!$B$14-Inputs!$B$15))+Inputs!$B$16-IF($A11=3,Inputs!$B$17,Inputs!$B$18))</x:f>
        <x:v>0.6483749999999999</x:v>
      </x:c>
      <x:c r="Y11" s="16" t="str">
        <x:f>IF(ISNUMBER(M11),Inputs!$B$10*Inputs!$B$23*Inputs!$B$22*IF($A11=3,Inputs!$B$24,IF($A11=4,Inputs!$B$25,IF($A11=5,Inputs!$B$26,""))),"")</x:f>
      </x:c>
      <x:c r="Z11" s="16" t="n">
        <x:f>0</x:f>
        <x:v>0</x:v>
      </x:c>
      <x:c r="AA11" s="16" t="n">
        <x:f>Inputs!$B$19+Inputs!$B$20*(($A11-3)/(Inputs!$B$4-3))</x:f>
        <x:v>1.6666666666666667</x:v>
      </x:c>
      <x:c r="AB11" s="16" t="n">
        <x:f>0</x:f>
        <x:v>0</x:v>
      </x:c>
      <x:c r="AC11" s="16" t="n">
        <x:f>0</x:f>
        <x:v>0</x:v>
      </x:c>
      <x:c r="AD11" s="16" t="n">
        <x:f>IF(R11&lt;&gt;"",R11-Inputs!$B$7*V11+Inputs!$B$8*Z11,"")</x:f>
        <x:v>10.270122481921371</x:v>
      </x:c>
      <x:c r="AE11" s="16" t="n">
        <x:f>IF(S11&lt;&gt;"",S11-Inputs!$B$7*W11+Inputs!$B$8*AA11,"")</x:f>
        <x:v>5.879096981250706</x:v>
      </x:c>
      <x:c r="AF11" s="16" t="n">
        <x:f>IF(T11&lt;&gt;"",T11-Inputs!$B$7*X11+Inputs!$B$8*AB11,"")</x:f>
        <x:v>18.03228385320371</x:v>
      </x:c>
      <x:c r="AG11" s="16" t="str">
        <x:f>IF(U11&lt;&gt;"",U11-Inputs!$B$7*Y11+Inputs!$B$8*AC11,"")</x:f>
      </x:c>
      <x:c r="AH11" s="16" t="n">
        <x:f>IF(AD11&lt;&gt;"",MAX(0,AD11*Inputs!$B$9),"")</x:f>
        <x:v>20.540244963842742</x:v>
      </x:c>
      <x:c r="AI11" s="16" t="n">
        <x:f>IF(AE11&lt;&gt;"",MAX(0,AE11*Inputs!$B$9),"")</x:f>
        <x:v>11.758193962501412</x:v>
      </x:c>
      <x:c r="AJ11" s="16" t="n">
        <x:f>IF(AF11&lt;&gt;"",MAX(0,AF11*Inputs!$B$9),"")</x:f>
        <x:v>36.06456770640742</x:v>
      </x:c>
      <x:c r="AK11" s="16" t="str">
        <x:f>IF(AG11&lt;&gt;"",MAX(0,AG11*Inputs!$B$9),"")</x:f>
      </x:c>
    </x:row>
    <x:row r="12">
      <x:c r="A12" t="n">
        <x:v>11</x:v>
      </x:c>
      <x:c r="B12" s="36" t="n">
        <x:f>$B$2*COMBIN(Inputs!$B$4,$A12)</x:f>
        <x:v>6825</x:v>
      </x:c>
      <x:c r="C12" s="36" t="n">
        <x:f>(Inputs!$B$4-$A12+1)*($B$2^$A12)</x:f>
        <x:v>244140625</x:v>
      </x:c>
      <x:c r="D12" s="36" t="n">
        <x:f>$B$2*(Inputs!$B$4-$A12+1)</x:f>
        <x:v>25</x:v>
      </x:c>
      <x:c r="E12" s="36" t="str">
        <x:f>IF($A12&lt;=$B$2,Inputs!$B$4*COMBIN($B$2,$A12),"")</x:f>
      </x:c>
      <x:c r="F12" s="38" t="n">
        <x:f>IF(OR(B12="",Inputs!$B$5&lt;$A12),"",IF((B12*COMBIN($D$2-$A12,Inputs!$B$5-$A12)/COMBIN($D$2,Inputs!$B$5))&lt;1E-8,(B12*COMBIN($D$2-$A12,Inputs!$B$5-$A12)/COMBIN($D$2,Inputs!$B$5)),1-EXP(-(B12*COMBIN($D$2-$A12,Inputs!$B$5-$A12)/COMBIN($D$2,Inputs!$B$5)))))</x:f>
        <x:v>0.000001901935502979235</x:v>
      </x:c>
      <x:c r="G12" s="38" t="n">
        <x:f>IF(OR(C12="",Inputs!$B$5&lt;$A12),"",IF((C12*COMBIN($D$2-$A12,Inputs!$B$5-$A12)/COMBIN($D$2,Inputs!$B$5))&lt;1E-8,(C12*COMBIN($D$2-$A12,Inputs!$B$5-$A12)/COMBIN($D$2,Inputs!$B$5)),1-EXP(-(C12*COMBIN($D$2-$A12,Inputs!$B$5-$A12)/COMBIN($D$2,Inputs!$B$5)))))</x:f>
        <x:v>0.06577240140786411</x:v>
      </x:c>
      <x:c r="H12" s="38" t="n">
        <x:f>IF(OR(D12="",Inputs!$B$5&lt;$A12),"",IF((D12*COMBIN($D$2-$A12,Inputs!$B$5-$A12)/COMBIN($D$2,Inputs!$B$5))&lt;1E-8,(D12*COMBIN($D$2-$A12,Inputs!$B$5-$A12)/COMBIN($D$2,Inputs!$B$5)),1-EXP(-(D12*COMBIN($D$2-$A12,Inputs!$B$5-$A12)/COMBIN($D$2,Inputs!$B$5)))))</x:f>
        <x:v>6.966803339536864e-9</x:v>
      </x:c>
      <x:c r="I12" s="38" t="str">
        <x:f>IF(OR(E12="",Inputs!$B$5&lt;$A12),"",IF((E12*COMBIN($D$2-$A12,Inputs!$B$5-$A12)/COMBIN($D$2,Inputs!$B$5))&lt;1E-8,(E12*COMBIN($D$2-$A12,Inputs!$B$5-$A12)/COMBIN($D$2,Inputs!$B$5)),1-EXP(-(E12*COMBIN($D$2-$A12,Inputs!$B$5-$A12)/COMBIN($D$2,Inputs!$B$5)))))</x:f>
      </x:c>
      <x:c r="J12" s="16" t="n">
        <x:f>IF(OR(B12="",Inputs!$B$5&lt;$A12),"",IF((B12*COMBIN($D$2-$A12,Inputs!$B$5-$A12)/COMBIN($D$2,Inputs!$B$5))&lt;1E-8,-LN((B12*COMBIN($D$2-$A12,Inputs!$B$5-$A12)/COMBIN($D$2,Inputs!$B$5))),-LN(1-EXP(-(B12*COMBIN($D$2-$A12,Inputs!$B$5-$A12)/COMBIN($D$2,Inputs!$B$5))))))</x:f>
        <x:v>13.172638504521592</x:v>
      </x:c>
      <x:c r="K12" s="16" t="n">
        <x:f>IF(OR(C12="",Inputs!$B$5&lt;$A12),"",IF((C12*COMBIN($D$2-$A12,Inputs!$B$5-$A12)/COMBIN($D$2,Inputs!$B$5))&lt;1E-8,-LN((C12*COMBIN($D$2-$A12,Inputs!$B$5-$A12)/COMBIN($D$2,Inputs!$B$5))),-LN(1-EXP(-(C12*COMBIN($D$2-$A12,Inputs!$B$5-$A12)/COMBIN($D$2,Inputs!$B$5))))))</x:f>
        <x:v>2.721554960128284</x:v>
      </x:c>
      <x:c r="L12" s="16" t="n">
        <x:f>IF(OR(D12="",Inputs!$B$5&lt;$A12),"",IF((D12*COMBIN($D$2-$A12,Inputs!$B$5-$A12)/COMBIN($D$2,Inputs!$B$5))&lt;1E-8,-LN((D12*COMBIN($D$2-$A12,Inputs!$B$5-$A12)/COMBIN($D$2,Inputs!$B$5))),-LN(1-EXP(-(D12*COMBIN($D$2-$A12,Inputs!$B$5-$A12)/COMBIN($D$2,Inputs!$B$5))))))</x:f>
        <x:v>18.782109348720848</x:v>
      </x:c>
      <x:c r="M12" s="16" t="str">
        <x:f>IF(OR(E12="",Inputs!$B$5&lt;$A12),"",IF((E12*COMBIN($D$2-$A12,Inputs!$B$5-$A12)/COMBIN($D$2,Inputs!$B$5))&lt;1E-8,-LN((E12*COMBIN($D$2-$A12,Inputs!$B$5-$A12)/COMBIN($D$2,Inputs!$B$5))),-LN(1-EXP(-(E12*COMBIN($D$2-$A12,Inputs!$B$5-$A12)/COMBIN($D$2,Inputs!$B$5))))))</x:f>
      </x:c>
      <x:c r="N12" s="16" t="n">
        <x:f>N11+(-LN((Inputs!$B$4-($A12-1))/($D$2-($A12-1))))</x:f>
        <x:v>17.001029633907965</x:v>
      </x:c>
      <x:c r="O12" s="16" t="n">
        <x:f>O11+((MAX(Inputs!$B$4-($A12-1)-1,0))/(Inputs!$B$4-($A12-1)+1))*(-LN((2*$B$2)/($D$2-($A12-1))))+(2/(Inputs!$B$4-($A12-1)+1))*(-LN($B$2/($D$2-($A12-1))))</x:f>
        <x:v>16.632756267378795</x:v>
      </x:c>
      <x:c r="P12" s="16" t="n">
        <x:f>P11+((MAX(Inputs!$B$4-($A12-1)-1,0))/(Inputs!$B$4-($A12-1)+1))*(-LN(2/($D$2-($A12-1))))+(2/(Inputs!$B$4-($A12-1)+1))*(-LN(1/($D$2-($A12-1))))</x:f>
        <x:v>30.544823210192238</x:v>
      </x:c>
      <x:c r="Q12" s="16" t="str">
        <x:f>IF($A12&gt;$B$2,"",Q11+(-LN(($B$2-($A12-1))/($D$2-($A12-1)))))</x:f>
      </x:c>
      <x:c r="R12" s="16" t="n">
        <x:f>IF(J12&lt;&gt;"",Inputs!$B$6*J12+(1-Inputs!$B$6)*N12,"")</x:f>
        <x:v>13.938316730398865</x:v>
      </x:c>
      <x:c r="S12" s="16" t="n">
        <x:f>IF(K12&lt;&gt;"",Inputs!$B$6*K12+(1-Inputs!$B$6)*O12,"")</x:f>
        <x:v>5.503795221578386</x:v>
      </x:c>
      <x:c r="T12" s="16" t="n">
        <x:f>IF(L12&lt;&gt;"",Inputs!$B$6*L12+(1-Inputs!$B$6)*P12,"")</x:f>
        <x:v>21.134652121015122</x:v>
      </x:c>
      <x:c r="U12" s="16" t="str">
        <x:f>IF(M12&lt;&gt;"",Inputs!$B$6*M12+(1-Inputs!$B$6)*Q12,"")</x:f>
      </x:c>
      <x:c r="V12" s="16" t="n">
        <x:f>Inputs!$B$10*Inputs!$B$11*(IF($A12&lt;=5,1,2))*(Inputs!$B$14-Inputs!$B$15)</x:f>
        <x:v>1.8899999999999997</x:v>
      </x:c>
      <x:c r="W12" s="16" t="n">
        <x:f>Inputs!$B$10*Inputs!$B$12*(Inputs!$B$16-IF($A12=3,Inputs!$B$17,Inputs!$B$18))</x:f>
        <x:v>0.06749999999999999</x:v>
      </x:c>
      <x:c r="X12" s="16" t="n">
        <x:f>Inputs!$B$10*Inputs!$B$13*Inputs!$B$21*(((IF($A12&lt;=5,1,2))*(Inputs!$B$14-Inputs!$B$15))+Inputs!$B$16-IF($A12=3,Inputs!$B$17,Inputs!$B$18))</x:f>
        <x:v>0.6483749999999999</x:v>
      </x:c>
      <x:c r="Y12" s="16" t="str">
        <x:f>IF(ISNUMBER(M12),Inputs!$B$10*Inputs!$B$23*Inputs!$B$22*IF($A12=3,Inputs!$B$24,IF($A12=4,Inputs!$B$25,IF($A12=5,Inputs!$B$26,""))),"")</x:f>
      </x:c>
      <x:c r="Z12" s="16" t="n">
        <x:f>0</x:f>
        <x:v>0</x:v>
      </x:c>
      <x:c r="AA12" s="16" t="n">
        <x:f>Inputs!$B$19+Inputs!$B$20*(($A12-3)/(Inputs!$B$4-3))</x:f>
        <x:v>1.7333333333333334</x:v>
      </x:c>
      <x:c r="AB12" s="16" t="n">
        <x:f>0</x:f>
        <x:v>0</x:v>
      </x:c>
      <x:c r="AC12" s="16" t="n">
        <x:f>0</x:f>
        <x:v>0</x:v>
      </x:c>
      <x:c r="AD12" s="16" t="n">
        <x:f>IF(R12&lt;&gt;"",R12-Inputs!$B$7*V12+Inputs!$B$8*Z12,"")</x:f>
        <x:v>13.465816730398865</x:v>
      </x:c>
      <x:c r="AE12" s="16" t="n">
        <x:f>IF(S12&lt;&gt;"",S12-Inputs!$B$7*W12+Inputs!$B$8*AA12,"")</x:f>
        <x:v>7.22025355491172</x:v>
      </x:c>
      <x:c r="AF12" s="16" t="n">
        <x:f>IF(T12&lt;&gt;"",T12-Inputs!$B$7*X12+Inputs!$B$8*AB12,"")</x:f>
        <x:v>20.972558371015122</x:v>
      </x:c>
      <x:c r="AG12" s="16" t="str">
        <x:f>IF(U12&lt;&gt;"",U12-Inputs!$B$7*Y12+Inputs!$B$8*AC12,"")</x:f>
      </x:c>
      <x:c r="AH12" s="16" t="n">
        <x:f>IF(AD12&lt;&gt;"",MAX(0,AD12*Inputs!$B$9),"")</x:f>
        <x:v>26.93163346079773</x:v>
      </x:c>
      <x:c r="AI12" s="16" t="n">
        <x:f>IF(AE12&lt;&gt;"",MAX(0,AE12*Inputs!$B$9),"")</x:f>
        <x:v>14.44050710982344</x:v>
      </x:c>
      <x:c r="AJ12" s="16" t="n">
        <x:f>IF(AF12&lt;&gt;"",MAX(0,AF12*Inputs!$B$9),"")</x:f>
        <x:v>41.945116742030244</x:v>
      </x:c>
      <x:c r="AK12" s="16" t="str">
        <x:f>IF(AG12&lt;&gt;"",MAX(0,AG12*Inputs!$B$9),"")</x:f>
      </x:c>
    </x:row>
    <x:row r="13">
      <x:c r="A13" t="n">
        <x:v>12</x:v>
      </x:c>
      <x:c r="B13" s="36" t="n">
        <x:f>$B$2*COMBIN(Inputs!$B$4,$A13)</x:f>
        <x:v>2275</x:v>
      </x:c>
      <x:c r="C13" s="36" t="n">
        <x:f>(Inputs!$B$4-$A13+1)*($B$2^$A13)</x:f>
        <x:v>976562500</x:v>
      </x:c>
      <x:c r="D13" s="36" t="n">
        <x:f>$B$2*(Inputs!$B$4-$A13+1)</x:f>
        <x:v>20</x:v>
      </x:c>
      <x:c r="E13" s="36" t="str">
        <x:f>IF($A13&lt;=$B$2,Inputs!$B$4*COMBIN($B$2,$A13),"")</x:f>
      </x:c>
      <x:c r="F13" s="38" t="n">
        <x:f>IF(OR(B13="",Inputs!$B$5&lt;$A13),"",IF((B13*COMBIN($D$2-$A13,Inputs!$B$5-$A13)/COMBIN($D$2,Inputs!$B$5))&lt;1E-8,(B13*COMBIN($D$2-$A13,Inputs!$B$5-$A13)/COMBIN($D$2,Inputs!$B$5)),1-EXP(-(B13*COMBIN($D$2-$A13,Inputs!$B$5-$A13)/COMBIN($D$2,Inputs!$B$5)))))</x:f>
        <x:v>3.962369321541814e-8</x:v>
      </x:c>
      <x:c r="G13" s="38" t="n">
        <x:f>IF(OR(C13="",Inputs!$B$5&lt;$A13),"",IF((C13*COMBIN($D$2-$A13,Inputs!$B$5-$A13)/COMBIN($D$2,Inputs!$B$5))&lt;1E-8,(C13*COMBIN($D$2-$A13,Inputs!$B$5-$A13)/COMBIN($D$2,Inputs!$B$5)),1-EXP(-(C13*COMBIN($D$2-$A13,Inputs!$B$5-$A13)/COMBIN($D$2,Inputs!$B$5)))))</x:f>
        <x:v>0.0168649642540718</x:v>
      </x:c>
      <x:c r="H13" s="38" t="n">
        <x:f>IF(OR(D13="",Inputs!$B$5&lt;$A13),"",IF((D13*COMBIN($D$2-$A13,Inputs!$B$5-$A13)/COMBIN($D$2,Inputs!$B$5))&lt;1E-8,(D13*COMBIN($D$2-$A13,Inputs!$B$5-$A13)/COMBIN($D$2,Inputs!$B$5)),1-EXP(-(D13*COMBIN($D$2-$A13,Inputs!$B$5-$A13)/COMBIN($D$2,Inputs!$B$5)))))</x:f>
        <x:v>3.4834016697684324e-10</x:v>
      </x:c>
      <x:c r="I13" s="38" t="str">
        <x:f>IF(OR(E13="",Inputs!$B$5&lt;$A13),"",IF((E13*COMBIN($D$2-$A13,Inputs!$B$5-$A13)/COMBIN($D$2,Inputs!$B$5))&lt;1E-8,(E13*COMBIN($D$2-$A13,Inputs!$B$5-$A13)/COMBIN($D$2,Inputs!$B$5)),1-EXP(-(E13*COMBIN($D$2-$A13,Inputs!$B$5-$A13)/COMBIN($D$2,Inputs!$B$5)))))</x:f>
      </x:c>
      <x:c r="J13" s="16" t="n">
        <x:f>IF(OR(B13="",Inputs!$B$5&lt;$A13),"",IF((B13*COMBIN($D$2-$A13,Inputs!$B$5-$A13)/COMBIN($D$2,Inputs!$B$5))&lt;1E-8,-LN((B13*COMBIN($D$2-$A13,Inputs!$B$5-$A13)/COMBIN($D$2,Inputs!$B$5))),-LN(1-EXP(-(B13*COMBIN($D$2-$A13,Inputs!$B$5-$A13)/COMBIN($D$2,Inputs!$B$5))))))</x:f>
        <x:v>17.04383858408349</x:v>
      </x:c>
      <x:c r="K13" s="16" t="n">
        <x:f>IF(OR(C13="",Inputs!$B$5&lt;$A13),"",IF((C13*COMBIN($D$2-$A13,Inputs!$B$5-$A13)/COMBIN($D$2,Inputs!$B$5))&lt;1E-8,-LN((C13*COMBIN($D$2-$A13,Inputs!$B$5-$A13)/COMBIN($D$2,Inputs!$B$5))),-LN(1-EXP(-(C13*COMBIN($D$2-$A13,Inputs!$B$5-$A13)/COMBIN($D$2,Inputs!$B$5))))))</x:f>
        <x:v>4.082516930004016</x:v>
      </x:c>
      <x:c r="L13" s="16" t="n">
        <x:f>IF(OR(D13="",Inputs!$B$5&lt;$A13),"",IF((D13*COMBIN($D$2-$A13,Inputs!$B$5-$A13)/COMBIN($D$2,Inputs!$B$5))&lt;1E-8,-LN((D13*COMBIN($D$2-$A13,Inputs!$B$5-$A13)/COMBIN($D$2,Inputs!$B$5))),-LN(1-EXP(-(D13*COMBIN($D$2-$A13,Inputs!$B$5-$A13)/COMBIN($D$2,Inputs!$B$5))))))</x:f>
        <x:v>21.77784162227484</x:v>
      </x:c>
      <x:c r="M13" s="16" t="str">
        <x:f>IF(OR(E13="",Inputs!$B$5&lt;$A13),"",IF((E13*COMBIN($D$2-$A13,Inputs!$B$5-$A13)/COMBIN($D$2,Inputs!$B$5))&lt;1E-8,-LN((E13*COMBIN($D$2-$A13,Inputs!$B$5-$A13)/COMBIN($D$2,Inputs!$B$5))),-LN(1-EXP(-(E13*COMBIN($D$2-$A13,Inputs!$B$5-$A13)/COMBIN($D$2,Inputs!$B$5))))))</x:f>
      </x:c>
      <x:c r="N13" s="16" t="n">
        <x:f>N12+(-LN((Inputs!$B$4-($A13-1))/($D$2-($A13-1))))</x:f>
        <x:v>19.773618356147747</x:v>
      </x:c>
      <x:c r="O13" s="16" t="n">
        <x:f>O12+((MAX(Inputs!$B$4-($A13-1)-1,0))/(Inputs!$B$4-($A13-1)+1))*(-LN((2*$B$2)/($D$2-($A13-1))))+(2/(Inputs!$B$4-($A13-1)+1))*(-LN($B$2/($D$2-($A13-1))))</x:f>
        <x:v>18.7663131299684</x:v>
      </x:c>
      <x:c r="P13" s="16" t="n">
        <x:f>P12+((MAX(Inputs!$B$4-($A13-1)-1,0))/(Inputs!$B$4-($A13-1)+1))*(-LN(2/($D$2-($A13-1))))+(2/(Inputs!$B$4-($A13-1)+1))*(-LN(1/($D$2-($A13-1))))</x:f>
        <x:v>34.287817985215945</x:v>
      </x:c>
      <x:c r="Q13" s="16" t="str">
        <x:f>IF($A13&gt;$B$2,"",Q12+(-LN(($B$2-($A13-1))/($D$2-($A13-1)))))</x:f>
      </x:c>
      <x:c r="R13" s="16" t="n">
        <x:f>IF(J13&lt;&gt;"",Inputs!$B$6*J13+(1-Inputs!$B$6)*N13,"")</x:f>
        <x:v>17.58979453849634</x:v>
      </x:c>
      <x:c r="S13" s="16" t="n">
        <x:f>IF(K13&lt;&gt;"",Inputs!$B$6*K13+(1-Inputs!$B$6)*O13,"")</x:f>
        <x:v>7.019276169996893</x:v>
      </x:c>
      <x:c r="T13" s="16" t="n">
        <x:f>IF(L13&lt;&gt;"",Inputs!$B$6*L13+(1-Inputs!$B$6)*P13,"")</x:f>
        <x:v>24.27983689486306</x:v>
      </x:c>
      <x:c r="U13" s="16" t="str">
        <x:f>IF(M13&lt;&gt;"",Inputs!$B$6*M13+(1-Inputs!$B$6)*Q13,"")</x:f>
      </x:c>
      <x:c r="V13" s="16" t="n">
        <x:f>Inputs!$B$10*Inputs!$B$11*(IF($A13&lt;=5,1,2))*(Inputs!$B$14-Inputs!$B$15)</x:f>
        <x:v>1.8899999999999997</x:v>
      </x:c>
      <x:c r="W13" s="16" t="n">
        <x:f>Inputs!$B$10*Inputs!$B$12*(Inputs!$B$16-IF($A13=3,Inputs!$B$17,Inputs!$B$18))</x:f>
        <x:v>0.06749999999999999</x:v>
      </x:c>
      <x:c r="X13" s="16" t="n">
        <x:f>Inputs!$B$10*Inputs!$B$13*Inputs!$B$21*(((IF($A13&lt;=5,1,2))*(Inputs!$B$14-Inputs!$B$15))+Inputs!$B$16-IF($A13=3,Inputs!$B$17,Inputs!$B$18))</x:f>
        <x:v>0.6483749999999999</x:v>
      </x:c>
      <x:c r="Y13" s="16" t="str">
        <x:f>IF(ISNUMBER(M13),Inputs!$B$10*Inputs!$B$23*Inputs!$B$22*IF($A13=3,Inputs!$B$24,IF($A13=4,Inputs!$B$25,IF($A13=5,Inputs!$B$26,""))),"")</x:f>
      </x:c>
      <x:c r="Z13" s="16" t="n">
        <x:f>0</x:f>
        <x:v>0</x:v>
      </x:c>
      <x:c r="AA13" s="16" t="n">
        <x:f>Inputs!$B$19+Inputs!$B$20*(($A13-3)/(Inputs!$B$4-3))</x:f>
        <x:v>1.8</x:v>
      </x:c>
      <x:c r="AB13" s="16" t="n">
        <x:f>0</x:f>
        <x:v>0</x:v>
      </x:c>
      <x:c r="AC13" s="16" t="n">
        <x:f>0</x:f>
        <x:v>0</x:v>
      </x:c>
      <x:c r="AD13" s="16" t="n">
        <x:f>IF(R13&lt;&gt;"",R13-Inputs!$B$7*V13+Inputs!$B$8*Z13,"")</x:f>
        <x:v>17.11729453849634</x:v>
      </x:c>
      <x:c r="AE13" s="16" t="n">
        <x:f>IF(S13&lt;&gt;"",S13-Inputs!$B$7*W13+Inputs!$B$8*AA13,"")</x:f>
        <x:v>8.802401169996893</x:v>
      </x:c>
      <x:c r="AF13" s="16" t="n">
        <x:f>IF(T13&lt;&gt;"",T13-Inputs!$B$7*X13+Inputs!$B$8*AB13,"")</x:f>
        <x:v>24.11774314486306</x:v>
      </x:c>
      <x:c r="AG13" s="16" t="str">
        <x:f>IF(U13&lt;&gt;"",U13-Inputs!$B$7*Y13+Inputs!$B$8*AC13,"")</x:f>
      </x:c>
      <x:c r="AH13" s="16" t="n">
        <x:f>IF(AD13&lt;&gt;"",MAX(0,AD13*Inputs!$B$9),"")</x:f>
        <x:v>34.23458907699268</x:v>
      </x:c>
      <x:c r="AI13" s="16" t="n">
        <x:f>IF(AE13&lt;&gt;"",MAX(0,AE13*Inputs!$B$9),"")</x:f>
        <x:v>17.604802339993785</x:v>
      </x:c>
      <x:c r="AJ13" s="16" t="n">
        <x:f>IF(AF13&lt;&gt;"",MAX(0,AF13*Inputs!$B$9),"")</x:f>
        <x:v>48.23548628972612</x:v>
      </x:c>
      <x:c r="AK13" s="16" t="str">
        <x:f>IF(AG13&lt;&gt;"",MAX(0,AG13*Inputs!$B$9),"")</x:f>
      </x:c>
    </x:row>
    <x:row r="14">
      <x:c r="A14" t="n">
        <x:v>13</x:v>
      </x:c>
      <x:c r="B14" s="36" t="n">
        <x:f>$B$2*COMBIN(Inputs!$B$4,$A14)</x:f>
        <x:v>525</x:v>
      </x:c>
      <x:c r="C14" s="36" t="n">
        <x:f>(Inputs!$B$4-$A14+1)*($B$2^$A14)</x:f>
        <x:v>3662109375</x:v>
      </x:c>
      <x:c r="D14" s="36" t="n">
        <x:f>$B$2*(Inputs!$B$4-$A14+1)</x:f>
        <x:v>15</x:v>
      </x:c>
      <x:c r="E14" s="36" t="str">
        <x:f>IF($A14&lt;=$B$2,Inputs!$B$4*COMBIN($B$2,$A14),"")</x:f>
      </x:c>
      <x:c r="F14" s="38" t="n">
        <x:f>IF(OR(B14="",Inputs!$B$5&lt;$A14),"",IF((B14*COMBIN($D$2-$A14,Inputs!$B$5-$A14)/COMBIN($D$2,Inputs!$B$5))&lt;1E-8,(B14*COMBIN($D$2-$A14,Inputs!$B$5-$A14)/COMBIN($D$2,Inputs!$B$5)),1-EXP(-(B14*COMBIN($D$2-$A14,Inputs!$B$5-$A14)/COMBIN($D$2,Inputs!$B$5)))))</x:f>
        <x:v>4.3542520872105405e-10</x:v>
      </x:c>
      <x:c r="G14" s="38" t="n">
        <x:f>IF(OR(C14="",Inputs!$B$5&lt;$A14),"",IF((C14*COMBIN($D$2-$A14,Inputs!$B$5-$A14)/COMBIN($D$2,Inputs!$B$5))&lt;1E-8,(C14*COMBIN($D$2-$A14,Inputs!$B$5-$A14)/COMBIN($D$2,Inputs!$B$5)),1-EXP(-(C14*COMBIN($D$2-$A14,Inputs!$B$5-$A14)/COMBIN($D$2,Inputs!$B$5)))))</x:f>
        <x:v>0.0030326773326718737</x:v>
      </x:c>
      <x:c r="H14" s="38" t="n">
        <x:f>IF(OR(D14="",Inputs!$B$5&lt;$A14),"",IF((D14*COMBIN($D$2-$A14,Inputs!$B$5-$A14)/COMBIN($D$2,Inputs!$B$5))&lt;1E-8,(D14*COMBIN($D$2-$A14,Inputs!$B$5-$A14)/COMBIN($D$2,Inputs!$B$5)),1-EXP(-(D14*COMBIN($D$2-$A14,Inputs!$B$5-$A14)/COMBIN($D$2,Inputs!$B$5)))))</x:f>
        <x:v>1.2440720249172973e-11</x:v>
      </x:c>
      <x:c r="I14" s="38" t="str">
        <x:f>IF(OR(E14="",Inputs!$B$5&lt;$A14),"",IF((E14*COMBIN($D$2-$A14,Inputs!$B$5-$A14)/COMBIN($D$2,Inputs!$B$5))&lt;1E-8,(E14*COMBIN($D$2-$A14,Inputs!$B$5-$A14)/COMBIN($D$2,Inputs!$B$5)),1-EXP(-(E14*COMBIN($D$2-$A14,Inputs!$B$5-$A14)/COMBIN($D$2,Inputs!$B$5)))))</x:f>
      </x:c>
      <x:c r="J14" s="16" t="n">
        <x:f>IF(OR(B14="",Inputs!$B$5&lt;$A14),"",IF((B14*COMBIN($D$2-$A14,Inputs!$B$5-$A14)/COMBIN($D$2,Inputs!$B$5))&lt;1E-8,-LN((B14*COMBIN($D$2-$A14,Inputs!$B$5-$A14)/COMBIN($D$2,Inputs!$B$5))),-LN(1-EXP(-(B14*COMBIN($D$2-$A14,Inputs!$B$5-$A14)/COMBIN($D$2,Inputs!$B$5))))))</x:f>
        <x:v>21.55469807096063</x:v>
      </x:c>
      <x:c r="K14" s="16" t="n">
        <x:f>IF(OR(C14="",Inputs!$B$5&lt;$A14),"",IF((C14*COMBIN($D$2-$A14,Inputs!$B$5-$A14)/COMBIN($D$2,Inputs!$B$5))&lt;1E-8,-LN((C14*COMBIN($D$2-$A14,Inputs!$B$5-$A14)/COMBIN($D$2,Inputs!$B$5))),-LN(1-EXP(-(C14*COMBIN($D$2-$A14,Inputs!$B$5-$A14)/COMBIN($D$2,Inputs!$B$5))))))</x:f>
        <x:v>5.798309441470191</x:v>
      </x:c>
      <x:c r="L14" s="16" t="n">
        <x:f>IF(OR(D14="",Inputs!$B$5&lt;$A14),"",IF((D14*COMBIN($D$2-$A14,Inputs!$B$5-$A14)/COMBIN($D$2,Inputs!$B$5))&lt;1E-8,-LN((D14*COMBIN($D$2-$A14,Inputs!$B$5-$A14)/COMBIN($D$2,Inputs!$B$5))),-LN(1-EXP(-(D14*COMBIN($D$2-$A14,Inputs!$B$5-$A14)/COMBIN($D$2,Inputs!$B$5))))))</x:f>
        <x:v>25.110046132450044</x:v>
      </x:c>
      <x:c r="M14" s="16" t="str">
        <x:f>IF(OR(E14="",Inputs!$B$5&lt;$A14),"",IF((E14*COMBIN($D$2-$A14,Inputs!$B$5-$A14)/COMBIN($D$2,Inputs!$B$5))&lt;1E-8,-LN((E14*COMBIN($D$2-$A14,Inputs!$B$5-$A14)/COMBIN($D$2,Inputs!$B$5))),-LN(1-EXP(-(E14*COMBIN($D$2-$A14,Inputs!$B$5-$A14)/COMBIN($D$2,Inputs!$B$5))))))</x:f>
      </x:c>
      <x:c r="N14" s="16" t="n">
        <x:f>N13+(-LN((Inputs!$B$4-($A14-1))/($D$2-($A14-1))))</x:f>
        <x:v>22.81814079387117</x:v>
      </x:c>
      <x:c r="O14" s="16" t="n">
        <x:f>O13+((MAX(Inputs!$B$4-($A14-1)-1,0))/(Inputs!$B$4-($A14-1)+1))*(-LN((2*$B$2)/($D$2-($A14-1))))+(2/(Inputs!$B$4-($A14-1)+1))*(-LN($B$2/($D$2-($A14-1))))</x:f>
        <x:v>20.95343635364586</x:v>
      </x:c>
      <x:c r="P14" s="16" t="n">
        <x:f>P13+((MAX(Inputs!$B$4-($A14-1)-1,0))/(Inputs!$B$4-($A14-1)+1))*(-LN(2/($D$2-($A14-1))))+(2/(Inputs!$B$4-($A14-1)+1))*(-LN(1/($D$2-($A14-1))))</x:f>
        <x:v>38.08437912132751</x:v>
      </x:c>
      <x:c r="Q14" s="16" t="str">
        <x:f>IF($A14&gt;$B$2,"",Q13+(-LN(($B$2-($A14-1))/($D$2-($A14-1)))))</x:f>
      </x:c>
      <x:c r="R14" s="16" t="n">
        <x:f>IF(J14&lt;&gt;"",Inputs!$B$6*J14+(1-Inputs!$B$6)*N14,"")</x:f>
        <x:v>21.807386615542736</x:v>
      </x:c>
      <x:c r="S14" s="16" t="n">
        <x:f>IF(K14&lt;&gt;"",Inputs!$B$6*K14+(1-Inputs!$B$6)*O14,"")</x:f>
        <x:v>8.829334823905324</x:v>
      </x:c>
      <x:c r="T14" s="16" t="n">
        <x:f>IF(L14&lt;&gt;"",Inputs!$B$6*L14+(1-Inputs!$B$6)*P14,"")</x:f>
        <x:v>27.704912730225537</x:v>
      </x:c>
      <x:c r="U14" s="16" t="str">
        <x:f>IF(M14&lt;&gt;"",Inputs!$B$6*M14+(1-Inputs!$B$6)*Q14,"")</x:f>
      </x:c>
      <x:c r="V14" s="16" t="n">
        <x:f>Inputs!$B$10*Inputs!$B$11*(IF($A14&lt;=5,1,2))*(Inputs!$B$14-Inputs!$B$15)</x:f>
        <x:v>1.8899999999999997</x:v>
      </x:c>
      <x:c r="W14" s="16" t="n">
        <x:f>Inputs!$B$10*Inputs!$B$12*(Inputs!$B$16-IF($A14=3,Inputs!$B$17,Inputs!$B$18))</x:f>
        <x:v>0.06749999999999999</x:v>
      </x:c>
      <x:c r="X14" s="16" t="n">
        <x:f>Inputs!$B$10*Inputs!$B$13*Inputs!$B$21*(((IF($A14&lt;=5,1,2))*(Inputs!$B$14-Inputs!$B$15))+Inputs!$B$16-IF($A14=3,Inputs!$B$17,Inputs!$B$18))</x:f>
        <x:v>0.6483749999999999</x:v>
      </x:c>
      <x:c r="Y14" s="16" t="str">
        <x:f>IF(ISNUMBER(M14),Inputs!$B$10*Inputs!$B$23*Inputs!$B$22*IF($A14=3,Inputs!$B$24,IF($A14=4,Inputs!$B$25,IF($A14=5,Inputs!$B$26,""))),"")</x:f>
      </x:c>
      <x:c r="Z14" s="16" t="n">
        <x:f>0</x:f>
        <x:v>0</x:v>
      </x:c>
      <x:c r="AA14" s="16" t="n">
        <x:f>Inputs!$B$19+Inputs!$B$20*(($A14-3)/(Inputs!$B$4-3))</x:f>
        <x:v>1.8666666666666667</x:v>
      </x:c>
      <x:c r="AB14" s="16" t="n">
        <x:f>0</x:f>
        <x:v>0</x:v>
      </x:c>
      <x:c r="AC14" s="16" t="n">
        <x:f>0</x:f>
        <x:v>0</x:v>
      </x:c>
      <x:c r="AD14" s="16" t="n">
        <x:f>IF(R14&lt;&gt;"",R14-Inputs!$B$7*V14+Inputs!$B$8*Z14,"")</x:f>
        <x:v>21.334886615542736</x:v>
      </x:c>
      <x:c r="AE14" s="16" t="n">
        <x:f>IF(S14&lt;&gt;"",S14-Inputs!$B$7*W14+Inputs!$B$8*AA14,"")</x:f>
        <x:v>10.67912649057199</x:v>
      </x:c>
      <x:c r="AF14" s="16" t="n">
        <x:f>IF(T14&lt;&gt;"",T14-Inputs!$B$7*X14+Inputs!$B$8*AB14,"")</x:f>
        <x:v>27.542818980225537</x:v>
      </x:c>
      <x:c r="AG14" s="16" t="str">
        <x:f>IF(U14&lt;&gt;"",U14-Inputs!$B$7*Y14+Inputs!$B$8*AC14,"")</x:f>
      </x:c>
      <x:c r="AH14" s="16" t="n">
        <x:f>IF(AD14&lt;&gt;"",MAX(0,AD14*Inputs!$B$9),"")</x:f>
        <x:v>42.66977323108547</x:v>
      </x:c>
      <x:c r="AI14" s="16" t="n">
        <x:f>IF(AE14&lt;&gt;"",MAX(0,AE14*Inputs!$B$9),"")</x:f>
        <x:v>21.35825298114398</x:v>
      </x:c>
      <x:c r="AJ14" s="16" t="n">
        <x:f>IF(AF14&lt;&gt;"",MAX(0,AF14*Inputs!$B$9),"")</x:f>
        <x:v>55.08563796045107</x:v>
      </x:c>
      <x:c r="AK14" s="16" t="str">
        <x:f>IF(AG14&lt;&gt;"",MAX(0,AG14*Inputs!$B$9),"")</x:f>
      </x:c>
    </x:row>
    <x:row r="15">
      <x:c r="A15" t="n">
        <x:v>14</x:v>
      </x:c>
      <x:c r="B15" s="36" t="n">
        <x:f>$B$2*COMBIN(Inputs!$B$4,$A15)</x:f>
        <x:v>75</x:v>
      </x:c>
      <x:c r="C15" s="36" t="n">
        <x:f>(Inputs!$B$4-$A15+1)*($B$2^$A15)</x:f>
        <x:v>12207031250</x:v>
      </x:c>
      <x:c r="D15" s="36" t="n">
        <x:f>$B$2*(Inputs!$B$4-$A15+1)</x:f>
        <x:v>10</x:v>
      </x:c>
      <x:c r="E15" s="36" t="str">
        <x:f>IF($A15&lt;=$B$2,Inputs!$B$4*COMBIN($B$2,$A15),"")</x:f>
      </x:c>
      <x:c r="F15" s="38" t="n">
        <x:f>IF(OR(B15="",Inputs!$B$5&lt;$A15),"",IF((B15*COMBIN($D$2-$A15,Inputs!$B$5-$A15)/COMBIN($D$2,Inputs!$B$5))&lt;1E-8,(B15*COMBIN($D$2-$A15,Inputs!$B$5-$A15)/COMBIN($D$2,Inputs!$B$5)),1-EXP(-(B15*COMBIN($D$2-$A15,Inputs!$B$5-$A15)/COMBIN($D$2,Inputs!$B$5)))))</x:f>
        <x:v>2.006567782124673e-12</x:v>
      </x:c>
      <x:c r="G15" s="38" t="n">
        <x:f>IF(OR(C15="",Inputs!$B$5&lt;$A15),"",IF((C15*COMBIN($D$2-$A15,Inputs!$B$5-$A15)/COMBIN($D$2,Inputs!$B$5))&lt;1E-8,(C15*COMBIN($D$2-$A15,Inputs!$B$5-$A15)/COMBIN($D$2,Inputs!$B$5)),1-EXP(-(C15*COMBIN($D$2-$A15,Inputs!$B$5-$A15)/COMBIN($D$2,Inputs!$B$5)))))</x:f>
        <x:v>0.0003265364836423368</x:v>
      </x:c>
      <x:c r="H15" s="38" t="n">
        <x:f>IF(OR(D15="",Inputs!$B$5&lt;$A15),"",IF((D15*COMBIN($D$2-$A15,Inputs!$B$5-$A15)/COMBIN($D$2,Inputs!$B$5))&lt;1E-8,(D15*COMBIN($D$2-$A15,Inputs!$B$5-$A15)/COMBIN($D$2,Inputs!$B$5)),1-EXP(-(D15*COMBIN($D$2-$A15,Inputs!$B$5-$A15)/COMBIN($D$2,Inputs!$B$5)))))</x:f>
        <x:v>2.6754237094995635e-13</x:v>
      </x:c>
      <x:c r="I15" s="38" t="str">
        <x:f>IF(OR(E15="",Inputs!$B$5&lt;$A15),"",IF((E15*COMBIN($D$2-$A15,Inputs!$B$5-$A15)/COMBIN($D$2,Inputs!$B$5))&lt;1E-8,(E15*COMBIN($D$2-$A15,Inputs!$B$5-$A15)/COMBIN($D$2,Inputs!$B$5)),1-EXP(-(E15*COMBIN($D$2-$A15,Inputs!$B$5-$A15)/COMBIN($D$2,Inputs!$B$5)))))</x:f>
      </x:c>
      <x:c r="J15" s="16" t="n">
        <x:f>IF(OR(B15="",Inputs!$B$5&lt;$A15),"",IF((B15*COMBIN($D$2-$A15,Inputs!$B$5-$A15)/COMBIN($D$2,Inputs!$B$5))&lt;1E-8,-LN((B15*COMBIN($D$2-$A15,Inputs!$B$5-$A15)/COMBIN($D$2,Inputs!$B$5))),-LN(1-EXP(-(B15*COMBIN($D$2-$A15,Inputs!$B$5-$A15)/COMBIN($D$2,Inputs!$B$5))))))</x:f>
        <x:v>26.93459542450109</x:v>
      </x:c>
      <x:c r="K15" s="16" t="n">
        <x:f>IF(OR(C15="",Inputs!$B$5&lt;$A15),"",IF((C15*COMBIN($D$2-$A15,Inputs!$B$5-$A15)/COMBIN($D$2,Inputs!$B$5))&lt;1E-8,-LN((C15*COMBIN($D$2-$A15,Inputs!$B$5-$A15)/COMBIN($D$2,Inputs!$B$5))),-LN(1-EXP(-(C15*COMBIN($D$2-$A15,Inputs!$B$5-$A15)/COMBIN($D$2,Inputs!$B$5))))))</x:f>
        <x:v>8.026968873859985</x:v>
      </x:c>
      <x:c r="L15" s="16" t="n">
        <x:f>IF(OR(D15="",Inputs!$B$5&lt;$A15),"",IF((D15*COMBIN($D$2-$A15,Inputs!$B$5-$A15)/COMBIN($D$2,Inputs!$B$5))&lt;1E-8,-LN((D15*COMBIN($D$2-$A15,Inputs!$B$5-$A15)/COMBIN($D$2,Inputs!$B$5))),-LN(1-EXP(-(D15*COMBIN($D$2-$A15,Inputs!$B$5-$A15)/COMBIN($D$2,Inputs!$B$5))))))</x:f>
        <x:v>28.949498445043353</x:v>
      </x:c>
      <x:c r="M15" s="16" t="str">
        <x:f>IF(OR(E15="",Inputs!$B$5&lt;$A15),"",IF((E15*COMBIN($D$2-$A15,Inputs!$B$5-$A15)/COMBIN($D$2,Inputs!$B$5))&lt;1E-8,-LN((E15*COMBIN($D$2-$A15,Inputs!$B$5-$A15)/COMBIN($D$2,Inputs!$B$5))),-LN(1-EXP(-(E15*COMBIN($D$2-$A15,Inputs!$B$5-$A15)/COMBIN($D$2,Inputs!$B$5))))))</x:f>
      </x:c>
      <x:c r="N15" s="16" t="n">
        <x:f>N14+(-LN((Inputs!$B$4-($A15-1))/($D$2-($A15-1))))</x:f>
        <x:v>26.252127998356315</x:v>
      </x:c>
      <x:c r="O15" s="16" t="n">
        <x:f>O14+((MAX(Inputs!$B$4-($A15-1)-1,0))/(Inputs!$B$4-($A15-1)+1))*(-LN((2*$B$2)/($D$2-($A15-1))))+(2/(Inputs!$B$4-($A15-1)+1))*(-LN($B$2/($D$2-($A15-1))))</x:f>
        <x:v>23.240083766070203</x:v>
      </x:c>
      <x:c r="P15" s="16" t="n">
        <x:f>P14+((MAX(Inputs!$B$4-($A15-1)-1,0))/(Inputs!$B$4-($A15-1)+1))*(-LN(2/($D$2-($A15-1))))+(2/(Inputs!$B$4-($A15-1)+1))*(-LN(1/($D$2-($A15-1))))</x:f>
        <x:v>41.98046444618595</x:v>
      </x:c>
      <x:c r="Q15" s="16" t="str">
        <x:f>IF($A15&gt;$B$2,"",Q14+(-LN(($B$2-($A15-1))/($D$2-($A15-1)))))</x:f>
      </x:c>
      <x:c r="R15" s="16" t="n">
        <x:f>IF(J15&lt;&gt;"",Inputs!$B$6*J15+(1-Inputs!$B$6)*N15,"")</x:f>
        <x:v>26.798101939272136</x:v>
      </x:c>
      <x:c r="S15" s="16" t="n">
        <x:f>IF(K15&lt;&gt;"",Inputs!$B$6*K15+(1-Inputs!$B$6)*O15,"")</x:f>
        <x:v>11.069591852302029</x:v>
      </x:c>
      <x:c r="T15" s="16" t="n">
        <x:f>IF(L15&lt;&gt;"",Inputs!$B$6*L15+(1-Inputs!$B$6)*P15,"")</x:f>
        <x:v>31.55569164527187</x:v>
      </x:c>
      <x:c r="U15" s="16" t="str">
        <x:f>IF(M15&lt;&gt;"",Inputs!$B$6*M15+(1-Inputs!$B$6)*Q15,"")</x:f>
      </x:c>
      <x:c r="V15" s="16" t="n">
        <x:f>Inputs!$B$10*Inputs!$B$11*(IF($A15&lt;=5,1,2))*(Inputs!$B$14-Inputs!$B$15)</x:f>
        <x:v>1.8899999999999997</x:v>
      </x:c>
      <x:c r="W15" s="16" t="n">
        <x:f>Inputs!$B$10*Inputs!$B$12*(Inputs!$B$16-IF($A15=3,Inputs!$B$17,Inputs!$B$18))</x:f>
        <x:v>0.06749999999999999</x:v>
      </x:c>
      <x:c r="X15" s="16" t="n">
        <x:f>Inputs!$B$10*Inputs!$B$13*Inputs!$B$21*(((IF($A15&lt;=5,1,2))*(Inputs!$B$14-Inputs!$B$15))+Inputs!$B$16-IF($A15=3,Inputs!$B$17,Inputs!$B$18))</x:f>
        <x:v>0.6483749999999999</x:v>
      </x:c>
      <x:c r="Y15" s="16" t="str">
        <x:f>IF(ISNUMBER(M15),Inputs!$B$10*Inputs!$B$23*Inputs!$B$22*IF($A15=3,Inputs!$B$24,IF($A15=4,Inputs!$B$25,IF($A15=5,Inputs!$B$26,""))),"")</x:f>
      </x:c>
      <x:c r="Z15" s="16" t="n">
        <x:f>0</x:f>
        <x:v>0</x:v>
      </x:c>
      <x:c r="AA15" s="16" t="n">
        <x:f>Inputs!$B$19+Inputs!$B$20*(($A15-3)/(Inputs!$B$4-3))</x:f>
        <x:v>1.9333333333333333</x:v>
      </x:c>
      <x:c r="AB15" s="16" t="n">
        <x:f>0</x:f>
        <x:v>0</x:v>
      </x:c>
      <x:c r="AC15" s="16" t="n">
        <x:f>0</x:f>
        <x:v>0</x:v>
      </x:c>
      <x:c r="AD15" s="16" t="n">
        <x:f>IF(R15&lt;&gt;"",R15-Inputs!$B$7*V15+Inputs!$B$8*Z15,"")</x:f>
        <x:v>26.325601939272136</x:v>
      </x:c>
      <x:c r="AE15" s="16" t="n">
        <x:f>IF(S15&lt;&gt;"",S15-Inputs!$B$7*W15+Inputs!$B$8*AA15,"")</x:f>
        <x:v>12.986050185635362</x:v>
      </x:c>
      <x:c r="AF15" s="16" t="n">
        <x:f>IF(T15&lt;&gt;"",T15-Inputs!$B$7*X15+Inputs!$B$8*AB15,"")</x:f>
        <x:v>31.39359789527187</x:v>
      </x:c>
      <x:c r="AG15" s="16" t="str">
        <x:f>IF(U15&lt;&gt;"",U15-Inputs!$B$7*Y15+Inputs!$B$8*AC15,"")</x:f>
      </x:c>
      <x:c r="AH15" s="16" t="n">
        <x:f>IF(AD15&lt;&gt;"",MAX(0,AD15*Inputs!$B$9),"")</x:f>
        <x:v>52.65120387854427</x:v>
      </x:c>
      <x:c r="AI15" s="16" t="n">
        <x:f>IF(AE15&lt;&gt;"",MAX(0,AE15*Inputs!$B$9),"")</x:f>
        <x:v>25.972100371270724</x:v>
      </x:c>
      <x:c r="AJ15" s="16" t="n">
        <x:f>IF(AF15&lt;&gt;"",MAX(0,AF15*Inputs!$B$9),"")</x:f>
        <x:v>62.78719579054374</x:v>
      </x:c>
      <x:c r="AK15" s="16" t="str">
        <x:f>IF(AG15&lt;&gt;"",MAX(0,AG15*Inputs!$B$9),"")</x:f>
      </x:c>
    </x:row>
    <x:row r="16">
      <x:c r="A16" t="n">
        <x:v>15</x:v>
      </x:c>
      <x:c r="B16" s="36" t="n">
        <x:f>$B$2*COMBIN(Inputs!$B$4,$A16)</x:f>
        <x:v>5</x:v>
      </x:c>
      <x:c r="C16" s="36" t="n">
        <x:f>(Inputs!$B$4-$A16+1)*($B$2^$A16)</x:f>
        <x:v>30517578125</x:v>
      </x:c>
      <x:c r="D16" s="36" t="n">
        <x:f>$B$2*(Inputs!$B$4-$A16+1)</x:f>
        <x:v>5</x:v>
      </x:c>
      <x:c r="E16" s="36" t="str">
        <x:f>IF($A16&lt;=$B$2,Inputs!$B$4*COMBIN($B$2,$A16),"")</x:f>
      </x:c>
      <x:c r="F16" s="38" t="n">
        <x:f>IF(OR(B16="",Inputs!$B$5&lt;$A16),"",IF((B16*COMBIN($D$2-$A16,Inputs!$B$5-$A16)/COMBIN($D$2,Inputs!$B$5))&lt;1E-8,(B16*COMBIN($D$2-$A16,Inputs!$B$5-$A16)/COMBIN($D$2,Inputs!$B$5)),1-EXP(-(B16*COMBIN($D$2-$A16,Inputs!$B$5-$A16)/COMBIN($D$2,Inputs!$B$5)))))</x:f>
        <x:v>2.1929702536881675e-15</x:v>
      </x:c>
      <x:c r="G16" s="38" t="n">
        <x:f>IF(OR(C16="",Inputs!$B$5&lt;$A16),"",IF((C16*COMBIN($D$2-$A16,Inputs!$B$5-$A16)/COMBIN($D$2,Inputs!$B$5))&lt;1E-8,(C16*COMBIN($D$2-$A16,Inputs!$B$5-$A16)/COMBIN($D$2,Inputs!$B$5)),1-EXP(-(C16*COMBIN($D$2-$A16,Inputs!$B$5-$A16)/COMBIN($D$2,Inputs!$B$5)))))</x:f>
        <x:v>0.000013384738632105098</x:v>
      </x:c>
      <x:c r="H16" s="38" t="n">
        <x:f>IF(OR(D16="",Inputs!$B$5&lt;$A16),"",IF((D16*COMBIN($D$2-$A16,Inputs!$B$5-$A16)/COMBIN($D$2,Inputs!$B$5))&lt;1E-8,(D16*COMBIN($D$2-$A16,Inputs!$B$5-$A16)/COMBIN($D$2,Inputs!$B$5)),1-EXP(-(D16*COMBIN($D$2-$A16,Inputs!$B$5-$A16)/COMBIN($D$2,Inputs!$B$5)))))</x:f>
        <x:v>2.1929702536881675e-15</x:v>
      </x:c>
      <x:c r="I16" s="38" t="str">
        <x:f>IF(OR(E16="",Inputs!$B$5&lt;$A16),"",IF((E16*COMBIN($D$2-$A16,Inputs!$B$5-$A16)/COMBIN($D$2,Inputs!$B$5))&lt;1E-8,(E16*COMBIN($D$2-$A16,Inputs!$B$5-$A16)/COMBIN($D$2,Inputs!$B$5)),1-EXP(-(E16*COMBIN($D$2-$A16,Inputs!$B$5-$A16)/COMBIN($D$2,Inputs!$B$5)))))</x:f>
      </x:c>
      <x:c r="J16" s="16" t="n">
        <x:f>IF(OR(B16="",Inputs!$B$5&lt;$A16),"",IF((B16*COMBIN($D$2-$A16,Inputs!$B$5-$A16)/COMBIN($D$2,Inputs!$B$5))&lt;1E-8,-LN((B16*COMBIN($D$2-$A16,Inputs!$B$5-$A16)/COMBIN($D$2,Inputs!$B$5))),-LN(1-EXP(-(B16*COMBIN($D$2-$A16,Inputs!$B$5-$A16)/COMBIN($D$2,Inputs!$B$5))))))</x:f>
        <x:v>33.75351948977661</x:v>
      </x:c>
      <x:c r="K16" s="16" t="n">
        <x:f>IF(OR(C16="",Inputs!$B$5&lt;$A16),"",IF((C16*COMBIN($D$2-$A16,Inputs!$B$5-$A16)/COMBIN($D$2,Inputs!$B$5))&lt;1E-8,-LN((C16*COMBIN($D$2-$A16,Inputs!$B$5-$A16)/COMBIN($D$2,Inputs!$B$5))),-LN(1-EXP(-(C16*COMBIN($D$2-$A16,Inputs!$B$5-$A16)/COMBIN($D$2,Inputs!$B$5))))))</x:f>
        <x:v>11.221395408107893</x:v>
      </x:c>
      <x:c r="L16" s="16" t="n">
        <x:f>IF(OR(D16="",Inputs!$B$5&lt;$A16),"",IF((D16*COMBIN($D$2-$A16,Inputs!$B$5-$A16)/COMBIN($D$2,Inputs!$B$5))&lt;1E-8,-LN((D16*COMBIN($D$2-$A16,Inputs!$B$5-$A16)/COMBIN($D$2,Inputs!$B$5))),-LN(1-EXP(-(D16*COMBIN($D$2-$A16,Inputs!$B$5-$A16)/COMBIN($D$2,Inputs!$B$5))))))</x:f>
        <x:v>33.75351948977661</x:v>
      </x:c>
      <x:c r="M16" s="16" t="str">
        <x:f>IF(OR(E16="",Inputs!$B$5&lt;$A16),"",IF((E16*COMBIN($D$2-$A16,Inputs!$B$5-$A16)/COMBIN($D$2,Inputs!$B$5))&lt;1E-8,-LN((E16*COMBIN($D$2-$A16,Inputs!$B$5-$A16)/COMBIN($D$2,Inputs!$B$5))),-LN(1-EXP(-(E16*COMBIN($D$2-$A16,Inputs!$B$5-$A16)/COMBIN($D$2,Inputs!$B$5))))))</x:f>
      </x:c>
      <x:c r="N16" s="16" t="n">
        <x:f>N15+(-LN((Inputs!$B$4-($A16-1))/($D$2-($A16-1))))</x:f>
        <x:v>30.363001862529625</x:v>
      </x:c>
      <x:c r="O16" s="16" t="n">
        <x:f>O15+((MAX(Inputs!$B$4-($A16-1)-1,0))/(Inputs!$B$4-($A16-1)+1))*(-LN((2*$B$2)/($D$2-($A16-1))))+(2/(Inputs!$B$4-($A16-1)+1))*(-LN($B$2/($D$2-($A16-1))))</x:f>
        <x:v>25.741519717809414</x:v>
      </x:c>
      <x:c r="P16" s="16" t="n">
        <x:f>P15+((MAX(Inputs!$B$4-($A16-1)-1,0))/(Inputs!$B$4-($A16-1)+1))*(-LN(2/($D$2-($A16-1))))+(2/(Inputs!$B$4-($A16-1)+1))*(-LN(1/($D$2-($A16-1))))</x:f>
        <x:v>46.09133831035926</x:v>
      </x:c>
      <x:c r="Q16" s="16" t="str">
        <x:f>IF($A16&gt;$B$2,"",Q15+(-LN(($B$2-($A16-1))/($D$2-($A16-1)))))</x:f>
      </x:c>
      <x:c r="R16" s="16" t="n">
        <x:f>IF(J16&lt;&gt;"",Inputs!$B$6*J16+(1-Inputs!$B$6)*N16,"")</x:f>
        <x:v>33.07541596432721</x:v>
      </x:c>
      <x:c r="S16" s="16" t="n">
        <x:f>IF(K16&lt;&gt;"",Inputs!$B$6*K16+(1-Inputs!$B$6)*O16,"")</x:f>
        <x:v>14.125420270048197</x:v>
      </x:c>
      <x:c r="T16" s="16" t="n">
        <x:f>IF(L16&lt;&gt;"",Inputs!$B$6*L16+(1-Inputs!$B$6)*P16,"")</x:f>
        <x:v>36.22108325389314</x:v>
      </x:c>
      <x:c r="U16" s="16" t="str">
        <x:f>IF(M16&lt;&gt;"",Inputs!$B$6*M16+(1-Inputs!$B$6)*Q16,"")</x:f>
      </x:c>
      <x:c r="V16" s="16" t="n">
        <x:f>Inputs!$B$10*Inputs!$B$11*(IF($A16&lt;=5,1,2))*(Inputs!$B$14-Inputs!$B$15)</x:f>
        <x:v>1.8899999999999997</x:v>
      </x:c>
      <x:c r="W16" s="16" t="n">
        <x:f>Inputs!$B$10*Inputs!$B$12*(Inputs!$B$16-IF($A16=3,Inputs!$B$17,Inputs!$B$18))</x:f>
        <x:v>0.06749999999999999</x:v>
      </x:c>
      <x:c r="X16" s="16" t="n">
        <x:f>Inputs!$B$10*Inputs!$B$13*Inputs!$B$21*(((IF($A16&lt;=5,1,2))*(Inputs!$B$14-Inputs!$B$15))+Inputs!$B$16-IF($A16=3,Inputs!$B$17,Inputs!$B$18))</x:f>
        <x:v>0.6483749999999999</x:v>
      </x:c>
      <x:c r="Y16" s="16" t="str">
        <x:f>IF(ISNUMBER(M16),Inputs!$B$10*Inputs!$B$23*Inputs!$B$22*IF($A16=3,Inputs!$B$24,IF($A16=4,Inputs!$B$25,IF($A16=5,Inputs!$B$26,""))),"")</x:f>
      </x:c>
      <x:c r="Z16" s="16" t="n">
        <x:f>0</x:f>
        <x:v>0</x:v>
      </x:c>
      <x:c r="AA16" s="16" t="n">
        <x:f>Inputs!$B$19+Inputs!$B$20*(($A16-3)/(Inputs!$B$4-3))</x:f>
        <x:v>2</x:v>
      </x:c>
      <x:c r="AB16" s="16" t="n">
        <x:f>0</x:f>
        <x:v>0</x:v>
      </x:c>
      <x:c r="AC16" s="16" t="n">
        <x:f>0</x:f>
        <x:v>0</x:v>
      </x:c>
      <x:c r="AD16" s="16" t="n">
        <x:f>IF(R16&lt;&gt;"",R16-Inputs!$B$7*V16+Inputs!$B$8*Z16,"")</x:f>
        <x:v>32.60291596432722</x:v>
      </x:c>
      <x:c r="AE16" s="16" t="n">
        <x:f>IF(S16&lt;&gt;"",S16-Inputs!$B$7*W16+Inputs!$B$8*AA16,"")</x:f>
        <x:v>16.108545270048197</x:v>
      </x:c>
      <x:c r="AF16" s="16" t="n">
        <x:f>IF(Inputs!$B$27=TRUE,AD16,IF(T16&lt;&gt;"",T16-Inputs!$B$7*X16+Inputs!$B$8*AB16,""))</x:f>
        <x:v>32.60291596432722</x:v>
      </x:c>
      <x:c r="AG16" s="16" t="str">
        <x:f>IF(U16&lt;&gt;"",U16-Inputs!$B$7*Y16+Inputs!$B$8*AC16,"")</x:f>
      </x:c>
      <x:c r="AH16" s="16" t="n">
        <x:f>IF(AD16&lt;&gt;"",MAX(0,AD16*Inputs!$B$9),"")</x:f>
        <x:v>65.20583192865443</x:v>
      </x:c>
      <x:c r="AI16" s="16" t="n">
        <x:f>IF(AE16&lt;&gt;"",MAX(0,AE16*Inputs!$B$9),"")</x:f>
        <x:v>32.21709054009639</x:v>
      </x:c>
      <x:c r="AJ16" s="16" t="n">
        <x:f>IF(AF16&lt;&gt;"",MAX(0,AF16*Inputs!$B$9),"")</x:f>
        <x:v>65.20583192865443</x:v>
      </x:c>
      <x:c r="AK16" s="16" t="str">
        <x:f>IF(AG16&lt;&gt;"",MAX(0,AG16*Inputs!$B$9),"")</x:f>
      </x:c>
    </x:row>
  </x:sheetData>
  <x:mergeCells>
    <x:mergeCell ref="A1:A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7" max="7" width="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6" max="6" width="3" hidden="0" customWidth="1"/>
  </x:cols>
  <x:sheetData>
    <x:row r="1" ht="28" customHeight="1">
      <x:c r="A1" s="8" t="str">
        <x:v>Final comparison tables — fixed m=15, utility layer included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3">
      <x:c r="A3" s="12" t="str">
        <x:v>Deck 1 — adjusted unrounded scores</x:v>
      </x:c>
      <x:c r="B3" t="str"/>
      <x:c r="C3" t="str"/>
      <x:c r="D3" t="str"/>
      <x:c r="E3" t="str"/>
      <x:c r="G3" s="12" t="str">
        <x:v>Deck 2 — adjusted unrounded scores</x:v>
      </x:c>
      <x:c r="H3" t="str"/>
      <x:c r="I3" t="str"/>
      <x:c r="J3" t="str"/>
      <x:c r="K3" t="str"/>
    </x:row>
    <x:row r="4">
      <x:c r="A4" s="60" t="str">
        <x:v>Size</x:v>
      </x:c>
      <x:c r="B4" s="60" t="str">
        <x:v>Conjuration</x:v>
      </x:c>
      <x:c r="C4" s="60" t="str">
        <x:v>Transfiguration</x:v>
      </x:c>
      <x:c r="D4" s="60" t="str">
        <x:v>Perfect Transmutation</x:v>
      </x:c>
      <x:c r="E4" s="60" t="str">
        <x:v>Enchantment</x:v>
      </x:c>
      <x:c r="G4" s="60" t="str">
        <x:v>Size</x:v>
      </x:c>
      <x:c r="H4" s="60" t="str">
        <x:v>Conjuration</x:v>
      </x:c>
      <x:c r="I4" s="60" t="str">
        <x:v>Transfiguration</x:v>
      </x:c>
      <x:c r="J4" s="60" t="str">
        <x:v>Perfect Transmutation</x:v>
      </x:c>
      <x:c r="K4" s="60" t="str">
        <x:v>Enchantment</x:v>
      </x:c>
    </x:row>
    <x:row r="5">
      <x:c r="A5" s="36" t="n">
        <x:f>'Model_D1_m15'!A4</x:f>
        <x:v>3</x:v>
      </x:c>
      <x:c r="B5" s="16" t="n">
        <x:f>IF(ISNUMBER('Model_D1_m15'!AH4),'Model_D1_m15'!AH4,"")</x:f>
        <x:v>0</x:v>
      </x:c>
      <x:c r="C5" s="16" t="n">
        <x:f>IF(ISNUMBER('Model_D1_m15'!AI4),'Model_D1_m15'!AI4,"")</x:f>
        <x:v>2.5687813786917175</x:v>
      </x:c>
      <x:c r="D5" s="16" t="n">
        <x:f>IF(ISNUMBER('Model_D1_m15'!AJ4),'Model_D1_m15'!AJ4,"")</x:f>
        <x:v>1.3215277125183944</x:v>
      </x:c>
      <x:c r="E5" s="16" t="n">
        <x:f>IF(ISNUMBER('Model_D1_m15'!AK4),'Model_D1_m15'!AK4,"")</x:f>
        <x:v>0.41686707847306004</x:v>
      </x:c>
      <x:c r="G5" s="36" t="n">
        <x:f>'Model_D2_m15'!A4</x:f>
        <x:v>3</x:v>
      </x:c>
      <x:c r="H5" s="16" t="n">
        <x:f>IF(ISNUMBER('Model_D2_m15'!AH4),'Model_D2_m15'!AH4,"")</x:f>
        <x:v>0</x:v>
      </x:c>
      <x:c r="I5" s="16" t="n">
        <x:f>IF(ISNUMBER('Model_D2_m15'!AI4),'Model_D2_m15'!AI4,"")</x:f>
        <x:v>2.568785128692345</x:v>
      </x:c>
      <x:c r="J5" s="16" t="n">
        <x:f>IF(ISNUMBER('Model_D2_m15'!AJ4),'Model_D2_m15'!AJ4,"")</x:f>
        <x:v>2.00491241537362</x:v>
      </x:c>
      <x:c r="K5" s="16" t="n">
        <x:f>IF(ISNUMBER('Model_D2_m15'!AK4),'Model_D2_m15'!AK4,"")</x:f>
        <x:v>0.12495851561448634</x:v>
      </x:c>
    </x:row>
    <x:row r="6">
      <x:c r="A6" s="36" t="n">
        <x:f>'Model_D1_m15'!A5</x:f>
        <x:v>4</x:v>
      </x:c>
      <x:c r="B6" s="16" t="n">
        <x:f>IF(ISNUMBER('Model_D1_m15'!AH5),'Model_D1_m15'!AH5,"")</x:f>
        <x:v>0.15075821575358084</x:v>
      </x:c>
      <x:c r="C6" s="16" t="n">
        <x:f>IF(ISNUMBER('Model_D1_m15'!AI5),'Model_D1_m15'!AI5,"")</x:f>
        <x:v>3.3279835373199234</x:v>
      </x:c>
      <x:c r="D6" s="16" t="n">
        <x:f>IF(ISNUMBER('Model_D1_m15'!AJ5),'Model_D1_m15'!AJ5,"")</x:f>
        <x:v>4.807773022707736</x:v>
      </x:c>
      <x:c r="E6" s="16" t="n">
        <x:f>IF(ISNUMBER('Model_D1_m15'!AK5),'Model_D1_m15'!AK5,"")</x:f>
        <x:v>4.622647160324334</x:v>
      </x:c>
      <x:c r="G6" s="36" t="n">
        <x:f>'Model_D2_m15'!A5</x:f>
        <x:v>4</x:v>
      </x:c>
      <x:c r="H6" s="16" t="n">
        <x:f>IF(ISNUMBER('Model_D2_m15'!AH5),'Model_D2_m15'!AH5,"")</x:f>
        <x:v>0.24495456734726961</x:v>
      </x:c>
      <x:c r="I6" s="16" t="n">
        <x:f>IF(ISNUMBER('Model_D2_m15'!AI5),'Model_D2_m15'!AI5,"")</x:f>
        <x:v>3.332229694374769</x:v>
      </x:c>
      <x:c r="J6" s="16" t="n">
        <x:f>IF(ISNUMBER('Model_D2_m15'!AJ5),'Model_D2_m15'!AJ5,"")</x:f>
        <x:v>6.089466615541508</x:v>
      </x:c>
      <x:c r="K6" s="16" t="n">
        <x:f>IF(ISNUMBER('Model_D2_m15'!AK5),'Model_D2_m15'!AK5,"")</x:f>
        <x:v>3.300072184269243</x:v>
      </x:c>
    </x:row>
    <x:row r="7">
      <x:c r="A7" s="36" t="n">
        <x:f>'Model_D1_m15'!A6</x:f>
        <x:v>5</x:v>
      </x:c>
      <x:c r="B7" s="16" t="n">
        <x:f>IF(ISNUMBER('Model_D1_m15'!AH6),'Model_D1_m15'!AH6,"")</x:f>
        <x:v>0.8039081112688338</x:v>
      </x:c>
      <x:c r="C7" s="16" t="n">
        <x:f>IF(ISNUMBER('Model_D1_m15'!AI6),'Model_D1_m15'!AI6,"")</x:f>
        <x:v>4.2888675715285585</x:v>
      </x:c>
      <x:c r="D7" s="16" t="n">
        <x:f>IF(ISNUMBER('Model_D1_m15'!AJ6),'Model_D1_m15'!AJ6,"")</x:f>
        <x:v>8.843041872920574</x:v>
      </x:c>
      <x:c r="E7" s="16" t="str">
        <x:f>IF(ISNUMBER('Model_D1_m15'!AK6),'Model_D1_m15'!AK6,"")</x:f>
      </x:c>
      <x:c r="G7" s="36" t="n">
        <x:f>'Model_D2_m15'!A6</x:f>
        <x:v>5</x:v>
      </x:c>
      <x:c r="H7" s="16" t="n">
        <x:f>IF(ISNUMBER('Model_D2_m15'!AH6),'Model_D2_m15'!AH6,"")</x:f>
        <x:v>1.1120071073531568</x:v>
      </x:c>
      <x:c r="I7" s="16" t="n">
        <x:f>IF(ISNUMBER('Model_D2_m15'!AI6),'Model_D2_m15'!AI6,"")</x:f>
        <x:v>4.299506299201831</x:v>
      </x:c>
      <x:c r="J7" s="16" t="n">
        <x:f>IF(ISNUMBER('Model_D2_m15'!AJ6),'Model_D2_m15'!AJ6,"")</x:f>
        <x:v>10.640409350550568</x:v>
      </x:c>
      <x:c r="K7" s="16" t="n">
        <x:f>IF(ISNUMBER('Model_D2_m15'!AK6),'Model_D2_m15'!AK6,"")</x:f>
        <x:v>8.939078093478914</x:v>
      </x:c>
    </x:row>
    <x:row r="8">
      <x:c r="A8" s="36" t="n">
        <x:f>'Model_D1_m15'!A7</x:f>
        <x:v>6</x:v>
      </x:c>
      <x:c r="B8" s="16" t="n">
        <x:f>IF(ISNUMBER('Model_D1_m15'!AH7),'Model_D1_m15'!AH7,"")</x:f>
        <x:v>1.2434394289034025</x:v>
      </x:c>
      <x:c r="C8" s="16" t="n">
        <x:f>IF(ISNUMBER('Model_D1_m15'!AI7),'Model_D1_m15'!AI7,"")</x:f>
        <x:v>5.267373861796609</x:v>
      </x:c>
      <x:c r="D8" s="16" t="n">
        <x:f>IF(ISNUMBER('Model_D1_m15'!AJ7),'Model_D1_m15'!AJ7,"")</x:f>
        <x:v>12.92954014272241</x:v>
      </x:c>
      <x:c r="E8" s="16" t="str">
        <x:f>IF(ISNUMBER('Model_D1_m15'!AK7),'Model_D1_m15'!AK7,"")</x:f>
      </x:c>
      <x:c r="G8" s="36" t="n">
        <x:f>'Model_D2_m15'!A7</x:f>
        <x:v>6</x:v>
      </x:c>
      <x:c r="H8" s="16" t="n">
        <x:f>IF(ISNUMBER('Model_D2_m15'!AH7),'Model_D2_m15'!AH7,"")</x:f>
        <x:v>2.5275351464481823</x:v>
      </x:c>
      <x:c r="I8" s="16" t="n">
        <x:f>IF(ISNUMBER('Model_D2_m15'!AI7),'Model_D2_m15'!AI7,"")</x:f>
        <x:v>5.2908279340452316</x:v>
      </x:c>
      <x:c r="J8" s="16" t="n">
        <x:f>IF(ISNUMBER('Model_D2_m15'!AJ7),'Model_D2_m15'!AJ7,"")</x:f>
        <x:v>15.218693890152974</x:v>
      </x:c>
      <x:c r="K8" s="16" t="str">
        <x:f>IF(ISNUMBER('Model_D2_m15'!AK7),'Model_D2_m15'!AK7,"")</x:f>
      </x:c>
    </x:row>
    <x:row r="9">
      <x:c r="A9" s="36" t="n">
        <x:f>'Model_D1_m15'!A8</x:f>
        <x:v>7</x:v>
      </x:c>
      <x:c r="B9" s="16" t="n">
        <x:f>IF(ISNUMBER('Model_D1_m15'!AH8),'Model_D1_m15'!AH8,"")</x:f>
        <x:v>3.413224951265923</x:v>
      </x:c>
      <x:c r="C9" s="16" t="n">
        <x:f>IF(ISNUMBER('Model_D1_m15'!AI8),'Model_D1_m15'!AI8,"")</x:f>
        <x:v>6.336450599425179</x:v>
      </x:c>
      <x:c r="D9" s="16" t="n">
        <x:f>IF(ISNUMBER('Model_D1_m15'!AJ8),'Model_D1_m15'!AJ8,"")</x:f>
        <x:v>17.336000434498022</x:v>
      </x:c>
      <x:c r="E9" s="16" t="str">
        <x:f>IF(ISNUMBER('Model_D1_m15'!AK8),'Model_D1_m15'!AK8,"")</x:f>
      </x:c>
      <x:c r="G9" s="36" t="n">
        <x:f>'Model_D2_m15'!A8</x:f>
        <x:v>7</x:v>
      </x:c>
      <x:c r="H9" s="16" t="n">
        <x:f>IF(ISNUMBER('Model_D2_m15'!AH8),'Model_D2_m15'!AH8,"")</x:f>
        <x:v>5.810015620879815</x:v>
      </x:c>
      <x:c r="I9" s="16" t="n">
        <x:f>IF(ISNUMBER('Model_D2_m15'!AI8),'Model_D2_m15'!AI8,"")</x:f>
        <x:v>6.39167734878836</x:v>
      </x:c>
      <x:c r="J9" s="16" t="n">
        <x:f>IF(ISNUMBER('Model_D2_m15'!AJ8),'Model_D2_m15'!AJ8,"")</x:f>
        <x:v>20.117239878333265</x:v>
      </x:c>
      <x:c r="K9" s="16" t="str">
        <x:f>IF(ISNUMBER('Model_D2_m15'!AK8),'Model_D2_m15'!AK8,"")</x:f>
      </x:c>
    </x:row>
    <x:row r="10">
      <x:c r="A10" s="36" t="n">
        <x:f>'Model_D1_m15'!A9</x:f>
        <x:v>8</x:v>
      </x:c>
      <x:c r="B10" s="16" t="n">
        <x:f>IF(ISNUMBER('Model_D1_m15'!AH9),'Model_D1_m15'!AH9,"")</x:f>
        <x:v>6.915574625930679</x:v>
      </x:c>
      <x:c r="C10" s="16" t="n">
        <x:f>IF(ISNUMBER('Model_D1_m15'!AI9),'Model_D1_m15'!AI9,"")</x:f>
        <x:v>7.642474204795919</x:v>
      </x:c>
      <x:c r="D10" s="16" t="n">
        <x:f>IF(ISNUMBER('Model_D1_m15'!AJ9),'Model_D1_m15'!AJ9,"")</x:f>
        <x:v>21.921869403585028</x:v>
      </x:c>
      <x:c r="E10" s="16" t="str">
        <x:f>IF(ISNUMBER('Model_D1_m15'!AK9),'Model_D1_m15'!AK9,"")</x:f>
      </x:c>
      <x:c r="G10" s="36" t="n">
        <x:f>'Model_D2_m15'!A9</x:f>
        <x:v>8</x:v>
      </x:c>
      <x:c r="H10" s="16" t="n">
        <x:f>IF(ISNUMBER('Model_D2_m15'!AH9),'Model_D2_m15'!AH9,"")</x:f>
        <x:v>10.01722965353929</x:v>
      </x:c>
      <x:c r="I10" s="16" t="n">
        <x:f>IF(ISNUMBER('Model_D2_m15'!AI9),'Model_D2_m15'!AI9,"")</x:f>
        <x:v>7.759674922937599</x:v>
      </x:c>
      <x:c r="J10" s="16" t="n">
        <x:f>IF(ISNUMBER('Model_D2_m15'!AJ9),'Model_D2_m15'!AJ9,"")</x:f>
        <x:v>25.201851381170187</x:v>
      </x:c>
      <x:c r="K10" s="16" t="str">
        <x:f>IF(ISNUMBER('Model_D2_m15'!AK9),'Model_D2_m15'!AK9,"")</x:f>
      </x:c>
    </x:row>
    <x:row r="11">
      <x:c r="A11" s="36" t="n">
        <x:f>'Model_D1_m15'!A10</x:f>
        <x:v>9</x:v>
      </x:c>
      <x:c r="B11" s="16" t="n">
        <x:f>IF(ISNUMBER('Model_D1_m15'!AH10),'Model_D1_m15'!AH10,"")</x:f>
        <x:v>11.28225413374582</x:v>
      </x:c>
      <x:c r="C11" s="16" t="n">
        <x:f>IF(ISNUMBER('Model_D1_m15'!AI10),'Model_D1_m15'!AI10,"")</x:f>
        <x:v>9.328717494191388</x:v>
      </x:c>
      <x:c r="D11" s="16" t="n">
        <x:f>IF(ISNUMBER('Model_D1_m15'!AJ10),'Model_D1_m15'!AJ10,"")</x:f>
        <x:v>26.716549875796623</x:v>
      </x:c>
      <x:c r="E11" s="16" t="str">
        <x:f>IF(ISNUMBER('Model_D1_m15'!AK10),'Model_D1_m15'!AK10,"")</x:f>
      </x:c>
      <x:c r="G11" s="36" t="n">
        <x:f>'Model_D2_m15'!A10</x:f>
        <x:v>9</x:v>
      </x:c>
      <x:c r="H11" s="16" t="n">
        <x:f>IF(ISNUMBER('Model_D2_m15'!AH10),'Model_D2_m15'!AH10,"")</x:f>
        <x:v>14.927887637096347</x:v>
      </x:c>
      <x:c r="I11" s="16" t="n">
        <x:f>IF(ISNUMBER('Model_D2_m15'!AI10),'Model_D2_m15'!AI10,"")</x:f>
        <x:v>9.5319503692291</x:v>
      </x:c>
      <x:c r="J11" s="16" t="n">
        <x:f>IF(ISNUMBER('Model_D2_m15'!AJ10),'Model_D2_m15'!AJ10,"")</x:f>
        <x:v>30.503475365755317</x:v>
      </x:c>
      <x:c r="K11" s="16" t="str">
        <x:f>IF(ISNUMBER('Model_D2_m15'!AK10),'Model_D2_m15'!AK10,"")</x:f>
      </x:c>
    </x:row>
    <x:row r="12">
      <x:c r="A12" s="36" t="n">
        <x:f>'Model_D1_m15'!A11</x:f>
        <x:v>10</x:v>
      </x:c>
      <x:c r="B12" s="16" t="n">
        <x:f>IF(ISNUMBER('Model_D1_m15'!AH11),'Model_D1_m15'!AH11,"")</x:f>
        <x:v>16.37467086595837</x:v>
      </x:c>
      <x:c r="C12" s="16" t="n">
        <x:f>IF(ISNUMBER('Model_D1_m15'!AI11),'Model_D1_m15'!AI11,"")</x:f>
        <x:v>11.45982640269781</x:v>
      </x:c>
      <x:c r="D12" s="16" t="n">
        <x:f>IF(ISNUMBER('Model_D1_m15'!AJ11),'Model_D1_m15'!AJ11,"")</x:f>
        <x:v>31.76197820767399</x:v>
      </x:c>
      <x:c r="E12" s="16" t="str">
        <x:f>IF(ISNUMBER('Model_D1_m15'!AK11),'Model_D1_m15'!AK11,"")</x:f>
      </x:c>
      <x:c r="G12" s="36" t="n">
        <x:f>'Model_D2_m15'!A11</x:f>
        <x:v>10</x:v>
      </x:c>
      <x:c r="H12" s="16" t="n">
        <x:f>IF(ISNUMBER('Model_D2_m15'!AH11),'Model_D2_m15'!AH11,"")</x:f>
        <x:v>20.540244963842742</x:v>
      </x:c>
      <x:c r="I12" s="16" t="n">
        <x:f>IF(ISNUMBER('Model_D2_m15'!AI11),'Model_D2_m15'!AI11,"")</x:f>
        <x:v>11.758193962501412</x:v>
      </x:c>
      <x:c r="J12" s="16" t="n">
        <x:f>IF(ISNUMBER('Model_D2_m15'!AJ11),'Model_D2_m15'!AJ11,"")</x:f>
        <x:v>36.06456770640742</x:v>
      </x:c>
      <x:c r="K12" s="16" t="str">
        <x:f>IF(ISNUMBER('Model_D2_m15'!AK11),'Model_D2_m15'!AK11,"")</x:f>
      </x:c>
    </x:row>
    <x:row r="13">
      <x:c r="A13" s="36" t="n">
        <x:f>'Model_D1_m15'!A12</x:f>
        <x:v>11</x:v>
      </x:c>
      <x:c r="B13" s="16" t="n">
        <x:f>IF(ISNUMBER('Model_D1_m15'!AH12),'Model_D1_m15'!AH12,"")</x:f>
        <x:v>22.241007484336144</x:v>
      </x:c>
      <x:c r="C13" s="16" t="n">
        <x:f>IF(ISNUMBER('Model_D1_m15'!AI12),'Model_D1_m15'!AI12,"")</x:f>
        <x:v>14.04646096165122</x:v>
      </x:c>
      <x:c r="D13" s="16" t="n">
        <x:f>IF(ISNUMBER('Model_D1_m15'!AJ12),'Model_D1_m15'!AJ12,"")</x:f>
        <x:v>37.11779810098786</x:v>
      </x:c>
      <x:c r="E13" s="16" t="str">
        <x:f>IF(ISNUMBER('Model_D1_m15'!AK12),'Model_D1_m15'!AK12,"")</x:f>
      </x:c>
      <x:c r="G13" s="36" t="n">
        <x:f>'Model_D2_m15'!A12</x:f>
        <x:v>11</x:v>
      </x:c>
      <x:c r="H13" s="16" t="n">
        <x:f>IF(ISNUMBER('Model_D2_m15'!AH12),'Model_D2_m15'!AH12,"")</x:f>
        <x:v>26.93163346079773</x:v>
      </x:c>
      <x:c r="I13" s="16" t="n">
        <x:f>IF(ISNUMBER('Model_D2_m15'!AI12),'Model_D2_m15'!AI12,"")</x:f>
        <x:v>14.44050710982344</x:v>
      </x:c>
      <x:c r="J13" s="16" t="n">
        <x:f>IF(ISNUMBER('Model_D2_m15'!AJ12),'Model_D2_m15'!AJ12,"")</x:f>
        <x:v>41.945116742030244</x:v>
      </x:c>
      <x:c r="K13" s="16" t="str">
        <x:f>IF(ISNUMBER('Model_D2_m15'!AK12),'Model_D2_m15'!AK12,"")</x:f>
      </x:c>
    </x:row>
    <x:row r="14">
      <x:c r="A14" s="36" t="n">
        <x:f>'Model_D1_m15'!A13</x:f>
        <x:v>12</x:v>
      </x:c>
      <x:c r="B14" s="16" t="n">
        <x:f>IF(ISNUMBER('Model_D1_m15'!AH13),'Model_D1_m15'!AH13,"")</x:f>
        <x:v>29.009822095612403</x:v>
      </x:c>
      <x:c r="C14" s="16" t="n">
        <x:f>IF(ISNUMBER('Model_D1_m15'!AI13),'Model_D1_m15'!AI13,"")</x:f>
        <x:v>17.114514348503832</x:v>
      </x:c>
      <x:c r="D14" s="16" t="n">
        <x:f>IF(ISNUMBER('Model_D1_m15'!AJ13),'Model_D1_m15'!AJ13,"")</x:f>
        <x:v>42.87404201373499</x:v>
      </x:c>
      <x:c r="E14" s="16" t="str">
        <x:f>IF(ISNUMBER('Model_D1_m15'!AK13),'Model_D1_m15'!AK13,"")</x:f>
      </x:c>
      <x:c r="G14" s="36" t="n">
        <x:f>'Model_D2_m15'!A13</x:f>
        <x:v>12</x:v>
      </x:c>
      <x:c r="H14" s="16" t="n">
        <x:f>IF(ISNUMBER('Model_D2_m15'!AH13),'Model_D2_m15'!AH13,"")</x:f>
        <x:v>34.23458907699268</x:v>
      </x:c>
      <x:c r="I14" s="16" t="n">
        <x:f>IF(ISNUMBER('Model_D2_m15'!AI13),'Model_D2_m15'!AI13,"")</x:f>
        <x:v>17.604802339993785</x:v>
      </x:c>
      <x:c r="J14" s="16" t="n">
        <x:f>IF(ISNUMBER('Model_D2_m15'!AJ13),'Model_D2_m15'!AJ13,"")</x:f>
        <x:v>48.23548628972612</x:v>
      </x:c>
      <x:c r="K14" s="16" t="str">
        <x:f>IF(ISNUMBER('Model_D2_m15'!AK13),'Model_D2_m15'!AK13,"")</x:f>
      </x:c>
    </x:row>
    <x:row r="15">
      <x:c r="A15" s="36" t="n">
        <x:f>'Model_D1_m15'!A14</x:f>
        <x:v>13</x:v>
      </x:c>
      <x:c r="B15" s="16" t="n">
        <x:f>IF(ISNUMBER('Model_D1_m15'!AH14),'Model_D1_m15'!AH14,"")</x:f>
        <x:v>36.90113837669897</x:v>
      </x:c>
      <x:c r="C15" s="16" t="n">
        <x:f>IF(ISNUMBER('Model_D1_m15'!AI14),'Model_D1_m15'!AI14,"")</x:f>
        <x:v>20.7673905822272</x:v>
      </x:c>
      <x:c r="D15" s="16" t="n">
        <x:f>IF(ISNUMBER('Model_D1_m15'!AJ14),'Model_D1_m15'!AJ14,"")</x:f>
        <x:v>49.18032625349266</x:v>
      </x:c>
      <x:c r="E15" s="16" t="str">
        <x:f>IF(ISNUMBER('Model_D1_m15'!AK14),'Model_D1_m15'!AK14,"")</x:f>
      </x:c>
      <x:c r="G15" s="36" t="n">
        <x:f>'Model_D2_m15'!A14</x:f>
        <x:v>13</x:v>
      </x:c>
      <x:c r="H15" s="16" t="n">
        <x:f>IF(ISNUMBER('Model_D2_m15'!AH14),'Model_D2_m15'!AH14,"")</x:f>
        <x:v>42.66977323108547</x:v>
      </x:c>
      <x:c r="I15" s="16" t="n">
        <x:f>IF(ISNUMBER('Model_D2_m15'!AI14),'Model_D2_m15'!AI14,"")</x:f>
        <x:v>21.35825298114398</x:v>
      </x:c>
      <x:c r="J15" s="16" t="n">
        <x:f>IF(ISNUMBER('Model_D2_m15'!AJ14),'Model_D2_m15'!AJ14,"")</x:f>
        <x:v>55.08563796045107</x:v>
      </x:c>
      <x:c r="K15" s="16" t="str">
        <x:f>IF(ISNUMBER('Model_D2_m15'!AK14),'Model_D2_m15'!AK14,"")</x:f>
      </x:c>
    </x:row>
    <x:row r="16">
      <x:c r="A16" s="36" t="n">
        <x:f>'Model_D1_m15'!A15</x:f>
        <x:v>14</x:v>
      </x:c>
      <x:c r="B16" s="16" t="n">
        <x:f>IF(ISNUMBER('Model_D1_m15'!AH15),'Model_D1_m15'!AH15,"")</x:f>
        <x:v>46.328595457487694</x:v>
      </x:c>
      <x:c r="C16" s="16" t="n">
        <x:f>IF(ISNUMBER('Model_D1_m15'!AI15),'Model_D1_m15'!AI15,"")</x:f>
        <x:v>25.27281891284456</x:v>
      </x:c>
      <x:c r="D16" s="16" t="n">
        <x:f>IF(ISNUMBER('Model_D1_m15'!AJ15),'Model_D1_m15'!AJ15,"")</x:f>
        <x:v>56.32791051691527</x:v>
      </x:c>
      <x:c r="E16" s="16" t="str">
        <x:f>IF(ISNUMBER('Model_D1_m15'!AK15),'Model_D1_m15'!AK15,"")</x:f>
      </x:c>
      <x:c r="G16" s="36" t="n">
        <x:f>'Model_D2_m15'!A15</x:f>
        <x:v>14</x:v>
      </x:c>
      <x:c r="H16" s="16" t="n">
        <x:f>IF(ISNUMBER('Model_D2_m15'!AH15),'Model_D2_m15'!AH15,"")</x:f>
        <x:v>52.65120387854427</x:v>
      </x:c>
      <x:c r="I16" s="16" t="n">
        <x:f>IF(ISNUMBER('Model_D2_m15'!AI15),'Model_D2_m15'!AI15,"")</x:f>
        <x:v>25.972100371270724</x:v>
      </x:c>
      <x:c r="J16" s="16" t="n">
        <x:f>IF(ISNUMBER('Model_D2_m15'!AJ15),'Model_D2_m15'!AJ15,"")</x:f>
        <x:v>62.78719579054374</x:v>
      </x:c>
      <x:c r="K16" s="16" t="str">
        <x:f>IF(ISNUMBER('Model_D2_m15'!AK15),'Model_D2_m15'!AK15,"")</x:f>
      </x:c>
    </x:row>
    <x:row r="17">
      <x:c r="A17" s="36" t="n">
        <x:f>'Model_D1_m15'!A16</x:f>
        <x:v>15</x:v>
      </x:c>
      <x:c r="B17" s="16" t="n">
        <x:f>IF(ISNUMBER('Model_D1_m15'!AH16),'Model_D1_m15'!AH16,"")</x:f>
        <x:v>58.31875857222942</x:v>
      </x:c>
      <x:c r="C17" s="16" t="n">
        <x:f>IF(ISNUMBER('Model_D1_m15'!AI16),'Model_D1_m15'!AI16,"")</x:f>
        <x:v>31.3995265578263</x:v>
      </x:c>
      <x:c r="D17" s="16" t="n">
        <x:f>IF(ISNUMBER('Model_D1_m15'!AJ16),'Model_D1_m15'!AJ16,"")</x:f>
        <x:v>58.31875857222942</x:v>
      </x:c>
      <x:c r="E17" s="16" t="str">
        <x:f>IF(ISNUMBER('Model_D1_m15'!AK16),'Model_D1_m15'!AK16,"")</x:f>
      </x:c>
      <x:c r="G17" s="36" t="n">
        <x:f>'Model_D2_m15'!A16</x:f>
        <x:v>15</x:v>
      </x:c>
      <x:c r="H17" s="16" t="n">
        <x:f>IF(ISNUMBER('Model_D2_m15'!AH16),'Model_D2_m15'!AH16,"")</x:f>
        <x:v>65.20583192865443</x:v>
      </x:c>
      <x:c r="I17" s="16" t="n">
        <x:f>IF(ISNUMBER('Model_D2_m15'!AI16),'Model_D2_m15'!AI16,"")</x:f>
        <x:v>32.21709054009639</x:v>
      </x:c>
      <x:c r="J17" s="16" t="n">
        <x:f>IF(ISNUMBER('Model_D2_m15'!AJ16),'Model_D2_m15'!AJ16,"")</x:f>
        <x:v>65.20583192865443</x:v>
      </x:c>
      <x:c r="K17" s="16" t="str">
        <x:f>IF(ISNUMBER('Model_D2_m15'!AK16),'Model_D2_m15'!AK16,"")</x:f>
      </x:c>
    </x:row>
    <x:row r="20">
      <x:c r="A20" s="12" t="str">
        <x:v>Deck 1 — adjusted difficulty</x:v>
      </x:c>
      <x:c r="B20" t="str"/>
      <x:c r="C20" t="str"/>
      <x:c r="D20" t="str"/>
      <x:c r="E20" t="str"/>
      <x:c r="G20" s="12" t="str">
        <x:v>Deck 2 — adjusted difficulty</x:v>
      </x:c>
      <x:c r="H20" t="str"/>
      <x:c r="I20" t="str"/>
      <x:c r="J20" t="str"/>
      <x:c r="K20" t="str"/>
    </x:row>
    <x:row r="21">
      <x:c r="A21" s="60" t="str">
        <x:v>Size</x:v>
      </x:c>
      <x:c r="B21" s="60" t="str">
        <x:v>Conjuration</x:v>
      </x:c>
      <x:c r="C21" s="60" t="str">
        <x:v>Transfiguration</x:v>
      </x:c>
      <x:c r="D21" s="60" t="str">
        <x:v>Perfect Transmutation</x:v>
      </x:c>
      <x:c r="E21" s="60" t="str">
        <x:v>Enchantment</x:v>
      </x:c>
      <x:c r="G21" s="60" t="str">
        <x:v>Size</x:v>
      </x:c>
      <x:c r="H21" s="60" t="str">
        <x:v>Conjuration</x:v>
      </x:c>
      <x:c r="I21" s="60" t="str">
        <x:v>Transfiguration</x:v>
      </x:c>
      <x:c r="J21" s="60" t="str">
        <x:v>Perfect Transmutation</x:v>
      </x:c>
      <x:c r="K21" s="60" t="str">
        <x:v>Enchantment</x:v>
      </x:c>
    </x:row>
    <x:row r="22">
      <x:c r="A22" s="36" t="n">
        <x:f>'Model_D1_m15'!A4</x:f>
        <x:v>3</x:v>
      </x:c>
      <x:c r="B22" s="16" t="n">
        <x:f>IF(ISNUMBER('Model_D1_m15'!AD4),'Model_D1_m15'!AD4,"")</x:f>
        <x:v>-0.23624999996907003</x:v>
      </x:c>
      <x:c r="C22" s="16" t="n">
        <x:f>IF(ISNUMBER('Model_D1_m15'!AE4),'Model_D1_m15'!AE4,"")</x:f>
        <x:v>1.2843906893458588</x:v>
      </x:c>
      <x:c r="D22" s="16" t="n">
        <x:f>IF(ISNUMBER('Model_D1_m15'!AF4),'Model_D1_m15'!AF4,"")</x:f>
        <x:v>0.6607638562591972</x:v>
      </x:c>
      <x:c r="E22" s="16" t="n">
        <x:f>IF(ISNUMBER('Model_D1_m15'!AG4),'Model_D1_m15'!AG4,"")</x:f>
        <x:v>0.20843353923653002</x:v>
      </x:c>
      <x:c r="G22" s="36" t="n">
        <x:f>'Model_D2_m15'!A4</x:f>
        <x:v>3</x:v>
      </x:c>
      <x:c r="H22" s="16" t="n">
        <x:f>IF(ISNUMBER('Model_D2_m15'!AD4),'Model_D2_m15'!AD4,"")</x:f>
        <x:v>-0.23624977997121965</x:v>
      </x:c>
      <x:c r="I22" s="16" t="n">
        <x:f>IF(ISNUMBER('Model_D2_m15'!AE4),'Model_D2_m15'!AE4,"")</x:f>
        <x:v>1.2843925643461724</x:v>
      </x:c>
      <x:c r="J22" s="16" t="n">
        <x:f>IF(ISNUMBER('Model_D2_m15'!AF4),'Model_D2_m15'!AF4,"")</x:f>
        <x:v>1.00245620768681</x:v>
      </x:c>
      <x:c r="K22" s="16" t="n">
        <x:f>IF(ISNUMBER('Model_D2_m15'!AG4),'Model_D2_m15'!AG4,"")</x:f>
        <x:v>0.06247925780724317</x:v>
      </x:c>
    </x:row>
    <x:row r="23">
      <x:c r="A23" s="36" t="n">
        <x:f>'Model_D1_m15'!A5</x:f>
        <x:v>4</x:v>
      </x:c>
      <x:c r="B23" s="16" t="n">
        <x:f>IF(ISNUMBER('Model_D1_m15'!AD5),'Model_D1_m15'!AD5,"")</x:f>
        <x:v>0.07537910787679042</x:v>
      </x:c>
      <x:c r="C23" s="16" t="n">
        <x:f>IF(ISNUMBER('Model_D1_m15'!AE5),'Model_D1_m15'!AE5,"")</x:f>
        <x:v>1.6639917686599617</x:v>
      </x:c>
      <x:c r="D23" s="16" t="n">
        <x:f>IF(ISNUMBER('Model_D1_m15'!AF5),'Model_D1_m15'!AF5,"")</x:f>
        <x:v>2.403886511353868</x:v>
      </x:c>
      <x:c r="E23" s="16" t="n">
        <x:f>IF(ISNUMBER('Model_D1_m15'!AG5),'Model_D1_m15'!AG5,"")</x:f>
        <x:v>2.311323580162167</x:v>
      </x:c>
      <x:c r="G23" s="36" t="n">
        <x:f>'Model_D2_m15'!A5</x:f>
        <x:v>4</x:v>
      </x:c>
      <x:c r="H23" s="16" t="n">
        <x:f>IF(ISNUMBER('Model_D2_m15'!AD5),'Model_D2_m15'!AD5,"")</x:f>
        <x:v>0.12247728367363481</x:v>
      </x:c>
      <x:c r="I23" s="16" t="n">
        <x:f>IF(ISNUMBER('Model_D2_m15'!AE5),'Model_D2_m15'!AE5,"")</x:f>
        <x:v>1.6661148471873846</x:v>
      </x:c>
      <x:c r="J23" s="16" t="n">
        <x:f>IF(ISNUMBER('Model_D2_m15'!AF5),'Model_D2_m15'!AF5,"")</x:f>
        <x:v>3.044733307770754</x:v>
      </x:c>
      <x:c r="K23" s="16" t="n">
        <x:f>IF(ISNUMBER('Model_D2_m15'!AG5),'Model_D2_m15'!AG5,"")</x:f>
        <x:v>1.6500360921346215</x:v>
      </x:c>
    </x:row>
    <x:row r="24">
      <x:c r="A24" s="36" t="n">
        <x:f>'Model_D1_m15'!A6</x:f>
        <x:v>5</x:v>
      </x:c>
      <x:c r="B24" s="16" t="n">
        <x:f>IF(ISNUMBER('Model_D1_m15'!AD6),'Model_D1_m15'!AD6,"")</x:f>
        <x:v>0.4019540556344169</x:v>
      </x:c>
      <x:c r="C24" s="16" t="n">
        <x:f>IF(ISNUMBER('Model_D1_m15'!AE6),'Model_D1_m15'!AE6,"")</x:f>
        <x:v>2.1444337857642792</x:v>
      </x:c>
      <x:c r="D24" s="16" t="n">
        <x:f>IF(ISNUMBER('Model_D1_m15'!AF6),'Model_D1_m15'!AF6,"")</x:f>
        <x:v>4.421520936460287</x:v>
      </x:c>
      <x:c r="E24" s="16" t="str">
        <x:f>IF(ISNUMBER('Model_D1_m15'!AG6),'Model_D1_m15'!AG6,"")</x:f>
      </x:c>
      <x:c r="G24" s="36" t="n">
        <x:f>'Model_D2_m15'!A6</x:f>
        <x:v>5</x:v>
      </x:c>
      <x:c r="H24" s="16" t="n">
        <x:f>IF(ISNUMBER('Model_D2_m15'!AD6),'Model_D2_m15'!AD6,"")</x:f>
        <x:v>0.5560035536765784</x:v>
      </x:c>
      <x:c r="I24" s="16" t="n">
        <x:f>IF(ISNUMBER('Model_D2_m15'!AE6),'Model_D2_m15'!AE6,"")</x:f>
        <x:v>2.1497531496009157</x:v>
      </x:c>
      <x:c r="J24" s="16" t="n">
        <x:f>IF(ISNUMBER('Model_D2_m15'!AF6),'Model_D2_m15'!AF6,"")</x:f>
        <x:v>5.320204675275284</x:v>
      </x:c>
      <x:c r="K24" s="16" t="n">
        <x:f>IF(ISNUMBER('Model_D2_m15'!AG6),'Model_D2_m15'!AG6,"")</x:f>
        <x:v>4.469539046739457</x:v>
      </x:c>
    </x:row>
    <x:row r="25">
      <x:c r="A25" s="36" t="n">
        <x:f>'Model_D1_m15'!A7</x:f>
        <x:v>6</x:v>
      </x:c>
      <x:c r="B25" s="16" t="n">
        <x:f>IF(ISNUMBER('Model_D1_m15'!AD7),'Model_D1_m15'!AD7,"")</x:f>
        <x:v>0.6217197144517013</x:v>
      </x:c>
      <x:c r="C25" s="16" t="n">
        <x:f>IF(ISNUMBER('Model_D1_m15'!AE7),'Model_D1_m15'!AE7,"")</x:f>
        <x:v>2.6336869308983046</x:v>
      </x:c>
      <x:c r="D25" s="16" t="n">
        <x:f>IF(ISNUMBER('Model_D1_m15'!AF7),'Model_D1_m15'!AF7,"")</x:f>
        <x:v>6.464770071361205</x:v>
      </x:c>
      <x:c r="E25" s="16" t="str">
        <x:f>IF(ISNUMBER('Model_D1_m15'!AG7),'Model_D1_m15'!AG7,"")</x:f>
      </x:c>
      <x:c r="G25" s="36" t="n">
        <x:f>'Model_D2_m15'!A7</x:f>
        <x:v>6</x:v>
      </x:c>
      <x:c r="H25" s="16" t="n">
        <x:f>IF(ISNUMBER('Model_D2_m15'!AD7),'Model_D2_m15'!AD7,"")</x:f>
        <x:v>1.2637675732240912</x:v>
      </x:c>
      <x:c r="I25" s="16" t="n">
        <x:f>IF(ISNUMBER('Model_D2_m15'!AE7),'Model_D2_m15'!AE7,"")</x:f>
        <x:v>2.6454139670226158</x:v>
      </x:c>
      <x:c r="J25" s="16" t="n">
        <x:f>IF(ISNUMBER('Model_D2_m15'!AF7),'Model_D2_m15'!AF7,"")</x:f>
        <x:v>7.609346945076487</x:v>
      </x:c>
      <x:c r="K25" s="16" t="str">
        <x:f>IF(ISNUMBER('Model_D2_m15'!AG7),'Model_D2_m15'!AG7,"")</x:f>
      </x:c>
    </x:row>
    <x:row r="26">
      <x:c r="A26" s="36" t="n">
        <x:f>'Model_D1_m15'!A8</x:f>
        <x:v>7</x:v>
      </x:c>
      <x:c r="B26" s="16" t="n">
        <x:f>IF(ISNUMBER('Model_D1_m15'!AD8),'Model_D1_m15'!AD8,"")</x:f>
        <x:v>1.7066124756329615</x:v>
      </x:c>
      <x:c r="C26" s="16" t="n">
        <x:f>IF(ISNUMBER('Model_D1_m15'!AE8),'Model_D1_m15'!AE8,"")</x:f>
        <x:v>3.1682252997125895</x:v>
      </x:c>
      <x:c r="D26" s="16" t="n">
        <x:f>IF(ISNUMBER('Model_D1_m15'!AF8),'Model_D1_m15'!AF8,"")</x:f>
        <x:v>8.668000217249011</x:v>
      </x:c>
      <x:c r="E26" s="16" t="str">
        <x:f>IF(ISNUMBER('Model_D1_m15'!AG8),'Model_D1_m15'!AG8,"")</x:f>
      </x:c>
      <x:c r="G26" s="36" t="n">
        <x:f>'Model_D2_m15'!A8</x:f>
        <x:v>7</x:v>
      </x:c>
      <x:c r="H26" s="16" t="n">
        <x:f>IF(ISNUMBER('Model_D2_m15'!AD8),'Model_D2_m15'!AD8,"")</x:f>
        <x:v>2.9050078104399075</x:v>
      </x:c>
      <x:c r="I26" s="16" t="n">
        <x:f>IF(ISNUMBER('Model_D2_m15'!AE8),'Model_D2_m15'!AE8,"")</x:f>
        <x:v>3.19583867439418</x:v>
      </x:c>
      <x:c r="J26" s="16" t="n">
        <x:f>IF(ISNUMBER('Model_D2_m15'!AF8),'Model_D2_m15'!AF8,"")</x:f>
        <x:v>10.058619939166633</x:v>
      </x:c>
      <x:c r="K26" s="16" t="str">
        <x:f>IF(ISNUMBER('Model_D2_m15'!AG8),'Model_D2_m15'!AG8,"")</x:f>
      </x:c>
    </x:row>
    <x:row r="27">
      <x:c r="A27" s="36" t="n">
        <x:f>'Model_D1_m15'!A9</x:f>
        <x:v>8</x:v>
      </x:c>
      <x:c r="B27" s="16" t="n">
        <x:f>IF(ISNUMBER('Model_D1_m15'!AD9),'Model_D1_m15'!AD9,"")</x:f>
        <x:v>3.4577873129653396</x:v>
      </x:c>
      <x:c r="C27" s="16" t="n">
        <x:f>IF(ISNUMBER('Model_D1_m15'!AE9),'Model_D1_m15'!AE9,"")</x:f>
        <x:v>3.8212371023979594</x:v>
      </x:c>
      <x:c r="D27" s="16" t="n">
        <x:f>IF(ISNUMBER('Model_D1_m15'!AF9),'Model_D1_m15'!AF9,"")</x:f>
        <x:v>10.960934701792514</x:v>
      </x:c>
      <x:c r="E27" s="16" t="str">
        <x:f>IF(ISNUMBER('Model_D1_m15'!AG9),'Model_D1_m15'!AG9,"")</x:f>
      </x:c>
      <x:c r="G27" s="36" t="n">
        <x:f>'Model_D2_m15'!A9</x:f>
        <x:v>8</x:v>
      </x:c>
      <x:c r="H27" s="16" t="n">
        <x:f>IF(ISNUMBER('Model_D2_m15'!AD9),'Model_D2_m15'!AD9,"")</x:f>
        <x:v>5.008614826769645</x:v>
      </x:c>
      <x:c r="I27" s="16" t="n">
        <x:f>IF(ISNUMBER('Model_D2_m15'!AE9),'Model_D2_m15'!AE9,"")</x:f>
        <x:v>3.8798374614687994</x:v>
      </x:c>
      <x:c r="J27" s="16" t="n">
        <x:f>IF(ISNUMBER('Model_D2_m15'!AF9),'Model_D2_m15'!AF9,"")</x:f>
        <x:v>12.600925690585093</x:v>
      </x:c>
      <x:c r="K27" s="16" t="str">
        <x:f>IF(ISNUMBER('Model_D2_m15'!AG9),'Model_D2_m15'!AG9,"")</x:f>
      </x:c>
    </x:row>
    <x:row r="28">
      <x:c r="A28" s="36" t="n">
        <x:f>'Model_D1_m15'!A10</x:f>
        <x:v>9</x:v>
      </x:c>
      <x:c r="B28" s="16" t="n">
        <x:f>IF(ISNUMBER('Model_D1_m15'!AD10),'Model_D1_m15'!AD10,"")</x:f>
        <x:v>5.64112706687291</x:v>
      </x:c>
      <x:c r="C28" s="16" t="n">
        <x:f>IF(ISNUMBER('Model_D1_m15'!AE10),'Model_D1_m15'!AE10,"")</x:f>
        <x:v>4.664358747095694</x:v>
      </x:c>
      <x:c r="D28" s="16" t="n">
        <x:f>IF(ISNUMBER('Model_D1_m15'!AF10),'Model_D1_m15'!AF10,"")</x:f>
        <x:v>13.358274937898312</x:v>
      </x:c>
      <x:c r="E28" s="16" t="str">
        <x:f>IF(ISNUMBER('Model_D1_m15'!AG10),'Model_D1_m15'!AG10,"")</x:f>
      </x:c>
      <x:c r="G28" s="36" t="n">
        <x:f>'Model_D2_m15'!A10</x:f>
        <x:v>9</x:v>
      </x:c>
      <x:c r="H28" s="16" t="n">
        <x:f>IF(ISNUMBER('Model_D2_m15'!AD10),'Model_D2_m15'!AD10,"")</x:f>
        <x:v>7.463943818548174</x:v>
      </x:c>
      <x:c r="I28" s="16" t="n">
        <x:f>IF(ISNUMBER('Model_D2_m15'!AE10),'Model_D2_m15'!AE10,"")</x:f>
        <x:v>4.76597518461455</x:v>
      </x:c>
      <x:c r="J28" s="16" t="n">
        <x:f>IF(ISNUMBER('Model_D2_m15'!AF10),'Model_D2_m15'!AF10,"")</x:f>
        <x:v>15.251737682877659</x:v>
      </x:c>
      <x:c r="K28" s="16" t="str">
        <x:f>IF(ISNUMBER('Model_D2_m15'!AG10),'Model_D2_m15'!AG10,"")</x:f>
      </x:c>
    </x:row>
    <x:row r="29">
      <x:c r="A29" s="36" t="n">
        <x:f>'Model_D1_m15'!A11</x:f>
        <x:v>10</x:v>
      </x:c>
      <x:c r="B29" s="16" t="n">
        <x:f>IF(ISNUMBER('Model_D1_m15'!AD11),'Model_D1_m15'!AD11,"")</x:f>
        <x:v>8.187335432979186</x:v>
      </x:c>
      <x:c r="C29" s="16" t="n">
        <x:f>IF(ISNUMBER('Model_D1_m15'!AE11),'Model_D1_m15'!AE11,"")</x:f>
        <x:v>5.729913201348905</x:v>
      </x:c>
      <x:c r="D29" s="16" t="n">
        <x:f>IF(ISNUMBER('Model_D1_m15'!AF11),'Model_D1_m15'!AF11,"")</x:f>
        <x:v>15.880989103836995</x:v>
      </x:c>
      <x:c r="E29" s="16" t="str">
        <x:f>IF(ISNUMBER('Model_D1_m15'!AG11),'Model_D1_m15'!AG11,"")</x:f>
      </x:c>
      <x:c r="G29" s="36" t="n">
        <x:f>'Model_D2_m15'!A11</x:f>
        <x:v>10</x:v>
      </x:c>
      <x:c r="H29" s="16" t="n">
        <x:f>IF(ISNUMBER('Model_D2_m15'!AD11),'Model_D2_m15'!AD11,"")</x:f>
        <x:v>10.270122481921371</x:v>
      </x:c>
      <x:c r="I29" s="16" t="n">
        <x:f>IF(ISNUMBER('Model_D2_m15'!AE11),'Model_D2_m15'!AE11,"")</x:f>
        <x:v>5.879096981250706</x:v>
      </x:c>
      <x:c r="J29" s="16" t="n">
        <x:f>IF(ISNUMBER('Model_D2_m15'!AF11),'Model_D2_m15'!AF11,"")</x:f>
        <x:v>18.03228385320371</x:v>
      </x:c>
      <x:c r="K29" s="16" t="str">
        <x:f>IF(ISNUMBER('Model_D2_m15'!AG11),'Model_D2_m15'!AG11,"")</x:f>
      </x:c>
    </x:row>
    <x:row r="30">
      <x:c r="A30" s="36" t="n">
        <x:f>'Model_D1_m15'!A12</x:f>
        <x:v>11</x:v>
      </x:c>
      <x:c r="B30" s="16" t="n">
        <x:f>IF(ISNUMBER('Model_D1_m15'!AD12),'Model_D1_m15'!AD12,"")</x:f>
        <x:v>11.120503742168072</x:v>
      </x:c>
      <x:c r="C30" s="16" t="n">
        <x:f>IF(ISNUMBER('Model_D1_m15'!AE12),'Model_D1_m15'!AE12,"")</x:f>
        <x:v>7.02323048082561</x:v>
      </x:c>
      <x:c r="D30" s="16" t="n">
        <x:f>IF(ISNUMBER('Model_D1_m15'!AF12),'Model_D1_m15'!AF12,"")</x:f>
        <x:v>18.55889905049393</x:v>
      </x:c>
      <x:c r="E30" s="16" t="str">
        <x:f>IF(ISNUMBER('Model_D1_m15'!AG12),'Model_D1_m15'!AG12,"")</x:f>
      </x:c>
      <x:c r="G30" s="36" t="n">
        <x:f>'Model_D2_m15'!A12</x:f>
        <x:v>11</x:v>
      </x:c>
      <x:c r="H30" s="16" t="n">
        <x:f>IF(ISNUMBER('Model_D2_m15'!AD12),'Model_D2_m15'!AD12,"")</x:f>
        <x:v>13.465816730398865</x:v>
      </x:c>
      <x:c r="I30" s="16" t="n">
        <x:f>IF(ISNUMBER('Model_D2_m15'!AE12),'Model_D2_m15'!AE12,"")</x:f>
        <x:v>7.22025355491172</x:v>
      </x:c>
      <x:c r="J30" s="16" t="n">
        <x:f>IF(ISNUMBER('Model_D2_m15'!AF12),'Model_D2_m15'!AF12,"")</x:f>
        <x:v>20.972558371015122</x:v>
      </x:c>
      <x:c r="K30" s="16" t="str">
        <x:f>IF(ISNUMBER('Model_D2_m15'!AG12),'Model_D2_m15'!AG12,"")</x:f>
      </x:c>
    </x:row>
    <x:row r="31">
      <x:c r="A31" s="36" t="n">
        <x:f>'Model_D1_m15'!A13</x:f>
        <x:v>12</x:v>
      </x:c>
      <x:c r="B31" s="16" t="n">
        <x:f>IF(ISNUMBER('Model_D1_m15'!AD13),'Model_D1_m15'!AD13,"")</x:f>
        <x:v>14.504911047806202</x:v>
      </x:c>
      <x:c r="C31" s="16" t="n">
        <x:f>IF(ISNUMBER('Model_D1_m15'!AE13),'Model_D1_m15'!AE13,"")</x:f>
        <x:v>8.557257174251916</x:v>
      </x:c>
      <x:c r="D31" s="16" t="n">
        <x:f>IF(ISNUMBER('Model_D1_m15'!AF13),'Model_D1_m15'!AF13,"")</x:f>
        <x:v>21.437021006867496</x:v>
      </x:c>
      <x:c r="E31" s="16" t="str">
        <x:f>IF(ISNUMBER('Model_D1_m15'!AG13),'Model_D1_m15'!AG13,"")</x:f>
      </x:c>
      <x:c r="G31" s="36" t="n">
        <x:f>'Model_D2_m15'!A13</x:f>
        <x:v>12</x:v>
      </x:c>
      <x:c r="H31" s="16" t="n">
        <x:f>IF(ISNUMBER('Model_D2_m15'!AD13),'Model_D2_m15'!AD13,"")</x:f>
        <x:v>17.11729453849634</x:v>
      </x:c>
      <x:c r="I31" s="16" t="n">
        <x:f>IF(ISNUMBER('Model_D2_m15'!AE13),'Model_D2_m15'!AE13,"")</x:f>
        <x:v>8.802401169996893</x:v>
      </x:c>
      <x:c r="J31" s="16" t="n">
        <x:f>IF(ISNUMBER('Model_D2_m15'!AF13),'Model_D2_m15'!AF13,"")</x:f>
        <x:v>24.11774314486306</x:v>
      </x:c>
      <x:c r="K31" s="16" t="str">
        <x:f>IF(ISNUMBER('Model_D2_m15'!AG13),'Model_D2_m15'!AG13,"")</x:f>
      </x:c>
    </x:row>
    <x:row r="32">
      <x:c r="A32" s="36" t="n">
        <x:f>'Model_D1_m15'!A14</x:f>
        <x:v>13</x:v>
      </x:c>
      <x:c r="B32" s="16" t="n">
        <x:f>IF(ISNUMBER('Model_D1_m15'!AD14),'Model_D1_m15'!AD14,"")</x:f>
        <x:v>18.450569188349483</x:v>
      </x:c>
      <x:c r="C32" s="16" t="n">
        <x:f>IF(ISNUMBER('Model_D1_m15'!AE14),'Model_D1_m15'!AE14,"")</x:f>
        <x:v>10.3836952911136</x:v>
      </x:c>
      <x:c r="D32" s="16" t="n">
        <x:f>IF(ISNUMBER('Model_D1_m15'!AF14),'Model_D1_m15'!AF14,"")</x:f>
        <x:v>24.59016312674633</x:v>
      </x:c>
      <x:c r="E32" s="16" t="str">
        <x:f>IF(ISNUMBER('Model_D1_m15'!AG14),'Model_D1_m15'!AG14,"")</x:f>
      </x:c>
      <x:c r="G32" s="36" t="n">
        <x:f>'Model_D2_m15'!A14</x:f>
        <x:v>13</x:v>
      </x:c>
      <x:c r="H32" s="16" t="n">
        <x:f>IF(ISNUMBER('Model_D2_m15'!AD14),'Model_D2_m15'!AD14,"")</x:f>
        <x:v>21.334886615542736</x:v>
      </x:c>
      <x:c r="I32" s="16" t="n">
        <x:f>IF(ISNUMBER('Model_D2_m15'!AE14),'Model_D2_m15'!AE14,"")</x:f>
        <x:v>10.67912649057199</x:v>
      </x:c>
      <x:c r="J32" s="16" t="n">
        <x:f>IF(ISNUMBER('Model_D2_m15'!AF14),'Model_D2_m15'!AF14,"")</x:f>
        <x:v>27.542818980225537</x:v>
      </x:c>
      <x:c r="K32" s="16" t="str">
        <x:f>IF(ISNUMBER('Model_D2_m15'!AG14),'Model_D2_m15'!AG14,"")</x:f>
      </x:c>
    </x:row>
    <x:row r="33">
      <x:c r="A33" s="36" t="n">
        <x:f>'Model_D1_m15'!A15</x:f>
        <x:v>14</x:v>
      </x:c>
      <x:c r="B33" s="16" t="n">
        <x:f>IF(ISNUMBER('Model_D1_m15'!AD15),'Model_D1_m15'!AD15,"")</x:f>
        <x:v>23.164297728743847</x:v>
      </x:c>
      <x:c r="C33" s="16" t="n">
        <x:f>IF(ISNUMBER('Model_D1_m15'!AE15),'Model_D1_m15'!AE15,"")</x:f>
        <x:v>12.63640945642228</x:v>
      </x:c>
      <x:c r="D33" s="16" t="n">
        <x:f>IF(ISNUMBER('Model_D1_m15'!AF15),'Model_D1_m15'!AF15,"")</x:f>
        <x:v>28.163955258457634</x:v>
      </x:c>
      <x:c r="E33" s="16" t="str">
        <x:f>IF(ISNUMBER('Model_D1_m15'!AG15),'Model_D1_m15'!AG15,"")</x:f>
      </x:c>
      <x:c r="G33" s="36" t="n">
        <x:f>'Model_D2_m15'!A15</x:f>
        <x:v>14</x:v>
      </x:c>
      <x:c r="H33" s="16" t="n">
        <x:f>IF(ISNUMBER('Model_D2_m15'!AD15),'Model_D2_m15'!AD15,"")</x:f>
        <x:v>26.325601939272136</x:v>
      </x:c>
      <x:c r="I33" s="16" t="n">
        <x:f>IF(ISNUMBER('Model_D2_m15'!AE15),'Model_D2_m15'!AE15,"")</x:f>
        <x:v>12.986050185635362</x:v>
      </x:c>
      <x:c r="J33" s="16" t="n">
        <x:f>IF(ISNUMBER('Model_D2_m15'!AF15),'Model_D2_m15'!AF15,"")</x:f>
        <x:v>31.39359789527187</x:v>
      </x:c>
      <x:c r="K33" s="16" t="str">
        <x:f>IF(ISNUMBER('Model_D2_m15'!AG15),'Model_D2_m15'!AG15,"")</x:f>
      </x:c>
    </x:row>
    <x:row r="34">
      <x:c r="A34" s="36" t="n">
        <x:f>'Model_D1_m15'!A16</x:f>
        <x:v>15</x:v>
      </x:c>
      <x:c r="B34" s="16" t="n">
        <x:f>IF(ISNUMBER('Model_D1_m15'!AD16),'Model_D1_m15'!AD16,"")</x:f>
        <x:v>29.15937928611471</x:v>
      </x:c>
      <x:c r="C34" s="16" t="n">
        <x:f>IF(ISNUMBER('Model_D1_m15'!AE16),'Model_D1_m15'!AE16,"")</x:f>
        <x:v>15.69976327891315</x:v>
      </x:c>
      <x:c r="D34" s="16" t="n">
        <x:f>IF(ISNUMBER('Model_D1_m15'!AF16),'Model_D1_m15'!AF16,"")</x:f>
        <x:v>29.15937928611471</x:v>
      </x:c>
      <x:c r="E34" s="16" t="str">
        <x:f>IF(ISNUMBER('Model_D1_m15'!AG16),'Model_D1_m15'!AG16,"")</x:f>
      </x:c>
      <x:c r="G34" s="36" t="n">
        <x:f>'Model_D2_m15'!A16</x:f>
        <x:v>15</x:v>
      </x:c>
      <x:c r="H34" s="16" t="n">
        <x:f>IF(ISNUMBER('Model_D2_m15'!AD16),'Model_D2_m15'!AD16,"")</x:f>
        <x:v>32.60291596432722</x:v>
      </x:c>
      <x:c r="I34" s="16" t="n">
        <x:f>IF(ISNUMBER('Model_D2_m15'!AE16),'Model_D2_m15'!AE16,"")</x:f>
        <x:v>16.108545270048197</x:v>
      </x:c>
      <x:c r="J34" s="16" t="n">
        <x:f>IF(ISNUMBER('Model_D2_m15'!AF16),'Model_D2_m15'!AF16,"")</x:f>
        <x:v>32.60291596432722</x:v>
      </x:c>
      <x:c r="K34" s="16" t="str">
        <x:f>IF(ISNUMBER('Model_D2_m15'!AG16),'Model_D2_m15'!AG16,"")</x:f>
      </x:c>
    </x:row>
    <x:row r="37">
      <x:c r="A37" s="12" t="str">
        <x:v>Deck 1 — baseline difficulty</x:v>
      </x:c>
      <x:c r="B37" t="str"/>
      <x:c r="C37" t="str"/>
      <x:c r="D37" t="str"/>
      <x:c r="E37" t="str"/>
      <x:c r="G37" s="12" t="str">
        <x:v>Deck 2 — baseline difficulty</x:v>
      </x:c>
      <x:c r="H37" t="str"/>
      <x:c r="I37" t="str"/>
      <x:c r="J37" t="str"/>
      <x:c r="K37" t="str"/>
    </x:row>
    <x:row r="38">
      <x:c r="A38" s="60" t="str">
        <x:v>Size</x:v>
      </x:c>
      <x:c r="B38" s="60" t="str">
        <x:v>Conjuration</x:v>
      </x:c>
      <x:c r="C38" s="60" t="str">
        <x:v>Transfiguration</x:v>
      </x:c>
      <x:c r="D38" s="60" t="str">
        <x:v>Perfect Transmutation</x:v>
      </x:c>
      <x:c r="E38" s="60" t="str">
        <x:v>Enchantment</x:v>
      </x:c>
      <x:c r="G38" s="60" t="str">
        <x:v>Size</x:v>
      </x:c>
      <x:c r="H38" s="60" t="str">
        <x:v>Conjuration</x:v>
      </x:c>
      <x:c r="I38" s="60" t="str">
        <x:v>Transfiguration</x:v>
      </x:c>
      <x:c r="J38" s="60" t="str">
        <x:v>Perfect Transmutation</x:v>
      </x:c>
      <x:c r="K38" s="60" t="str">
        <x:v>Enchantment</x:v>
      </x:c>
    </x:row>
    <x:row r="39">
      <x:c r="A39" s="36" t="n">
        <x:f>'Model_D1_m15'!A4</x:f>
        <x:v>3</x:v>
      </x:c>
      <x:c r="B39" s="16" t="n">
        <x:f>IF(ISNUMBER('Model_D1_m15'!R4),'Model_D1_m15'!R4,"")</x:f>
        <x:v>3.092992528811549e-11</x:v>
      </x:c>
      <x:c r="C39" s="16" t="n">
        <x:f>IF(ISNUMBER('Model_D1_m15'!S4),'Model_D1_m15'!S4,"")</x:f>
        <x:v>0.000015689345858865983</x:v>
      </x:c>
      <x:c r="D39" s="16" t="n">
        <x:f>IF(ISNUMBER('Model_D1_m15'!T4),'Model_D1_m15'!T4,"")</x:f>
        <x:v>0.6948888562591972</x:v>
      </x:c>
      <x:c r="E39" s="16" t="n">
        <x:f>IF(ISNUMBER('Model_D1_m15'!U4),'Model_D1_m15'!U4,"")</x:f>
        <x:v>0.5984335392365301</x:v>
      </x:c>
      <x:c r="G39" s="36" t="n">
        <x:f>'Model_D2_m15'!A4</x:f>
        <x:v>3</x:v>
      </x:c>
      <x:c r="H39" s="16" t="n">
        <x:f>IF(ISNUMBER('Model_D2_m15'!R4),'Model_D2_m15'!R4,"")</x:f>
        <x:v>2.2002878031015974e-7</x:v>
      </x:c>
      <x:c r="I39" s="16" t="n">
        <x:f>IF(ISNUMBER('Model_D2_m15'!S4),'Model_D2_m15'!S4,"")</x:f>
        <x:v>0.00001756434617245252</x:v>
      </x:c>
      <x:c r="J39" s="16" t="n">
        <x:f>IF(ISNUMBER('Model_D2_m15'!T4),'Model_D2_m15'!T4,"")</x:f>
        <x:v>1.03658120768681</x:v>
      </x:c>
      <x:c r="K39" s="16" t="n">
        <x:f>IF(ISNUMBER('Model_D2_m15'!U4),'Model_D2_m15'!U4,"")</x:f>
        <x:v>0.45247925780724324</x:v>
      </x:c>
    </x:row>
    <x:row r="40">
      <x:c r="A40" s="36" t="n">
        <x:f>'Model_D1_m15'!A5</x:f>
        <x:v>4</x:v>
      </x:c>
      <x:c r="B40" s="16" t="n">
        <x:f>IF(ISNUMBER('Model_D1_m15'!R5),'Model_D1_m15'!R5,"")</x:f>
        <x:v>0.3116291078767904</x:v>
      </x:c>
      <x:c r="C40" s="16" t="n">
        <x:f>IF(ISNUMBER('Model_D1_m15'!S5),'Model_D1_m15'!S5,"")</x:f>
        <x:v>0.41420010199329493</x:v>
      </x:c>
      <x:c r="D40" s="16" t="n">
        <x:f>IF(ISNUMBER('Model_D1_m15'!T5),'Model_D1_m15'!T5,"")</x:f>
        <x:v>2.4891990113538682</x:v>
      </x:c>
      <x:c r="E40" s="16" t="n">
        <x:f>IF(ISNUMBER('Model_D1_m15'!U5),'Model_D1_m15'!U5,"")</x:f>
        <x:v>3.4813235801621674</x:v>
      </x:c>
      <x:c r="G40" s="36" t="n">
        <x:f>'Model_D2_m15'!A5</x:f>
        <x:v>4</x:v>
      </x:c>
      <x:c r="H40" s="16" t="n">
        <x:f>IF(ISNUMBER('Model_D2_m15'!R5),'Model_D2_m15'!R5,"")</x:f>
        <x:v>0.35872728367363477</x:v>
      </x:c>
      <x:c r="I40" s="16" t="n">
        <x:f>IF(ISNUMBER('Model_D2_m15'!S5),'Model_D2_m15'!S5,"")</x:f>
        <x:v>0.4163231805207178</x:v>
      </x:c>
      <x:c r="J40" s="16" t="n">
        <x:f>IF(ISNUMBER('Model_D2_m15'!T5),'Model_D2_m15'!T5,"")</x:f>
        <x:v>3.1300458077707543</x:v>
      </x:c>
      <x:c r="K40" s="16" t="n">
        <x:f>IF(ISNUMBER('Model_D2_m15'!U5),'Model_D2_m15'!U5,"")</x:f>
        <x:v>2.8200360921346217</x:v>
      </x:c>
    </x:row>
    <x:row r="41">
      <x:c r="A41" s="36" t="n">
        <x:f>'Model_D1_m15'!A6</x:f>
        <x:v>5</x:v>
      </x:c>
      <x:c r="B41" s="16" t="n">
        <x:f>IF(ISNUMBER('Model_D1_m15'!R6),'Model_D1_m15'!R6,"")</x:f>
        <x:v>0.6382040556344168</x:v>
      </x:c>
      <x:c r="C41" s="16" t="n">
        <x:f>IF(ISNUMBER('Model_D1_m15'!S6),'Model_D1_m15'!S6,"")</x:f>
        <x:v>0.8279754524309458</x:v>
      </x:c>
      <x:c r="D41" s="16" t="n">
        <x:f>IF(ISNUMBER('Model_D1_m15'!T6),'Model_D1_m15'!T6,"")</x:f>
        <x:v>4.506833436460287</x:v>
      </x:c>
      <x:c r="E41" s="16" t="str">
        <x:f>IF(ISNUMBER('Model_D1_m15'!U6),'Model_D1_m15'!U6,"")</x:f>
      </x:c>
      <x:c r="G41" s="36" t="n">
        <x:f>'Model_D2_m15'!A6</x:f>
        <x:v>5</x:v>
      </x:c>
      <x:c r="H41" s="16" t="n">
        <x:f>IF(ISNUMBER('Model_D2_m15'!R6),'Model_D2_m15'!R6,"")</x:f>
        <x:v>0.7922535536765783</x:v>
      </x:c>
      <x:c r="I41" s="16" t="n">
        <x:f>IF(ISNUMBER('Model_D2_m15'!S6),'Model_D2_m15'!S6,"")</x:f>
        <x:v>0.8332948162675824</x:v>
      </x:c>
      <x:c r="J41" s="16" t="n">
        <x:f>IF(ISNUMBER('Model_D2_m15'!T6),'Model_D2_m15'!T6,"")</x:f>
        <x:v>5.405517175275284</x:v>
      </x:c>
      <x:c r="K41" s="16" t="n">
        <x:f>IF(ISNUMBER('Model_D2_m15'!U6),'Model_D2_m15'!U6,"")</x:f>
        <x:v>6.419539046739457</x:v>
      </x:c>
    </x:row>
    <x:row r="42">
      <x:c r="A42" s="36" t="n">
        <x:f>'Model_D1_m15'!A7</x:f>
        <x:v>6</x:v>
      </x:c>
      <x:c r="B42" s="16" t="n">
        <x:f>IF(ISNUMBER('Model_D1_m15'!R7),'Model_D1_m15'!R7,"")</x:f>
        <x:v>1.0942197144517012</x:v>
      </x:c>
      <x:c r="C42" s="16" t="n">
        <x:f>IF(ISNUMBER('Model_D1_m15'!S7),'Model_D1_m15'!S7,"")</x:f>
        <x:v>1.2505619308983047</x:v>
      </x:c>
      <x:c r="D42" s="16" t="n">
        <x:f>IF(ISNUMBER('Model_D1_m15'!T7),'Model_D1_m15'!T7,"")</x:f>
        <x:v>6.626863821361205</x:v>
      </x:c>
      <x:c r="E42" s="16" t="str">
        <x:f>IF(ISNUMBER('Model_D1_m15'!U7),'Model_D1_m15'!U7,"")</x:f>
      </x:c>
      <x:c r="G42" s="36" t="n">
        <x:f>'Model_D2_m15'!A7</x:f>
        <x:v>6</x:v>
      </x:c>
      <x:c r="H42" s="16" t="n">
        <x:f>IF(ISNUMBER('Model_D2_m15'!R7),'Model_D2_m15'!R7,"")</x:f>
        <x:v>1.736267573224091</x:v>
      </x:c>
      <x:c r="I42" s="16" t="n">
        <x:f>IF(ISNUMBER('Model_D2_m15'!S7),'Model_D2_m15'!S7,"")</x:f>
        <x:v>1.2622889670226158</x:v>
      </x:c>
      <x:c r="J42" s="16" t="n">
        <x:f>IF(ISNUMBER('Model_D2_m15'!T7),'Model_D2_m15'!T7,"")</x:f>
        <x:v>7.771440695076487</x:v>
      </x:c>
      <x:c r="K42" s="16" t="str">
        <x:f>IF(ISNUMBER('Model_D2_m15'!U7),'Model_D2_m15'!U7,"")</x:f>
      </x:c>
    </x:row>
    <x:row r="43">
      <x:c r="A43" s="36" t="n">
        <x:f>'Model_D1_m15'!A8</x:f>
        <x:v>7</x:v>
      </x:c>
      <x:c r="B43" s="16" t="n">
        <x:f>IF(ISNUMBER('Model_D1_m15'!R8),'Model_D1_m15'!R8,"")</x:f>
        <x:v>2.1791124756329614</x:v>
      </x:c>
      <x:c r="C43" s="16" t="n">
        <x:f>IF(ISNUMBER('Model_D1_m15'!S8),'Model_D1_m15'!S8,"")</x:f>
        <x:v>1.7184336330459231</x:v>
      </x:c>
      <x:c r="D43" s="16" t="n">
        <x:f>IF(ISNUMBER('Model_D1_m15'!T8),'Model_D1_m15'!T8,"")</x:f>
        <x:v>8.830093967249011</x:v>
      </x:c>
      <x:c r="E43" s="16" t="str">
        <x:f>IF(ISNUMBER('Model_D1_m15'!U8),'Model_D1_m15'!U8,"")</x:f>
      </x:c>
      <x:c r="G43" s="36" t="n">
        <x:f>'Model_D2_m15'!A8</x:f>
        <x:v>7</x:v>
      </x:c>
      <x:c r="H43" s="16" t="n">
        <x:f>IF(ISNUMBER('Model_D2_m15'!R8),'Model_D2_m15'!R8,"")</x:f>
        <x:v>3.377507810439907</x:v>
      </x:c>
      <x:c r="I43" s="16" t="n">
        <x:f>IF(ISNUMBER('Model_D2_m15'!S8),'Model_D2_m15'!S8,"")</x:f>
        <x:v>1.746047007727513</x:v>
      </x:c>
      <x:c r="J43" s="16" t="n">
        <x:f>IF(ISNUMBER('Model_D2_m15'!T8),'Model_D2_m15'!T8,"")</x:f>
        <x:v>10.220713689166633</x:v>
      </x:c>
      <x:c r="K43" s="16" t="str">
        <x:f>IF(ISNUMBER('Model_D2_m15'!U8),'Model_D2_m15'!U8,"")</x:f>
      </x:c>
    </x:row>
    <x:row r="44">
      <x:c r="A44" s="36" t="n">
        <x:f>'Model_D1_m15'!A9</x:f>
        <x:v>8</x:v>
      </x:c>
      <x:c r="B44" s="16" t="n">
        <x:f>IF(ISNUMBER('Model_D1_m15'!R9),'Model_D1_m15'!R9,"")</x:f>
        <x:v>3.9302873129653397</x:v>
      </x:c>
      <x:c r="C44" s="16" t="n">
        <x:f>IF(ISNUMBER('Model_D1_m15'!S9),'Model_D1_m15'!S9,"")</x:f>
        <x:v>2.3047787690646264</x:v>
      </x:c>
      <x:c r="D44" s="16" t="n">
        <x:f>IF(ISNUMBER('Model_D1_m15'!T9),'Model_D1_m15'!T9,"")</x:f>
        <x:v>11.123028451792514</x:v>
      </x:c>
      <x:c r="E44" s="16" t="str">
        <x:f>IF(ISNUMBER('Model_D1_m15'!U9),'Model_D1_m15'!U9,"")</x:f>
      </x:c>
      <x:c r="G44" s="36" t="n">
        <x:f>'Model_D2_m15'!A9</x:f>
        <x:v>8</x:v>
      </x:c>
      <x:c r="H44" s="16" t="n">
        <x:f>IF(ISNUMBER('Model_D2_m15'!R9),'Model_D2_m15'!R9,"")</x:f>
        <x:v>5.4811148267696455</x:v>
      </x:c>
      <x:c r="I44" s="16" t="n">
        <x:f>IF(ISNUMBER('Model_D2_m15'!S9),'Model_D2_m15'!S9,"")</x:f>
        <x:v>2.3633791281354664</x:v>
      </x:c>
      <x:c r="J44" s="16" t="n">
        <x:f>IF(ISNUMBER('Model_D2_m15'!T9),'Model_D2_m15'!T9,"")</x:f>
        <x:v>12.763019440585094</x:v>
      </x:c>
      <x:c r="K44" s="16" t="str">
        <x:f>IF(ISNUMBER('Model_D2_m15'!U9),'Model_D2_m15'!U9,"")</x:f>
      </x:c>
    </x:row>
    <x:row r="45">
      <x:c r="A45" s="36" t="n">
        <x:f>'Model_D1_m15'!A10</x:f>
        <x:v>9</x:v>
      </x:c>
      <x:c r="B45" s="16" t="n">
        <x:f>IF(ISNUMBER('Model_D1_m15'!R10),'Model_D1_m15'!R10,"")</x:f>
        <x:v>6.11362706687291</x:v>
      </x:c>
      <x:c r="C45" s="16" t="n">
        <x:f>IF(ISNUMBER('Model_D1_m15'!S10),'Model_D1_m15'!S10,"")</x:f>
        <x:v>3.0812337470956934</x:v>
      </x:c>
      <x:c r="D45" s="16" t="n">
        <x:f>IF(ISNUMBER('Model_D1_m15'!T10),'Model_D1_m15'!T10,"")</x:f>
        <x:v>13.520368687898312</x:v>
      </x:c>
      <x:c r="E45" s="16" t="str">
        <x:f>IF(ISNUMBER('Model_D1_m15'!U10),'Model_D1_m15'!U10,"")</x:f>
      </x:c>
      <x:c r="G45" s="36" t="n">
        <x:f>'Model_D2_m15'!A10</x:f>
        <x:v>9</x:v>
      </x:c>
      <x:c r="H45" s="16" t="n">
        <x:f>IF(ISNUMBER('Model_D2_m15'!R10),'Model_D2_m15'!R10,"")</x:f>
        <x:v>7.936443818548174</x:v>
      </x:c>
      <x:c r="I45" s="16" t="n">
        <x:f>IF(ISNUMBER('Model_D2_m15'!S10),'Model_D2_m15'!S10,"")</x:f>
        <x:v>3.18285018461455</x:v>
      </x:c>
      <x:c r="J45" s="16" t="n">
        <x:f>IF(ISNUMBER('Model_D2_m15'!T10),'Model_D2_m15'!T10,"")</x:f>
        <x:v>15.413831432877659</x:v>
      </x:c>
      <x:c r="K45" s="16" t="str">
        <x:f>IF(ISNUMBER('Model_D2_m15'!U10),'Model_D2_m15'!U10,"")</x:f>
      </x:c>
    </x:row>
    <x:row r="46">
      <x:c r="A46" s="36" t="n">
        <x:f>'Model_D1_m15'!A11</x:f>
        <x:v>10</x:v>
      </x:c>
      <x:c r="B46" s="16" t="n">
        <x:f>IF(ISNUMBER('Model_D1_m15'!R11),'Model_D1_m15'!R11,"")</x:f>
        <x:v>8.659835432979186</x:v>
      </x:c>
      <x:c r="C46" s="16" t="n">
        <x:f>IF(ISNUMBER('Model_D1_m15'!S11),'Model_D1_m15'!S11,"")</x:f>
        <x:v>4.080121534682238</x:v>
      </x:c>
      <x:c r="D46" s="16" t="n">
        <x:f>IF(ISNUMBER('Model_D1_m15'!T11),'Model_D1_m15'!T11,"")</x:f>
        <x:v>16.043082853836996</x:v>
      </x:c>
      <x:c r="E46" s="16" t="str">
        <x:f>IF(ISNUMBER('Model_D1_m15'!U11),'Model_D1_m15'!U11,"")</x:f>
      </x:c>
      <x:c r="G46" s="36" t="n">
        <x:f>'Model_D2_m15'!A11</x:f>
        <x:v>10</x:v>
      </x:c>
      <x:c r="H46" s="16" t="n">
        <x:f>IF(ISNUMBER('Model_D2_m15'!R11),'Model_D2_m15'!R11,"")</x:f>
        <x:v>10.742622481921371</x:v>
      </x:c>
      <x:c r="I46" s="16" t="n">
        <x:f>IF(ISNUMBER('Model_D2_m15'!S11),'Model_D2_m15'!S11,"")</x:f>
        <x:v>4.229305314584039</x:v>
      </x:c>
      <x:c r="J46" s="16" t="n">
        <x:f>IF(ISNUMBER('Model_D2_m15'!T11),'Model_D2_m15'!T11,"")</x:f>
        <x:v>18.194377603203712</x:v>
      </x:c>
      <x:c r="K46" s="16" t="str">
        <x:f>IF(ISNUMBER('Model_D2_m15'!U11),'Model_D2_m15'!U11,"")</x:f>
      </x:c>
    </x:row>
    <x:row r="47">
      <x:c r="A47" s="36" t="n">
        <x:f>'Model_D1_m15'!A12</x:f>
        <x:v>11</x:v>
      </x:c>
      <x:c r="B47" s="16" t="n">
        <x:f>IF(ISNUMBER('Model_D1_m15'!R12),'Model_D1_m15'!R12,"")</x:f>
        <x:v>11.593003742168072</x:v>
      </x:c>
      <x:c r="C47" s="16" t="n">
        <x:f>IF(ISNUMBER('Model_D1_m15'!S12),'Model_D1_m15'!S12,"")</x:f>
        <x:v>5.306772147492277</x:v>
      </x:c>
      <x:c r="D47" s="16" t="n">
        <x:f>IF(ISNUMBER('Model_D1_m15'!T12),'Model_D1_m15'!T12,"")</x:f>
        <x:v>18.72099280049393</x:v>
      </x:c>
      <x:c r="E47" s="16" t="str">
        <x:f>IF(ISNUMBER('Model_D1_m15'!U12),'Model_D1_m15'!U12,"")</x:f>
      </x:c>
      <x:c r="G47" s="36" t="n">
        <x:f>'Model_D2_m15'!A12</x:f>
        <x:v>11</x:v>
      </x:c>
      <x:c r="H47" s="16" t="n">
        <x:f>IF(ISNUMBER('Model_D2_m15'!R12),'Model_D2_m15'!R12,"")</x:f>
        <x:v>13.938316730398865</x:v>
      </x:c>
      <x:c r="I47" s="16" t="n">
        <x:f>IF(ISNUMBER('Model_D2_m15'!S12),'Model_D2_m15'!S12,"")</x:f>
        <x:v>5.503795221578386</x:v>
      </x:c>
      <x:c r="J47" s="16" t="n">
        <x:f>IF(ISNUMBER('Model_D2_m15'!T12),'Model_D2_m15'!T12,"")</x:f>
        <x:v>21.134652121015122</x:v>
      </x:c>
      <x:c r="K47" s="16" t="str">
        <x:f>IF(ISNUMBER('Model_D2_m15'!U12),'Model_D2_m15'!U12,"")</x:f>
      </x:c>
    </x:row>
    <x:row r="48">
      <x:c r="A48" s="36" t="n">
        <x:f>'Model_D1_m15'!A13</x:f>
        <x:v>12</x:v>
      </x:c>
      <x:c r="B48" s="16" t="n">
        <x:f>IF(ISNUMBER('Model_D1_m15'!R13),'Model_D1_m15'!R13,"")</x:f>
        <x:v>14.977411047806202</x:v>
      </x:c>
      <x:c r="C48" s="16" t="n">
        <x:f>IF(ISNUMBER('Model_D1_m15'!S13),'Model_D1_m15'!S13,"")</x:f>
        <x:v>6.774132174251916</x:v>
      </x:c>
      <x:c r="D48" s="16" t="n">
        <x:f>IF(ISNUMBER('Model_D1_m15'!T13),'Model_D1_m15'!T13,"")</x:f>
        <x:v>21.599114756867497</x:v>
      </x:c>
      <x:c r="E48" s="16" t="str">
        <x:f>IF(ISNUMBER('Model_D1_m15'!U13),'Model_D1_m15'!U13,"")</x:f>
      </x:c>
      <x:c r="G48" s="36" t="n">
        <x:f>'Model_D2_m15'!A13</x:f>
        <x:v>12</x:v>
      </x:c>
      <x:c r="H48" s="16" t="n">
        <x:f>IF(ISNUMBER('Model_D2_m15'!R13),'Model_D2_m15'!R13,"")</x:f>
        <x:v>17.58979453849634</x:v>
      </x:c>
      <x:c r="I48" s="16" t="n">
        <x:f>IF(ISNUMBER('Model_D2_m15'!S13),'Model_D2_m15'!S13,"")</x:f>
        <x:v>7.019276169996893</x:v>
      </x:c>
      <x:c r="J48" s="16" t="n">
        <x:f>IF(ISNUMBER('Model_D2_m15'!T13),'Model_D2_m15'!T13,"")</x:f>
        <x:v>24.27983689486306</x:v>
      </x:c>
      <x:c r="K48" s="16" t="str">
        <x:f>IF(ISNUMBER('Model_D2_m15'!U13),'Model_D2_m15'!U13,"")</x:f>
      </x:c>
    </x:row>
    <x:row r="49">
      <x:c r="A49" s="36" t="n">
        <x:f>'Model_D1_m15'!A14</x:f>
        <x:v>13</x:v>
      </x:c>
      <x:c r="B49" s="16" t="n">
        <x:f>IF(ISNUMBER('Model_D1_m15'!R14),'Model_D1_m15'!R14,"")</x:f>
        <x:v>18.923069188349483</x:v>
      </x:c>
      <x:c r="C49" s="16" t="n">
        <x:f>IF(ISNUMBER('Model_D1_m15'!S14),'Model_D1_m15'!S14,"")</x:f>
        <x:v>8.533903624446934</x:v>
      </x:c>
      <x:c r="D49" s="16" t="n">
        <x:f>IF(ISNUMBER('Model_D1_m15'!T14),'Model_D1_m15'!T14,"")</x:f>
        <x:v>24.75225687674633</x:v>
      </x:c>
      <x:c r="E49" s="16" t="str">
        <x:f>IF(ISNUMBER('Model_D1_m15'!U14),'Model_D1_m15'!U14,"")</x:f>
      </x:c>
      <x:c r="G49" s="36" t="n">
        <x:f>'Model_D2_m15'!A14</x:f>
        <x:v>13</x:v>
      </x:c>
      <x:c r="H49" s="16" t="n">
        <x:f>IF(ISNUMBER('Model_D2_m15'!R14),'Model_D2_m15'!R14,"")</x:f>
        <x:v>21.807386615542736</x:v>
      </x:c>
      <x:c r="I49" s="16" t="n">
        <x:f>IF(ISNUMBER('Model_D2_m15'!S14),'Model_D2_m15'!S14,"")</x:f>
        <x:v>8.829334823905324</x:v>
      </x:c>
      <x:c r="J49" s="16" t="n">
        <x:f>IF(ISNUMBER('Model_D2_m15'!T14),'Model_D2_m15'!T14,"")</x:f>
        <x:v>27.704912730225537</x:v>
      </x:c>
      <x:c r="K49" s="16" t="str">
        <x:f>IF(ISNUMBER('Model_D2_m15'!U14),'Model_D2_m15'!U14,"")</x:f>
      </x:c>
    </x:row>
    <x:row r="50">
      <x:c r="A50" s="36" t="n">
        <x:f>'Model_D1_m15'!A15</x:f>
        <x:v>14</x:v>
      </x:c>
      <x:c r="B50" s="16" t="n">
        <x:f>IF(ISNUMBER('Model_D1_m15'!R15),'Model_D1_m15'!R15,"")</x:f>
        <x:v>23.636797728743847</x:v>
      </x:c>
      <x:c r="C50" s="16" t="n">
        <x:f>IF(ISNUMBER('Model_D1_m15'!S15),'Model_D1_m15'!S15,"")</x:f>
        <x:v>10.719951123088947</x:v>
      </x:c>
      <x:c r="D50" s="16" t="n">
        <x:f>IF(ISNUMBER('Model_D1_m15'!T15),'Model_D1_m15'!T15,"")</x:f>
        <x:v>28.326049008457634</x:v>
      </x:c>
      <x:c r="E50" s="16" t="str">
        <x:f>IF(ISNUMBER('Model_D1_m15'!U15),'Model_D1_m15'!U15,"")</x:f>
      </x:c>
      <x:c r="G50" s="36" t="n">
        <x:f>'Model_D2_m15'!A15</x:f>
        <x:v>14</x:v>
      </x:c>
      <x:c r="H50" s="16" t="n">
        <x:f>IF(ISNUMBER('Model_D2_m15'!R15),'Model_D2_m15'!R15,"")</x:f>
        <x:v>26.798101939272136</x:v>
      </x:c>
      <x:c r="I50" s="16" t="n">
        <x:f>IF(ISNUMBER('Model_D2_m15'!S15),'Model_D2_m15'!S15,"")</x:f>
        <x:v>11.069591852302029</x:v>
      </x:c>
      <x:c r="J50" s="16" t="n">
        <x:f>IF(ISNUMBER('Model_D2_m15'!T15),'Model_D2_m15'!T15,"")</x:f>
        <x:v>31.55569164527187</x:v>
      </x:c>
      <x:c r="K50" s="16" t="str">
        <x:f>IF(ISNUMBER('Model_D2_m15'!U15),'Model_D2_m15'!U15,"")</x:f>
      </x:c>
    </x:row>
    <x:row r="51">
      <x:c r="A51" s="36" t="n">
        <x:f>'Model_D1_m15'!A16</x:f>
        <x:v>15</x:v>
      </x:c>
      <x:c r="B51" s="16" t="n">
        <x:f>IF(ISNUMBER('Model_D1_m15'!R16),'Model_D1_m15'!R16,"")</x:f>
        <x:v>29.63187928611471</x:v>
      </x:c>
      <x:c r="C51" s="16" t="n">
        <x:f>IF(ISNUMBER('Model_D1_m15'!S16),'Model_D1_m15'!S16,"")</x:f>
        <x:v>13.71663827891315</x:v>
      </x:c>
      <x:c r="D51" s="16" t="n">
        <x:f>IF(ISNUMBER('Model_D1_m15'!T16),'Model_D1_m15'!T16,"")</x:f>
        <x:v>32.709208149394684</x:v>
      </x:c>
      <x:c r="E51" s="16" t="str">
        <x:f>IF(ISNUMBER('Model_D1_m15'!U16),'Model_D1_m15'!U16,"")</x:f>
      </x:c>
      <x:c r="G51" s="36" t="n">
        <x:f>'Model_D2_m15'!A16</x:f>
        <x:v>15</x:v>
      </x:c>
      <x:c r="H51" s="16" t="n">
        <x:f>IF(ISNUMBER('Model_D2_m15'!R16),'Model_D2_m15'!R16,"")</x:f>
        <x:v>33.07541596432721</x:v>
      </x:c>
      <x:c r="I51" s="16" t="n">
        <x:f>IF(ISNUMBER('Model_D2_m15'!S16),'Model_D2_m15'!S16,"")</x:f>
        <x:v>14.125420270048197</x:v>
      </x:c>
      <x:c r="J51" s="16" t="n">
        <x:f>IF(ISNUMBER('Model_D2_m15'!T16),'Model_D2_m15'!T16,"")</x:f>
        <x:v>36.22108325389314</x:v>
      </x:c>
      <x:c r="K51" s="16" t="str">
        <x:f>IF(ISNUMBER('Model_D2_m15'!U16),'Model_D2_m15'!U16,"")</x:f>
      </x:c>
    </x:row>
    <x:row r="54">
      <x:c r="A54" s="12" t="str">
        <x:v>Deck 1 — utility values</x:v>
      </x:c>
      <x:c r="B54" t="str"/>
      <x:c r="C54" t="str"/>
      <x:c r="D54" t="str"/>
      <x:c r="E54" t="str"/>
      <x:c r="G54" s="12" t="str">
        <x:v>Deck 2 — utility values</x:v>
      </x:c>
      <x:c r="H54" t="str"/>
      <x:c r="I54" t="str"/>
      <x:c r="J54" t="str"/>
      <x:c r="K54" t="str"/>
    </x:row>
    <x:row r="55">
      <x:c r="A55" s="60" t="str">
        <x:v>Size</x:v>
      </x:c>
      <x:c r="B55" s="60" t="str">
        <x:v>Conjuration</x:v>
      </x:c>
      <x:c r="C55" s="60" t="str">
        <x:v>Transfiguration</x:v>
      </x:c>
      <x:c r="D55" s="60" t="str">
        <x:v>Perfect Transmutation</x:v>
      </x:c>
      <x:c r="E55" s="60" t="str">
        <x:v>Enchantment</x:v>
      </x:c>
      <x:c r="G55" s="60" t="str">
        <x:v>Size</x:v>
      </x:c>
      <x:c r="H55" s="60" t="str">
        <x:v>Conjuration</x:v>
      </x:c>
      <x:c r="I55" s="60" t="str">
        <x:v>Transfiguration</x:v>
      </x:c>
      <x:c r="J55" s="60" t="str">
        <x:v>Perfect Transmutation</x:v>
      </x:c>
      <x:c r="K55" s="60" t="str">
        <x:v>Enchantment</x:v>
      </x:c>
    </x:row>
    <x:row r="56">
      <x:c r="A56" s="36" t="n">
        <x:f>'Model_D1_m15'!A4</x:f>
        <x:v>3</x:v>
      </x:c>
      <x:c r="B56" s="16" t="n">
        <x:f>IF(ISNUMBER('Model_D1_m15'!V4),'Model_D1_m15'!V4,"")</x:f>
        <x:v>0.9449999999999998</x:v>
      </x:c>
      <x:c r="C56" s="16" t="n">
        <x:f>IF(ISNUMBER('Model_D1_m15'!W4),'Model_D1_m15'!W4,"")</x:f>
        <x:v>-0.33749999999999997</x:v>
      </x:c>
      <x:c r="D56" s="16" t="n">
        <x:f>IF(ISNUMBER('Model_D1_m15'!X4),'Model_D1_m15'!X4,"")</x:f>
        <x:v>0.1365</x:v>
      </x:c>
      <x:c r="E56" s="16" t="n">
        <x:f>IF(ISNUMBER('Model_D1_m15'!Y4),'Model_D1_m15'!Y4,"")</x:f>
        <x:v>1.5600000000000003</x:v>
      </x:c>
      <x:c r="G56" s="36" t="n">
        <x:f>'Model_D2_m15'!A4</x:f>
        <x:v>3</x:v>
      </x:c>
      <x:c r="H56" s="16" t="n">
        <x:f>IF(ISNUMBER('Model_D2_m15'!V4),'Model_D2_m15'!V4,"")</x:f>
        <x:v>0.9449999999999998</x:v>
      </x:c>
      <x:c r="I56" s="16" t="n">
        <x:f>IF(ISNUMBER('Model_D2_m15'!W4),'Model_D2_m15'!W4,"")</x:f>
        <x:v>-0.33749999999999997</x:v>
      </x:c>
      <x:c r="J56" s="16" t="n">
        <x:f>IF(ISNUMBER('Model_D2_m15'!X4),'Model_D2_m15'!X4,"")</x:f>
        <x:v>0.1365</x:v>
      </x:c>
      <x:c r="K56" s="16" t="n">
        <x:f>IF(ISNUMBER('Model_D2_m15'!Y4),'Model_D2_m15'!Y4,"")</x:f>
        <x:v>1.5600000000000003</x:v>
      </x:c>
    </x:row>
    <x:row r="57">
      <x:c r="A57" s="36" t="n">
        <x:f>'Model_D1_m15'!A5</x:f>
        <x:v>4</x:v>
      </x:c>
      <x:c r="B57" s="16" t="n">
        <x:f>IF(ISNUMBER('Model_D1_m15'!V5),'Model_D1_m15'!V5,"")</x:f>
        <x:v>0.9449999999999998</x:v>
      </x:c>
      <x:c r="C57" s="16" t="n">
        <x:f>IF(ISNUMBER('Model_D1_m15'!W5),'Model_D1_m15'!W5,"")</x:f>
        <x:v>0.06749999999999999</x:v>
      </x:c>
      <x:c r="D57" s="16" t="n">
        <x:f>IF(ISNUMBER('Model_D1_m15'!X5),'Model_D1_m15'!X5,"")</x:f>
        <x:v>0.34124999999999994</x:v>
      </x:c>
      <x:c r="E57" s="16" t="n">
        <x:f>IF(ISNUMBER('Model_D1_m15'!Y5),'Model_D1_m15'!Y5,"")</x:f>
        <x:v>4.680000000000001</x:v>
      </x:c>
      <x:c r="G57" s="36" t="n">
        <x:f>'Model_D2_m15'!A5</x:f>
        <x:v>4</x:v>
      </x:c>
      <x:c r="H57" s="16" t="n">
        <x:f>IF(ISNUMBER('Model_D2_m15'!V5),'Model_D2_m15'!V5,"")</x:f>
        <x:v>0.9449999999999998</x:v>
      </x:c>
      <x:c r="I57" s="16" t="n">
        <x:f>IF(ISNUMBER('Model_D2_m15'!W5),'Model_D2_m15'!W5,"")</x:f>
        <x:v>0.06749999999999999</x:v>
      </x:c>
      <x:c r="J57" s="16" t="n">
        <x:f>IF(ISNUMBER('Model_D2_m15'!X5),'Model_D2_m15'!X5,"")</x:f>
        <x:v>0.34124999999999994</x:v>
      </x:c>
      <x:c r="K57" s="16" t="n">
        <x:f>IF(ISNUMBER('Model_D2_m15'!Y5),'Model_D2_m15'!Y5,"")</x:f>
        <x:v>4.680000000000001</x:v>
      </x:c>
    </x:row>
    <x:row r="58">
      <x:c r="A58" s="36" t="n">
        <x:f>'Model_D1_m15'!A6</x:f>
        <x:v>5</x:v>
      </x:c>
      <x:c r="B58" s="16" t="n">
        <x:f>IF(ISNUMBER('Model_D1_m15'!V6),'Model_D1_m15'!V6,"")</x:f>
        <x:v>0.9449999999999998</x:v>
      </x:c>
      <x:c r="C58" s="16" t="n">
        <x:f>IF(ISNUMBER('Model_D1_m15'!W6),'Model_D1_m15'!W6,"")</x:f>
        <x:v>0.06749999999999999</x:v>
      </x:c>
      <x:c r="D58" s="16" t="n">
        <x:f>IF(ISNUMBER('Model_D1_m15'!X6),'Model_D1_m15'!X6,"")</x:f>
        <x:v>0.34124999999999994</x:v>
      </x:c>
      <x:c r="E58" s="16" t="str">
        <x:f>IF(ISNUMBER('Model_D1_m15'!Y6),'Model_D1_m15'!Y6,"")</x:f>
      </x:c>
      <x:c r="G58" s="36" t="n">
        <x:f>'Model_D2_m15'!A6</x:f>
        <x:v>5</x:v>
      </x:c>
      <x:c r="H58" s="16" t="n">
        <x:f>IF(ISNUMBER('Model_D2_m15'!V6),'Model_D2_m15'!V6,"")</x:f>
        <x:v>0.9449999999999998</x:v>
      </x:c>
      <x:c r="I58" s="16" t="n">
        <x:f>IF(ISNUMBER('Model_D2_m15'!W6),'Model_D2_m15'!W6,"")</x:f>
        <x:v>0.06749999999999999</x:v>
      </x:c>
      <x:c r="J58" s="16" t="n">
        <x:f>IF(ISNUMBER('Model_D2_m15'!X6),'Model_D2_m15'!X6,"")</x:f>
        <x:v>0.34124999999999994</x:v>
      </x:c>
      <x:c r="K58" s="16" t="n">
        <x:f>IF(ISNUMBER('Model_D2_m15'!Y6),'Model_D2_m15'!Y6,"")</x:f>
        <x:v>7.800000000000002</x:v>
      </x:c>
    </x:row>
    <x:row r="59">
      <x:c r="A59" s="36" t="n">
        <x:f>'Model_D1_m15'!A7</x:f>
        <x:v>6</x:v>
      </x:c>
      <x:c r="B59" s="16" t="n">
        <x:f>IF(ISNUMBER('Model_D1_m15'!V7),'Model_D1_m15'!V7,"")</x:f>
        <x:v>1.8899999999999997</x:v>
      </x:c>
      <x:c r="C59" s="16" t="n">
        <x:f>IF(ISNUMBER('Model_D1_m15'!W7),'Model_D1_m15'!W7,"")</x:f>
        <x:v>0.06749999999999999</x:v>
      </x:c>
      <x:c r="D59" s="16" t="n">
        <x:f>IF(ISNUMBER('Model_D1_m15'!X7),'Model_D1_m15'!X7,"")</x:f>
        <x:v>0.6483749999999999</x:v>
      </x:c>
      <x:c r="E59" s="16" t="str">
        <x:f>IF(ISNUMBER('Model_D1_m15'!Y7),'Model_D1_m15'!Y7,"")</x:f>
      </x:c>
      <x:c r="G59" s="36" t="n">
        <x:f>'Model_D2_m15'!A7</x:f>
        <x:v>6</x:v>
      </x:c>
      <x:c r="H59" s="16" t="n">
        <x:f>IF(ISNUMBER('Model_D2_m15'!V7),'Model_D2_m15'!V7,"")</x:f>
        <x:v>1.8899999999999997</x:v>
      </x:c>
      <x:c r="I59" s="16" t="n">
        <x:f>IF(ISNUMBER('Model_D2_m15'!W7),'Model_D2_m15'!W7,"")</x:f>
        <x:v>0.06749999999999999</x:v>
      </x:c>
      <x:c r="J59" s="16" t="n">
        <x:f>IF(ISNUMBER('Model_D2_m15'!X7),'Model_D2_m15'!X7,"")</x:f>
        <x:v>0.6483749999999999</x:v>
      </x:c>
      <x:c r="K59" s="16" t="str">
        <x:f>IF(ISNUMBER('Model_D2_m15'!Y7),'Model_D2_m15'!Y7,"")</x:f>
      </x:c>
    </x:row>
    <x:row r="60">
      <x:c r="A60" s="36" t="n">
        <x:f>'Model_D1_m15'!A8</x:f>
        <x:v>7</x:v>
      </x:c>
      <x:c r="B60" s="16" t="n">
        <x:f>IF(ISNUMBER('Model_D1_m15'!V8),'Model_D1_m15'!V8,"")</x:f>
        <x:v>1.8899999999999997</x:v>
      </x:c>
      <x:c r="C60" s="16" t="n">
        <x:f>IF(ISNUMBER('Model_D1_m15'!W8),'Model_D1_m15'!W8,"")</x:f>
        <x:v>0.06749999999999999</x:v>
      </x:c>
      <x:c r="D60" s="16" t="n">
        <x:f>IF(ISNUMBER('Model_D1_m15'!X8),'Model_D1_m15'!X8,"")</x:f>
        <x:v>0.6483749999999999</x:v>
      </x:c>
      <x:c r="E60" s="16" t="str">
        <x:f>IF(ISNUMBER('Model_D1_m15'!Y8),'Model_D1_m15'!Y8,"")</x:f>
      </x:c>
      <x:c r="G60" s="36" t="n">
        <x:f>'Model_D2_m15'!A8</x:f>
        <x:v>7</x:v>
      </x:c>
      <x:c r="H60" s="16" t="n">
        <x:f>IF(ISNUMBER('Model_D2_m15'!V8),'Model_D2_m15'!V8,"")</x:f>
        <x:v>1.8899999999999997</x:v>
      </x:c>
      <x:c r="I60" s="16" t="n">
        <x:f>IF(ISNUMBER('Model_D2_m15'!W8),'Model_D2_m15'!W8,"")</x:f>
        <x:v>0.06749999999999999</x:v>
      </x:c>
      <x:c r="J60" s="16" t="n">
        <x:f>IF(ISNUMBER('Model_D2_m15'!X8),'Model_D2_m15'!X8,"")</x:f>
        <x:v>0.6483749999999999</x:v>
      </x:c>
      <x:c r="K60" s="16" t="str">
        <x:f>IF(ISNUMBER('Model_D2_m15'!Y8),'Model_D2_m15'!Y8,"")</x:f>
      </x:c>
    </x:row>
    <x:row r="61">
      <x:c r="A61" s="36" t="n">
        <x:f>'Model_D1_m15'!A9</x:f>
        <x:v>8</x:v>
      </x:c>
      <x:c r="B61" s="16" t="n">
        <x:f>IF(ISNUMBER('Model_D1_m15'!V9),'Model_D1_m15'!V9,"")</x:f>
        <x:v>1.8899999999999997</x:v>
      </x:c>
      <x:c r="C61" s="16" t="n">
        <x:f>IF(ISNUMBER('Model_D1_m15'!W9),'Model_D1_m15'!W9,"")</x:f>
        <x:v>0.06749999999999999</x:v>
      </x:c>
      <x:c r="D61" s="16" t="n">
        <x:f>IF(ISNUMBER('Model_D1_m15'!X9),'Model_D1_m15'!X9,"")</x:f>
        <x:v>0.6483749999999999</x:v>
      </x:c>
      <x:c r="E61" s="16" t="str">
        <x:f>IF(ISNUMBER('Model_D1_m15'!Y9),'Model_D1_m15'!Y9,"")</x:f>
      </x:c>
      <x:c r="G61" s="36" t="n">
        <x:f>'Model_D2_m15'!A9</x:f>
        <x:v>8</x:v>
      </x:c>
      <x:c r="H61" s="16" t="n">
        <x:f>IF(ISNUMBER('Model_D2_m15'!V9),'Model_D2_m15'!V9,"")</x:f>
        <x:v>1.8899999999999997</x:v>
      </x:c>
      <x:c r="I61" s="16" t="n">
        <x:f>IF(ISNUMBER('Model_D2_m15'!W9),'Model_D2_m15'!W9,"")</x:f>
        <x:v>0.06749999999999999</x:v>
      </x:c>
      <x:c r="J61" s="16" t="n">
        <x:f>IF(ISNUMBER('Model_D2_m15'!X9),'Model_D2_m15'!X9,"")</x:f>
        <x:v>0.6483749999999999</x:v>
      </x:c>
      <x:c r="K61" s="16" t="str">
        <x:f>IF(ISNUMBER('Model_D2_m15'!Y9),'Model_D2_m15'!Y9,"")</x:f>
      </x:c>
    </x:row>
    <x:row r="62">
      <x:c r="A62" s="36" t="n">
        <x:f>'Model_D1_m15'!A10</x:f>
        <x:v>9</x:v>
      </x:c>
      <x:c r="B62" s="16" t="n">
        <x:f>IF(ISNUMBER('Model_D1_m15'!V10),'Model_D1_m15'!V10,"")</x:f>
        <x:v>1.8899999999999997</x:v>
      </x:c>
      <x:c r="C62" s="16" t="n">
        <x:f>IF(ISNUMBER('Model_D1_m15'!W10),'Model_D1_m15'!W10,"")</x:f>
        <x:v>0.06749999999999999</x:v>
      </x:c>
      <x:c r="D62" s="16" t="n">
        <x:f>IF(ISNUMBER('Model_D1_m15'!X10),'Model_D1_m15'!X10,"")</x:f>
        <x:v>0.6483749999999999</x:v>
      </x:c>
      <x:c r="E62" s="16" t="str">
        <x:f>IF(ISNUMBER('Model_D1_m15'!Y10),'Model_D1_m15'!Y10,"")</x:f>
      </x:c>
      <x:c r="G62" s="36" t="n">
        <x:f>'Model_D2_m15'!A10</x:f>
        <x:v>9</x:v>
      </x:c>
      <x:c r="H62" s="16" t="n">
        <x:f>IF(ISNUMBER('Model_D2_m15'!V10),'Model_D2_m15'!V10,"")</x:f>
        <x:v>1.8899999999999997</x:v>
      </x:c>
      <x:c r="I62" s="16" t="n">
        <x:f>IF(ISNUMBER('Model_D2_m15'!W10),'Model_D2_m15'!W10,"")</x:f>
        <x:v>0.06749999999999999</x:v>
      </x:c>
      <x:c r="J62" s="16" t="n">
        <x:f>IF(ISNUMBER('Model_D2_m15'!X10),'Model_D2_m15'!X10,"")</x:f>
        <x:v>0.6483749999999999</x:v>
      </x:c>
      <x:c r="K62" s="16" t="str">
        <x:f>IF(ISNUMBER('Model_D2_m15'!Y10),'Model_D2_m15'!Y10,"")</x:f>
      </x:c>
    </x:row>
    <x:row r="63">
      <x:c r="A63" s="36" t="n">
        <x:f>'Model_D1_m15'!A11</x:f>
        <x:v>10</x:v>
      </x:c>
      <x:c r="B63" s="16" t="n">
        <x:f>IF(ISNUMBER('Model_D1_m15'!V11),'Model_D1_m15'!V11,"")</x:f>
        <x:v>1.8899999999999997</x:v>
      </x:c>
      <x:c r="C63" s="16" t="n">
        <x:f>IF(ISNUMBER('Model_D1_m15'!W11),'Model_D1_m15'!W11,"")</x:f>
        <x:v>0.06749999999999999</x:v>
      </x:c>
      <x:c r="D63" s="16" t="n">
        <x:f>IF(ISNUMBER('Model_D1_m15'!X11),'Model_D1_m15'!X11,"")</x:f>
        <x:v>0.6483749999999999</x:v>
      </x:c>
      <x:c r="E63" s="16" t="str">
        <x:f>IF(ISNUMBER('Model_D1_m15'!Y11),'Model_D1_m15'!Y11,"")</x:f>
      </x:c>
      <x:c r="G63" s="36" t="n">
        <x:f>'Model_D2_m15'!A11</x:f>
        <x:v>10</x:v>
      </x:c>
      <x:c r="H63" s="16" t="n">
        <x:f>IF(ISNUMBER('Model_D2_m15'!V11),'Model_D2_m15'!V11,"")</x:f>
        <x:v>1.8899999999999997</x:v>
      </x:c>
      <x:c r="I63" s="16" t="n">
        <x:f>IF(ISNUMBER('Model_D2_m15'!W11),'Model_D2_m15'!W11,"")</x:f>
        <x:v>0.06749999999999999</x:v>
      </x:c>
      <x:c r="J63" s="16" t="n">
        <x:f>IF(ISNUMBER('Model_D2_m15'!X11),'Model_D2_m15'!X11,"")</x:f>
        <x:v>0.6483749999999999</x:v>
      </x:c>
      <x:c r="K63" s="16" t="str">
        <x:f>IF(ISNUMBER('Model_D2_m15'!Y11),'Model_D2_m15'!Y11,"")</x:f>
      </x:c>
    </x:row>
    <x:row r="64">
      <x:c r="A64" s="36" t="n">
        <x:f>'Model_D1_m15'!A12</x:f>
        <x:v>11</x:v>
      </x:c>
      <x:c r="B64" s="16" t="n">
        <x:f>IF(ISNUMBER('Model_D1_m15'!V12),'Model_D1_m15'!V12,"")</x:f>
        <x:v>1.8899999999999997</x:v>
      </x:c>
      <x:c r="C64" s="16" t="n">
        <x:f>IF(ISNUMBER('Model_D1_m15'!W12),'Model_D1_m15'!W12,"")</x:f>
        <x:v>0.06749999999999999</x:v>
      </x:c>
      <x:c r="D64" s="16" t="n">
        <x:f>IF(ISNUMBER('Model_D1_m15'!X12),'Model_D1_m15'!X12,"")</x:f>
        <x:v>0.6483749999999999</x:v>
      </x:c>
      <x:c r="E64" s="16" t="str">
        <x:f>IF(ISNUMBER('Model_D1_m15'!Y12),'Model_D1_m15'!Y12,"")</x:f>
      </x:c>
      <x:c r="G64" s="36" t="n">
        <x:f>'Model_D2_m15'!A12</x:f>
        <x:v>11</x:v>
      </x:c>
      <x:c r="H64" s="16" t="n">
        <x:f>IF(ISNUMBER('Model_D2_m15'!V12),'Model_D2_m15'!V12,"")</x:f>
        <x:v>1.8899999999999997</x:v>
      </x:c>
      <x:c r="I64" s="16" t="n">
        <x:f>IF(ISNUMBER('Model_D2_m15'!W12),'Model_D2_m15'!W12,"")</x:f>
        <x:v>0.06749999999999999</x:v>
      </x:c>
      <x:c r="J64" s="16" t="n">
        <x:f>IF(ISNUMBER('Model_D2_m15'!X12),'Model_D2_m15'!X12,"")</x:f>
        <x:v>0.6483749999999999</x:v>
      </x:c>
      <x:c r="K64" s="16" t="str">
        <x:f>IF(ISNUMBER('Model_D2_m15'!Y12),'Model_D2_m15'!Y12,"")</x:f>
      </x:c>
    </x:row>
    <x:row r="65">
      <x:c r="A65" s="36" t="n">
        <x:f>'Model_D1_m15'!A13</x:f>
        <x:v>12</x:v>
      </x:c>
      <x:c r="B65" s="16" t="n">
        <x:f>IF(ISNUMBER('Model_D1_m15'!V13),'Model_D1_m15'!V13,"")</x:f>
        <x:v>1.8899999999999997</x:v>
      </x:c>
      <x:c r="C65" s="16" t="n">
        <x:f>IF(ISNUMBER('Model_D1_m15'!W13),'Model_D1_m15'!W13,"")</x:f>
        <x:v>0.06749999999999999</x:v>
      </x:c>
      <x:c r="D65" s="16" t="n">
        <x:f>IF(ISNUMBER('Model_D1_m15'!X13),'Model_D1_m15'!X13,"")</x:f>
        <x:v>0.6483749999999999</x:v>
      </x:c>
      <x:c r="E65" s="16" t="str">
        <x:f>IF(ISNUMBER('Model_D1_m15'!Y13),'Model_D1_m15'!Y13,"")</x:f>
      </x:c>
      <x:c r="G65" s="36" t="n">
        <x:f>'Model_D2_m15'!A13</x:f>
        <x:v>12</x:v>
      </x:c>
      <x:c r="H65" s="16" t="n">
        <x:f>IF(ISNUMBER('Model_D2_m15'!V13),'Model_D2_m15'!V13,"")</x:f>
        <x:v>1.8899999999999997</x:v>
      </x:c>
      <x:c r="I65" s="16" t="n">
        <x:f>IF(ISNUMBER('Model_D2_m15'!W13),'Model_D2_m15'!W13,"")</x:f>
        <x:v>0.06749999999999999</x:v>
      </x:c>
      <x:c r="J65" s="16" t="n">
        <x:f>IF(ISNUMBER('Model_D2_m15'!X13),'Model_D2_m15'!X13,"")</x:f>
        <x:v>0.6483749999999999</x:v>
      </x:c>
      <x:c r="K65" s="16" t="str">
        <x:f>IF(ISNUMBER('Model_D2_m15'!Y13),'Model_D2_m15'!Y13,"")</x:f>
      </x:c>
    </x:row>
    <x:row r="66">
      <x:c r="A66" s="36" t="n">
        <x:f>'Model_D1_m15'!A14</x:f>
        <x:v>13</x:v>
      </x:c>
      <x:c r="B66" s="16" t="n">
        <x:f>IF(ISNUMBER('Model_D1_m15'!V14),'Model_D1_m15'!V14,"")</x:f>
        <x:v>1.8899999999999997</x:v>
      </x:c>
      <x:c r="C66" s="16" t="n">
        <x:f>IF(ISNUMBER('Model_D1_m15'!W14),'Model_D1_m15'!W14,"")</x:f>
        <x:v>0.06749999999999999</x:v>
      </x:c>
      <x:c r="D66" s="16" t="n">
        <x:f>IF(ISNUMBER('Model_D1_m15'!X14),'Model_D1_m15'!X14,"")</x:f>
        <x:v>0.6483749999999999</x:v>
      </x:c>
      <x:c r="E66" s="16" t="str">
        <x:f>IF(ISNUMBER('Model_D1_m15'!Y14),'Model_D1_m15'!Y14,"")</x:f>
      </x:c>
      <x:c r="G66" s="36" t="n">
        <x:f>'Model_D2_m15'!A14</x:f>
        <x:v>13</x:v>
      </x:c>
      <x:c r="H66" s="16" t="n">
        <x:f>IF(ISNUMBER('Model_D2_m15'!V14),'Model_D2_m15'!V14,"")</x:f>
        <x:v>1.8899999999999997</x:v>
      </x:c>
      <x:c r="I66" s="16" t="n">
        <x:f>IF(ISNUMBER('Model_D2_m15'!W14),'Model_D2_m15'!W14,"")</x:f>
        <x:v>0.06749999999999999</x:v>
      </x:c>
      <x:c r="J66" s="16" t="n">
        <x:f>IF(ISNUMBER('Model_D2_m15'!X14),'Model_D2_m15'!X14,"")</x:f>
        <x:v>0.6483749999999999</x:v>
      </x:c>
      <x:c r="K66" s="16" t="str">
        <x:f>IF(ISNUMBER('Model_D2_m15'!Y14),'Model_D2_m15'!Y14,"")</x:f>
      </x:c>
    </x:row>
    <x:row r="67">
      <x:c r="A67" s="36" t="n">
        <x:f>'Model_D1_m15'!A15</x:f>
        <x:v>14</x:v>
      </x:c>
      <x:c r="B67" s="16" t="n">
        <x:f>IF(ISNUMBER('Model_D1_m15'!V15),'Model_D1_m15'!V15,"")</x:f>
        <x:v>1.8899999999999997</x:v>
      </x:c>
      <x:c r="C67" s="16" t="n">
        <x:f>IF(ISNUMBER('Model_D1_m15'!W15),'Model_D1_m15'!W15,"")</x:f>
        <x:v>0.06749999999999999</x:v>
      </x:c>
      <x:c r="D67" s="16" t="n">
        <x:f>IF(ISNUMBER('Model_D1_m15'!X15),'Model_D1_m15'!X15,"")</x:f>
        <x:v>0.6483749999999999</x:v>
      </x:c>
      <x:c r="E67" s="16" t="str">
        <x:f>IF(ISNUMBER('Model_D1_m15'!Y15),'Model_D1_m15'!Y15,"")</x:f>
      </x:c>
      <x:c r="G67" s="36" t="n">
        <x:f>'Model_D2_m15'!A15</x:f>
        <x:v>14</x:v>
      </x:c>
      <x:c r="H67" s="16" t="n">
        <x:f>IF(ISNUMBER('Model_D2_m15'!V15),'Model_D2_m15'!V15,"")</x:f>
        <x:v>1.8899999999999997</x:v>
      </x:c>
      <x:c r="I67" s="16" t="n">
        <x:f>IF(ISNUMBER('Model_D2_m15'!W15),'Model_D2_m15'!W15,"")</x:f>
        <x:v>0.06749999999999999</x:v>
      </x:c>
      <x:c r="J67" s="16" t="n">
        <x:f>IF(ISNUMBER('Model_D2_m15'!X15),'Model_D2_m15'!X15,"")</x:f>
        <x:v>0.6483749999999999</x:v>
      </x:c>
      <x:c r="K67" s="16" t="str">
        <x:f>IF(ISNUMBER('Model_D2_m15'!Y15),'Model_D2_m15'!Y15,"")</x:f>
      </x:c>
    </x:row>
    <x:row r="68">
      <x:c r="A68" s="36" t="n">
        <x:f>'Model_D1_m15'!A16</x:f>
        <x:v>15</x:v>
      </x:c>
      <x:c r="B68" s="16" t="n">
        <x:f>IF(ISNUMBER('Model_D1_m15'!V16),'Model_D1_m15'!V16,"")</x:f>
        <x:v>1.8899999999999997</x:v>
      </x:c>
      <x:c r="C68" s="16" t="n">
        <x:f>IF(ISNUMBER('Model_D1_m15'!W16),'Model_D1_m15'!W16,"")</x:f>
        <x:v>0.06749999999999999</x:v>
      </x:c>
      <x:c r="D68" s="16" t="n">
        <x:f>IF(ISNUMBER('Model_D1_m15'!X16),'Model_D1_m15'!X16,"")</x:f>
        <x:v>0.6483749999999999</x:v>
      </x:c>
      <x:c r="E68" s="16" t="str">
        <x:f>IF(ISNUMBER('Model_D1_m15'!Y16),'Model_D1_m15'!Y16,"")</x:f>
      </x:c>
      <x:c r="G68" s="36" t="n">
        <x:f>'Model_D2_m15'!A16</x:f>
        <x:v>15</x:v>
      </x:c>
      <x:c r="H68" s="16" t="n">
        <x:f>IF(ISNUMBER('Model_D2_m15'!V16),'Model_D2_m15'!V16,"")</x:f>
        <x:v>1.8899999999999997</x:v>
      </x:c>
      <x:c r="I68" s="16" t="n">
        <x:f>IF(ISNUMBER('Model_D2_m15'!W16),'Model_D2_m15'!W16,"")</x:f>
        <x:v>0.06749999999999999</x:v>
      </x:c>
      <x:c r="J68" s="16" t="n">
        <x:f>IF(ISNUMBER('Model_D2_m15'!X16),'Model_D2_m15'!X16,"")</x:f>
        <x:v>0.6483749999999999</x:v>
      </x:c>
      <x:c r="K68" s="16" t="str">
        <x:f>IF(ISNUMBER('Model_D2_m15'!Y16),'Model_D2_m15'!Y16,"")</x:f>
      </x:c>
    </x:row>
    <x:row r="71">
      <x:c r="A71" s="12" t="str">
        <x:v>Notes</x:v>
      </x:c>
      <x:c r="B71" t="str"/>
      <x:c r="C71" t="str"/>
      <x:c r="D71" t="str"/>
      <x:c r="E71" t="str"/>
      <x:c r="F71" t="str"/>
      <x:c r="G71" t="str"/>
      <x:c r="H71" t="str"/>
      <x:c r="I71" t="str"/>
      <x:c r="J71" t="str"/>
      <x:c r="K71" t="str"/>
    </x:row>
    <x:row r="72">
      <x:c r="A72" s="62" t="str">
        <x:v>Variable m/player-count averaging removed. All probabilities use fixed opportunity m=15 from Inputs!B5.</x:v>
      </x:c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t="str"/>
    </x:row>
    <x:row r="73">
      <x:c r="A73" s="62" t="str">
        <x:v>Transfiguration is optional to cast; its utility term models net exchange friction/cost and a separate role incentive, not mandatory-cast friction.</x:v>
      </x:c>
      <x:c r="B73" t="str"/>
      <x:c r="C73" t="str"/>
      <x:c r="D73" t="str"/>
      <x:c r="E73" t="str"/>
      <x:c r="F73" t="str"/>
      <x:c r="G73" t="str"/>
      <x:c r="H73" t="str"/>
      <x:c r="I73" t="str"/>
      <x:c r="J73" t="str"/>
      <x:c r="K73" t="str"/>
    </x:row>
    <x:row r="74">
      <x:c r="A74" s="62" t="str">
        <x:v>Adjusted score = MAX(0, adjusted difficulty × score scale). No integer rounding is applied.</x:v>
      </x:c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</x:row>
    <x:row r="75">
      <x:c r="A75" s="62" t="str">
        <x:v>15-card PT is forced equal to 15-card Conjuration when Inputs!B27 is TRUE.</x:v>
      </x:c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t="str"/>
    </x:row>
    <x:row r="76">
      <x:c r="A76" s="62" t="str">
        <x:v>Change the utility assumptions on Inputs to see how the final tables respond.</x:v>
      </x:c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t="str"/>
    </x:row>
  </x:sheetData>
  <x:mergeCells>
    <x:mergeCell ref="A1:I1"/>
    <x:mergeCell ref="A3:E3"/>
    <x:mergeCell ref="A20:E20"/>
    <x:mergeCell ref="A37:E37"/>
    <x:mergeCell ref="A54:E54"/>
    <x:mergeCell ref="A1:K1"/>
    <x:mergeCell ref="G3:K3"/>
    <x:mergeCell ref="G20:K20"/>
    <x:mergeCell ref="G37:K37"/>
    <x:mergeCell ref="G54:K54"/>
    <x:mergeCell ref="A71:K71"/>
    <x:mergeCell ref="A72:K72"/>
    <x:mergeCell ref="A73:K73"/>
    <x:mergeCell ref="A74:K74"/>
    <x:mergeCell ref="A75:K75"/>
    <x:mergeCell ref="A76:K7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8" t="str">
        <x:v>ReadMe — what changed in this version</x:v>
      </x:c>
      <x:c r="B1" t="str"/>
      <x:c r="C1" t="str"/>
      <x:c r="D1" t="str"/>
      <x:c r="E1" t="str"/>
      <x:c r="F1" t="str"/>
    </x:row>
    <x:row r="3">
      <x:c r="A3" s="12" t="str">
        <x:v>Item</x:v>
      </x:c>
      <x:c r="B3" s="12" t="str">
        <x:v>Explanation</x:v>
      </x:c>
    </x:row>
    <x:row r="4">
      <x:c r="A4" s="14" t="str">
        <x:v>Fixed opportunity only</x:v>
      </x:c>
      <x:c r="B4" s="20" t="str">
        <x:v>Variable m/player-count averaging has been removed. The model uses fixed opportunity m=15 for both Deck 1 and Deck 2.</x:v>
      </x:c>
    </x:row>
    <x:row r="5">
      <x:c r="A5" s="14" t="str">
        <x:v>Probability layer</x:v>
      </x:c>
      <x:c r="B5" s="20" t="str">
        <x:v>Fixed-opportunity probability estimates the chance that at least one valid spell pattern appears inside a 15-card opportunity window.</x:v>
      </x:c>
    </x:row>
    <x:row r="6">
      <x:c r="A6" s="14" t="str">
        <x:v>Marginal layer</x:v>
      </x:c>
      <x:c r="B6" s="20" t="str">
        <x:v>Marginal build difficulty starts from the size-3 raw difficulty and adds conditional extension difficulty for each size increase.</x:v>
      </x:c>
    </x:row>
    <x:row r="7">
      <x:c r="A7" s="14" t="str">
        <x:v>Baseline</x:v>
      </x:c>
      <x:c r="B7" s="20" t="str">
        <x:v>Baseline difficulty = alpha × fixed-opportunity difficulty + (1-alpha) × marginal-build difficulty.</x:v>
      </x:c>
    </x:row>
    <x:row r="8">
      <x:c r="A8" s="14" t="str">
        <x:v>Utility layer</x:v>
      </x:c>
      <x:c r="B8" s="20" t="str">
        <x:v>Adjusted difficulty = baseline difficulty - lambda × utility value + mu × role incentive.</x:v>
      </x:c>
    </x:row>
    <x:row r="9">
      <x:c r="A9" s="14" t="str">
        <x:v>Transfiguration correction</x:v>
      </x:c>
      <x:c r="B9" s="20" t="str">
        <x:v>Transfiguration is optional to cast. The model treats T as having exchange friction/cost and a separate role incentive to encourage play, not as mandatory-cast friction.</x:v>
      </x:c>
    </x:row>
    <x:row r="10">
      <x:c r="A10" s="14" t="str">
        <x:v>Enchantment ladder</x:v>
      </x:c>
      <x:c r="B10" s="20" t="str">
        <x:v>Unlimited Capacity is removed. Defaults are +1 / +3 / +5 capacity for 3E / 4E / 5E, editable on Inputs.</x:v>
      </x:c>
    </x:row>
    <x:row r="11">
      <x:c r="A11" s="14" t="str">
        <x:v>15C = 15PT</x:v>
      </x:c>
      <x:c r="B11" s="20" t="str">
        <x:v>The final adjusted 15PT value is forced equal to 15C by default, because the final object is the same full 1–15 same-energy spell.</x:v>
      </x:c>
    </x:row>
    <x:row r="12">
      <x:c r="A12" s="14" t="str">
        <x:v>Final tables</x:v>
      </x:c>
      <x:c r="B12" s="20" t="str">
        <x:v>Use Final_Tables for the final unrounded score tables and adjusted difficulty comparisons.</x:v>
      </x:c>
    </x:row>
    <x:row r="13">
      <x:c r="A13" s="14" t="str">
        <x:v>No rounding</x:v>
      </x:c>
      <x:c r="B13" s="20" t="str">
        <x:v>The workbook applies no integer rounding. Adjusted scores are decimals.</x:v>
      </x:c>
    </x:row>
    <x:row r="14">
      <x:c r="A14" s="14"/>
      <x:c r="B14" s="20"/>
    </x:row>
  </x:sheetData>
  <x:mergeCells>
    <x:mergeCell ref="A1:F1"/>
  </x:mergeCells>
  <x:pageMargins left="0.7" right="0.7" top="0.75" bottom="0.75" header="0.3" footer="0.3"/>
</x:worksheet>
</file>