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44b4344d0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d68385ea19444253"/>
    <x:sheet xmlns:r="http://schemas.openxmlformats.org/officeDocument/2006/relationships" name="Final_Tables" sheetId="2" r:id="R61565dd794584e8b"/>
    <x:sheet xmlns:r="http://schemas.openxmlformats.org/officeDocument/2006/relationships" name="Model_D1_m15" sheetId="3" r:id="Rf2ec7d04ffd840c3"/>
    <x:sheet xmlns:r="http://schemas.openxmlformats.org/officeDocument/2006/relationships" name="Model_D2_m15" sheetId="4" r:id="R34a67a987ea84713"/>
    <x:sheet xmlns:r="http://schemas.openxmlformats.org/officeDocument/2006/relationships" name="Computed_Values" sheetId="5" r:id="Rc38df1af28ae4296"/>
    <x:sheet xmlns:r="http://schemas.openxmlformats.org/officeDocument/2006/relationships" name="ReadMe" sheetId="6" r:id="R0d70a9be306642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000"/>
    <x:numFmt numFmtId="202" formatCode="0"/>
    <x:numFmt numFmtId="203" formatCode="0.0000"/>
  </x:numFmts>
  <x:fonts count="10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4B5563"/>
      <x:name val="Carlito"/>
    </x:font>
    <x:font>
      <x:b/>
      <x:sz val="11"/>
      <x:color rgb="FFFFFFFF"/>
      <x:name val="Calibri"/>
    </x:font>
    <x:font>
      <x:sz val="11"/>
      <x:name val="Calibri"/>
    </x:font>
    <x:font>
      <x:i/>
      <x:sz val="11"/>
      <x:color rgb="FF4B5563"/>
      <x:name val="Calibri"/>
    </x:font>
    <x:font>
      <x:b/>
      <x:sz val="11"/>
      <x:name val="Calibri"/>
    </x:font>
    <x:font>
      <x:b/>
      <x:sz val="13"/>
      <x:color rgb="FFFFFF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F9FAFB"/>
      </x:patternFill>
    </x:fill>
    <x:fill>
      <x:patternFill patternType="solid">
        <x:fgColor rgb="FFE5E7EB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3E8FF"/>
      </x:patternFill>
    </x:fill>
    <x:fill>
      <x:patternFill patternType="solid">
        <x:fgColor rgb="FFFEF3C7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 applyAlignment="1">
      <x:alignment horizontal="left"/>
    </x:xf>
    <x:xf numFmtId="200" fontId="0" fillId="0" borderId="1" xfId="0" applyNumberFormat="1" applyFont="1" applyFill="1" applyBorder="1"/>
    <x:xf numFmtId="200" fontId="2" fillId="3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1" xfId="0" applyNumberFormat="1" applyFont="1" applyFill="1" applyBorder="1"/>
    <x:xf numFmtId="0" fontId="0" fillId="4" borderId="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wrapText="1"/>
    </x:xf>
    <x:xf numFmtId="0" fontId="6" fillId="0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200" fontId="6" fillId="0" borderId="0" xfId="0" applyNumberFormat="1" applyFont="1" applyFill="1" applyBorder="1"/>
    <x:xf numFmtId="200" fontId="5" fillId="3" borderId="0" xfId="0" applyNumberFormat="1" applyFont="1" applyFill="1" applyBorder="1" applyAlignment="1">
      <x:alignment horizontal="left"/>
    </x:xf>
    <x:xf numFmtId="0" fontId="5" fillId="2" borderId="1" xfId="0" applyNumberFormat="1" applyFont="1" applyFill="1" applyBorder="1" applyAlignment="1">
      <x:alignment horizontal="left"/>
    </x:xf>
    <x:xf numFmtId="0" fontId="5" fillId="2" borderId="1" xfId="0" applyNumberFormat="1" applyFont="1" applyFill="1" applyBorder="1" applyAlignment="1">
      <x:alignment horizontal="left" wrapText="1"/>
    </x:xf>
    <x:xf numFmtId="0" fontId="6" fillId="0" borderId="1" xfId="0" applyNumberFormat="1" applyFont="1" applyFill="1" applyBorder="1"/>
    <x:xf numFmtId="0" fontId="5" fillId="3" borderId="1" xfId="0" applyNumberFormat="1" applyFont="1" applyFill="1" applyBorder="1" applyAlignment="1">
      <x:alignment horizontal="left"/>
    </x:xf>
    <x:xf numFmtId="200" fontId="6" fillId="0" borderId="1" xfId="0" applyNumberFormat="1" applyFont="1" applyFill="1" applyBorder="1"/>
    <x:xf numFmtId="200" fontId="5" fillId="3" borderId="1" xfId="0" applyNumberFormat="1" applyFont="1" applyFill="1" applyBorder="1" applyAlignment="1">
      <x:alignment horizontal="left"/>
    </x:xf>
    <x:xf numFmtId="0" fontId="7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202" fontId="6" fillId="0" borderId="1" xfId="0" applyNumberFormat="1" applyFont="1" applyFill="1" applyBorder="1"/>
    <x:xf numFmtId="203" fontId="6" fillId="0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201" fontId="6" fillId="0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3" xfId="0" applyNumberFormat="1" applyFont="1" applyFill="1" applyBorder="1"/>
    <x:xf numFmtId="0" fontId="8" fillId="6" borderId="1" xfId="0" applyNumberFormat="1" applyFont="1" applyFill="1" applyBorder="1" applyAlignment="1">
      <x:alignment horizontal="center" vertic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8" fillId="9" borderId="1" xfId="0" applyNumberFormat="1" applyFont="1" applyFill="1" applyBorder="1" applyAlignment="1">
      <x:alignment horizontal="center" vertical="center" wrapText="1"/>
    </x:xf>
    <x:xf numFmtId="201" fontId="6" fillId="0" borderId="1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 applyAlignment="1">
      <x:alignment horizontal="left" wrapText="1"/>
    </x:xf>
    <x:xf numFmtId="0" fontId="9" fillId="2" borderId="1" xfId="0" applyNumberFormat="1" applyFont="1" applyFill="1" applyBorder="1" applyAlignment="1">
      <x:alignment horizontal="left"/>
    </x:xf>
    <x:xf numFmtId="0" fontId="9" fillId="2" borderId="1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4e4791ec034a13" /><Relationship Type="http://schemas.openxmlformats.org/officeDocument/2006/relationships/theme" Target="/xl/theme/theme1.xml" Id="R0c13c120484348c9" /><Relationship Type="http://schemas.openxmlformats.org/officeDocument/2006/relationships/sharedStrings" Target="/xl/sharedStrings.xml" Id="R2d76a0c157974870" /><Relationship Type="http://schemas.openxmlformats.org/officeDocument/2006/relationships/worksheet" Target="/xl/worksheets/sheet1.xml" Id="Rd68385ea19444253" /><Relationship Type="http://schemas.openxmlformats.org/officeDocument/2006/relationships/worksheet" Target="/xl/worksheets/sheet2.xml" Id="R61565dd794584e8b" /><Relationship Type="http://schemas.openxmlformats.org/officeDocument/2006/relationships/worksheet" Target="/xl/worksheets/sheet3.xml" Id="Rf2ec7d04ffd840c3" /><Relationship Type="http://schemas.openxmlformats.org/officeDocument/2006/relationships/worksheet" Target="/xl/worksheets/sheet4.xml" Id="R34a67a987ea84713" /><Relationship Type="http://schemas.openxmlformats.org/officeDocument/2006/relationships/worksheet" Target="/xl/worksheets/sheet5.xml" Id="Rc38df1af28ae4296" /><Relationship Type="http://schemas.openxmlformats.org/officeDocument/2006/relationships/worksheet" Target="/xl/worksheets/sheet6.xml" Id="R0d70a9be306642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22" hidden="0" customWidth="1"/>
    <x:col min="4" max="4" width="78" hidden="0" customWidth="1"/>
  </x:cols>
  <x:sheetData>
    <x:row r="1">
      <x:c r="A1" s="86" t="str">
        <x:v>Archmage scoring model — fixed m=15 + utility layer</x:v>
      </x:c>
      <x:c r="B1" s="86" t="str"/>
      <x:c r="C1" s="86" t="str"/>
      <x:c r="D1" s="87" t="str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  <x:c r="AA1" s="54"/>
      <x:c r="AB1" s="54"/>
      <x:c r="AC1" s="54"/>
      <x:c r="AD1" s="54"/>
      <x:c r="AE1" s="54"/>
      <x:c r="AF1" s="54"/>
      <x:c r="AG1" s="54"/>
      <x:c r="AH1" s="54"/>
      <x:c r="AI1" s="54"/>
      <x:c r="AJ1" s="54"/>
      <x:c r="AK1" s="54"/>
      <x:c r="AL1" s="54"/>
      <x:c r="AM1" s="54"/>
      <x:c r="AN1" s="54"/>
      <x:c r="AO1" s="54"/>
      <x:c r="AP1" s="54"/>
      <x:c r="AQ1" s="54"/>
      <x:c r="AR1" s="54"/>
      <x:c r="AS1" s="54"/>
      <x:c r="AT1" s="54"/>
      <x:c r="AU1" s="54"/>
      <x:c r="AV1" s="54"/>
      <x:c r="AW1" s="54"/>
    </x:row>
    <x:row r="2">
      <x:c r="A2" s="54" t="str"/>
      <x:c r="B2" s="54" t="str"/>
      <x:c r="C2" s="54" t="str"/>
      <x:c r="D2" s="54" t="str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  <x:c r="AA2" s="54"/>
      <x:c r="AB2" s="54"/>
      <x:c r="AC2" s="54"/>
      <x:c r="AD2" s="54"/>
      <x:c r="AE2" s="54"/>
      <x:c r="AF2" s="54"/>
      <x:c r="AG2" s="54"/>
      <x:c r="AH2" s="54"/>
      <x:c r="AI2" s="54"/>
      <x:c r="AJ2" s="54"/>
      <x:c r="AK2" s="54"/>
      <x:c r="AL2" s="54"/>
      <x:c r="AM2" s="54"/>
      <x:c r="AN2" s="54"/>
      <x:c r="AO2" s="54"/>
      <x:c r="AP2" s="54"/>
      <x:c r="AQ2" s="54"/>
      <x:c r="AR2" s="54"/>
      <x:c r="AS2" s="54"/>
      <x:c r="AT2" s="54"/>
      <x:c r="AU2" s="54"/>
      <x:c r="AV2" s="54"/>
      <x:c r="AW2" s="54"/>
    </x:row>
    <x:row r="3">
      <x:c r="A3" s="55" t="str">
        <x:v>Parameter</x:v>
      </x:c>
      <x:c r="B3" s="55" t="str">
        <x:v>Value</x:v>
      </x:c>
      <x:c r="C3" s="55" t="str">
        <x:v>Name</x:v>
      </x:c>
      <x:c r="D3" s="55" t="str">
        <x:v>Notes</x:v>
      </x:c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  <x:c r="AA3" s="54"/>
      <x:c r="AB3" s="54"/>
      <x:c r="AC3" s="54"/>
      <x:c r="AD3" s="54"/>
      <x:c r="AE3" s="54"/>
      <x:c r="AF3" s="54"/>
      <x:c r="AG3" s="54"/>
      <x:c r="AH3" s="54"/>
      <x:c r="AI3" s="54"/>
      <x:c r="AJ3" s="54"/>
      <x:c r="AK3" s="54"/>
      <x:c r="AL3" s="54"/>
      <x:c r="AM3" s="54"/>
      <x:c r="AN3" s="54"/>
      <x:c r="AO3" s="54"/>
      <x:c r="AP3" s="54"/>
      <x:c r="AQ3" s="54"/>
      <x:c r="AR3" s="54"/>
      <x:c r="AS3" s="54"/>
      <x:c r="AT3" s="54"/>
      <x:c r="AU3" s="54"/>
      <x:c r="AV3" s="54"/>
      <x:c r="AW3" s="54"/>
    </x:row>
    <x:row r="4">
      <x:c r="A4" s="54" t="str">
        <x:v>Ranks per energy</x:v>
      </x:c>
      <x:c r="B4" s="56" t="n">
        <x:v>15</x:v>
      </x:c>
      <x:c r="C4" s="54" t="str">
        <x:v>ranks</x:v>
      </x:c>
      <x:c r="D4" s="54" t="str">
        <x:v>Ranks 1–15.</x:v>
      </x:c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  <x:c r="AJ4" s="54"/>
      <x:c r="AK4" s="54"/>
      <x:c r="AL4" s="54"/>
      <x:c r="AM4" s="54"/>
      <x:c r="AN4" s="54"/>
      <x:c r="AO4" s="54"/>
      <x:c r="AP4" s="54"/>
      <x:c r="AQ4" s="54"/>
      <x:c r="AR4" s="54"/>
      <x:c r="AS4" s="54"/>
      <x:c r="AT4" s="54"/>
      <x:c r="AU4" s="54"/>
      <x:c r="AV4" s="54"/>
      <x:c r="AW4" s="54"/>
    </x:row>
    <x:row r="5">
      <x:c r="A5" s="54" t="str">
        <x:v>Fixed opportunity cards</x:v>
      </x:c>
      <x:c r="B5" s="56" t="n">
        <x:v>15</x:v>
      </x:c>
      <x:c r="C5" s="54" t="str">
        <x:v>m</x:v>
      </x:c>
      <x:c r="D5" s="54" t="str">
        <x:v>Single-table model. Variable m/count averaging removed.</x:v>
      </x:c>
      <x:c r="E5" s="54"/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  <x:c r="AA5" s="54"/>
      <x:c r="AB5" s="54"/>
      <x:c r="AC5" s="54"/>
      <x:c r="AD5" s="54"/>
      <x:c r="AE5" s="54"/>
      <x:c r="AF5" s="54"/>
      <x:c r="AG5" s="54"/>
      <x:c r="AH5" s="54"/>
      <x:c r="AI5" s="54"/>
      <x:c r="AJ5" s="54"/>
      <x:c r="AK5" s="54"/>
      <x:c r="AL5" s="54"/>
      <x:c r="AM5" s="54"/>
      <x:c r="AN5" s="54"/>
      <x:c r="AO5" s="54"/>
      <x:c r="AP5" s="54"/>
      <x:c r="AQ5" s="54"/>
      <x:c r="AR5" s="54"/>
      <x:c r="AS5" s="54"/>
      <x:c r="AT5" s="54"/>
      <x:c r="AU5" s="54"/>
      <x:c r="AV5" s="54"/>
      <x:c r="AW5" s="54"/>
    </x:row>
    <x:row r="6">
      <x:c r="A6" s="54" t="str"/>
      <x:c r="B6" s="56" t="str"/>
      <x:c r="C6" s="54" t="str"/>
      <x:c r="D6" s="54" t="str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54"/>
      <x:c r="AA6" s="54"/>
      <x:c r="AB6" s="54"/>
      <x:c r="AC6" s="54"/>
      <x:c r="AD6" s="54"/>
      <x:c r="AE6" s="54"/>
      <x:c r="AF6" s="54"/>
      <x:c r="AG6" s="54"/>
      <x:c r="AH6" s="54"/>
      <x:c r="AI6" s="54"/>
      <x:c r="AJ6" s="54"/>
      <x:c r="AK6" s="54"/>
      <x:c r="AL6" s="54"/>
      <x:c r="AM6" s="54"/>
      <x:c r="AN6" s="54"/>
      <x:c r="AO6" s="54"/>
      <x:c r="AP6" s="54"/>
      <x:c r="AQ6" s="54"/>
      <x:c r="AR6" s="54"/>
      <x:c r="AS6" s="54"/>
      <x:c r="AT6" s="54"/>
      <x:c r="AU6" s="54"/>
      <x:c r="AV6" s="54"/>
      <x:c r="AW6" s="54"/>
    </x:row>
    <x:row r="7">
      <x:c r="A7" s="54" t="str">
        <x:v>Alpha: raw baseline weight</x:v>
      </x:c>
      <x:c r="B7" s="56" t="n">
        <x:v>0.75</x:v>
      </x:c>
      <x:c r="C7" s="54" t="str">
        <x:v>alpha</x:v>
      </x:c>
      <x:c r="D7" s="54" t="str">
        <x:v>Baseline difficulty = alpha × fixed-opportunity difficulty + (1-alpha) × marginal-build difficulty.</x:v>
      </x:c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  <x:c r="AA7" s="54"/>
      <x:c r="AB7" s="54"/>
      <x:c r="AC7" s="54"/>
      <x:c r="AD7" s="54"/>
      <x:c r="AE7" s="54"/>
      <x:c r="AF7" s="54"/>
      <x:c r="AG7" s="54"/>
      <x:c r="AH7" s="54"/>
      <x:c r="AI7" s="54"/>
      <x:c r="AJ7" s="54"/>
      <x:c r="AK7" s="54"/>
      <x:c r="AL7" s="54"/>
      <x:c r="AM7" s="54"/>
      <x:c r="AN7" s="54"/>
      <x:c r="AO7" s="54"/>
      <x:c r="AP7" s="54"/>
      <x:c r="AQ7" s="54"/>
      <x:c r="AR7" s="54"/>
      <x:c r="AS7" s="54"/>
      <x:c r="AT7" s="54"/>
      <x:c r="AU7" s="54"/>
      <x:c r="AV7" s="54"/>
      <x:c r="AW7" s="54"/>
    </x:row>
    <x:row r="8">
      <x:c r="A8" s="54" t="str">
        <x:v>Lambda: utility weight</x:v>
      </x:c>
      <x:c r="B8" s="56" t="n">
        <x:v>0.5</x:v>
      </x:c>
      <x:c r="C8" s="54" t="str">
        <x:v>lambda</x:v>
      </x:c>
      <x:c r="D8" s="54" t="str">
        <x:v>Default 0.50 so utility adjusts rather than dominates. Increase to discount utility-heavy spells more.</x:v>
      </x:c>
      <x:c r="E8" s="54"/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  <x:c r="T8" s="54"/>
      <x:c r="U8" s="54"/>
      <x:c r="V8" s="54"/>
      <x:c r="W8" s="54"/>
      <x:c r="X8" s="54"/>
      <x:c r="Y8" s="54"/>
      <x:c r="Z8" s="54"/>
      <x:c r="AA8" s="54"/>
      <x:c r="AB8" s="54"/>
      <x:c r="AC8" s="54"/>
      <x:c r="AD8" s="54"/>
      <x:c r="AE8" s="54"/>
      <x:c r="AF8" s="54"/>
      <x:c r="AG8" s="54"/>
      <x:c r="AH8" s="54"/>
      <x:c r="AI8" s="54"/>
      <x:c r="AJ8" s="54"/>
      <x:c r="AK8" s="54"/>
      <x:c r="AL8" s="54"/>
      <x:c r="AM8" s="54"/>
      <x:c r="AN8" s="54"/>
      <x:c r="AO8" s="54"/>
      <x:c r="AP8" s="54"/>
      <x:c r="AQ8" s="54"/>
      <x:c r="AR8" s="54"/>
      <x:c r="AS8" s="54"/>
      <x:c r="AT8" s="54"/>
      <x:c r="AU8" s="54"/>
      <x:c r="AV8" s="54"/>
      <x:c r="AW8" s="54"/>
    </x:row>
    <x:row r="9">
      <x:c r="A9" s="54" t="str">
        <x:v>Mu: role-incentive weight</x:v>
      </x:c>
      <x:c r="B9" s="56" t="n">
        <x:v>1</x:v>
      </x:c>
      <x:c r="C9" s="54" t="str">
        <x:v>mu</x:v>
      </x:c>
      <x:c r="D9" s="54" t="str">
        <x:v>Higher mu increases deliberate role incentives.</x:v>
      </x:c>
      <x:c r="E9" s="54"/>
      <x:c r="F9" s="54"/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  <x:c r="T9" s="54"/>
      <x:c r="U9" s="54"/>
      <x:c r="V9" s="54"/>
      <x:c r="W9" s="54"/>
      <x:c r="X9" s="54"/>
      <x:c r="Y9" s="54"/>
      <x:c r="Z9" s="54"/>
      <x:c r="AA9" s="54"/>
      <x:c r="AB9" s="54"/>
      <x:c r="AC9" s="54"/>
      <x:c r="AD9" s="54"/>
      <x:c r="AE9" s="54"/>
      <x:c r="AF9" s="54"/>
      <x:c r="AG9" s="54"/>
      <x:c r="AH9" s="54"/>
      <x:c r="AI9" s="54"/>
      <x:c r="AJ9" s="54"/>
      <x:c r="AK9" s="54"/>
      <x:c r="AL9" s="54"/>
      <x:c r="AM9" s="54"/>
      <x:c r="AN9" s="54"/>
      <x:c r="AO9" s="54"/>
      <x:c r="AP9" s="54"/>
      <x:c r="AQ9" s="54"/>
      <x:c r="AR9" s="54"/>
      <x:c r="AS9" s="54"/>
      <x:c r="AT9" s="54"/>
      <x:c r="AU9" s="54"/>
      <x:c r="AV9" s="54"/>
      <x:c r="AW9" s="54"/>
    </x:row>
    <x:row r="10">
      <x:c r="A10" s="54" t="str">
        <x:v>Score scale</x:v>
      </x:c>
      <x:c r="B10" s="56" t="n">
        <x:v>2</x:v>
      </x:c>
      <x:c r="C10" s="54" t="str">
        <x:v>score_scale</x:v>
      </x:c>
      <x:c r="D10" s="54" t="str">
        <x:v>Adjusted unrounded score = adjusted difficulty × this scale.</x:v>
      </x:c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  <x:c r="AA10" s="54"/>
      <x:c r="AB10" s="54"/>
      <x:c r="AC10" s="54"/>
      <x:c r="AD10" s="54"/>
      <x:c r="AE10" s="54"/>
      <x:c r="AF10" s="54"/>
      <x:c r="AG10" s="54"/>
      <x:c r="AH10" s="54"/>
      <x:c r="AI10" s="54"/>
      <x:c r="AJ10" s="54"/>
      <x:c r="AK10" s="54"/>
      <x:c r="AL10" s="54"/>
      <x:c r="AM10" s="54"/>
      <x:c r="AN10" s="54"/>
      <x:c r="AO10" s="54"/>
      <x:c r="AP10" s="54"/>
      <x:c r="AQ10" s="54"/>
      <x:c r="AR10" s="54"/>
      <x:c r="AS10" s="54"/>
      <x:c r="AT10" s="54"/>
      <x:c r="AU10" s="54"/>
      <x:c r="AV10" s="54"/>
      <x:c r="AW10" s="54"/>
    </x:row>
    <x:row r="11">
      <x:c r="A11" s="54" t="str"/>
      <x:c r="B11" s="56" t="str"/>
      <x:c r="C11" s="54" t="str"/>
      <x:c r="D11" s="54" t="str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  <x:c r="Z11" s="54"/>
      <x:c r="AA11" s="54"/>
      <x:c r="AB11" s="54"/>
      <x:c r="AC11" s="54"/>
      <x:c r="AD11" s="54"/>
      <x:c r="AE11" s="54"/>
      <x:c r="AF11" s="54"/>
      <x:c r="AG11" s="54"/>
      <x:c r="AH11" s="54"/>
      <x:c r="AI11" s="54"/>
      <x:c r="AJ11" s="54"/>
      <x:c r="AK11" s="54"/>
      <x:c r="AL11" s="54"/>
      <x:c r="AM11" s="54"/>
      <x:c r="AN11" s="54"/>
      <x:c r="AO11" s="54"/>
      <x:c r="AP11" s="54"/>
      <x:c r="AQ11" s="54"/>
      <x:c r="AR11" s="54"/>
      <x:c r="AS11" s="54"/>
      <x:c r="AT11" s="54"/>
      <x:c r="AU11" s="54"/>
      <x:c r="AV11" s="54"/>
      <x:c r="AW11" s="54"/>
    </x:row>
    <x:row r="12">
      <x:c r="A12" s="54" t="str">
        <x:v>Expected utility horizon</x:v>
      </x:c>
      <x:c r="B12" s="56" t="n">
        <x:v>2</x:v>
      </x:c>
      <x:c r="C12" s="54" t="str">
        <x:v>horizon</x:v>
      </x:c>
      <x:c r="D12" s="54" t="str">
        <x:v>Rough expected number of future turns/casts where utility matters after spell is learned.</x:v>
      </x:c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  <x:c r="Z12" s="54"/>
      <x:c r="AA12" s="54"/>
      <x:c r="AB12" s="54"/>
      <x:c r="AC12" s="54"/>
      <x:c r="AD12" s="54"/>
      <x:c r="AE12" s="54"/>
      <x:c r="AF12" s="54"/>
      <x:c r="AG12" s="54"/>
      <x:c r="AH12" s="54"/>
      <x:c r="AI12" s="54"/>
      <x:c r="AJ12" s="54"/>
      <x:c r="AK12" s="54"/>
      <x:c r="AL12" s="54"/>
      <x:c r="AM12" s="54"/>
      <x:c r="AN12" s="54"/>
      <x:c r="AO12" s="54"/>
      <x:c r="AP12" s="54"/>
      <x:c r="AQ12" s="54"/>
      <x:c r="AR12" s="54"/>
      <x:c r="AS12" s="54"/>
      <x:c r="AT12" s="54"/>
      <x:c r="AU12" s="54"/>
      <x:c r="AV12" s="54"/>
      <x:c r="AW12" s="54"/>
    </x:row>
    <x:row r="13">
      <x:c r="A13" s="54" t="str">
        <x:v>Card draw value</x:v>
      </x:c>
      <x:c r="B13" s="56" t="n">
        <x:v>1</x:v>
      </x:c>
      <x:c r="C13" s="54" t="str">
        <x:v>draw_value</x:v>
      </x:c>
      <x:c r="D13" s="54" t="str">
        <x:v>Utility value of drawing one extra card.</x:v>
      </x:c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  <x:c r="Z13" s="54"/>
      <x:c r="AA13" s="54"/>
      <x:c r="AB13" s="54"/>
      <x:c r="AC13" s="54"/>
      <x:c r="AD13" s="54"/>
      <x:c r="AE13" s="54"/>
      <x:c r="AF13" s="54"/>
      <x:c r="AG13" s="54"/>
      <x:c r="AH13" s="54"/>
      <x:c r="AI13" s="54"/>
      <x:c r="AJ13" s="54"/>
      <x:c r="AK13" s="54"/>
      <x:c r="AL13" s="54"/>
      <x:c r="AM13" s="54"/>
      <x:c r="AN13" s="54"/>
      <x:c r="AO13" s="54"/>
      <x:c r="AP13" s="54"/>
      <x:c r="AQ13" s="54"/>
      <x:c r="AR13" s="54"/>
      <x:c r="AS13" s="54"/>
      <x:c r="AT13" s="54"/>
      <x:c r="AU13" s="54"/>
      <x:c r="AV13" s="54"/>
      <x:c r="AW13" s="54"/>
    </x:row>
    <x:row r="14">
      <x:c r="A14" s="54" t="str">
        <x:v>Clock penalty per Source draw</x:v>
      </x:c>
      <x:c r="B14" s="56" t="n">
        <x:v>0.25</x:v>
      </x:c>
      <x:c r="C14" s="54" t="str">
        <x:v>clock_penalty</x:v>
      </x:c>
      <x:c r="D14" s="54" t="str">
        <x:v>Penalty because Conjuration burns the shared Source clock.</x:v>
      </x:c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  <x:c r="Z14" s="54"/>
      <x:c r="AA14" s="54"/>
      <x:c r="AB14" s="54"/>
      <x:c r="AC14" s="54"/>
      <x:c r="AD14" s="54"/>
      <x:c r="AE14" s="54"/>
      <x:c r="AF14" s="54"/>
      <x:c r="AG14" s="54"/>
      <x:c r="AH14" s="54"/>
      <x:c r="AI14" s="54"/>
      <x:c r="AJ14" s="54"/>
      <x:c r="AK14" s="54"/>
      <x:c r="AL14" s="54"/>
      <x:c r="AM14" s="54"/>
      <x:c r="AN14" s="54"/>
      <x:c r="AO14" s="54"/>
      <x:c r="AP14" s="54"/>
      <x:c r="AQ14" s="54"/>
      <x:c r="AR14" s="54"/>
      <x:c r="AS14" s="54"/>
      <x:c r="AT14" s="54"/>
      <x:c r="AU14" s="54"/>
      <x:c r="AV14" s="54"/>
      <x:c r="AW14" s="54"/>
    </x:row>
    <x:row r="15">
      <x:c r="A15" s="54" t="str">
        <x:v>Array exchange value</x:v>
      </x:c>
      <x:c r="B15" s="56" t="n">
        <x:v>0.75</x:v>
      </x:c>
      <x:c r="C15" s="54" t="str">
        <x:v>array_value</x:v>
      </x:c>
      <x:c r="D15" s="54" t="str">
        <x:v>Benefit of exchanging through the Array.</x:v>
      </x:c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  <x:c r="Z15" s="54"/>
      <x:c r="AA15" s="54"/>
      <x:c r="AB15" s="54"/>
      <x:c r="AC15" s="54"/>
      <x:c r="AD15" s="54"/>
      <x:c r="AE15" s="54"/>
      <x:c r="AF15" s="54"/>
      <x:c r="AG15" s="54"/>
      <x:c r="AH15" s="54"/>
      <x:c r="AI15" s="54"/>
      <x:c r="AJ15" s="54"/>
      <x:c r="AK15" s="54"/>
      <x:c r="AL15" s="54"/>
      <x:c r="AM15" s="54"/>
      <x:c r="AN15" s="54"/>
      <x:c r="AO15" s="54"/>
      <x:c r="AP15" s="54"/>
      <x:c r="AQ15" s="54"/>
      <x:c r="AR15" s="54"/>
      <x:c r="AS15" s="54"/>
      <x:c r="AT15" s="54"/>
      <x:c r="AU15" s="54"/>
      <x:c r="AV15" s="54"/>
      <x:c r="AW15" s="54"/>
    </x:row>
    <x:row r="16">
      <x:c r="A16" s="54" t="str">
        <x:v>Exchange friction</x:v>
      </x:c>
      <x:c r="B16" s="56" t="n">
        <x:v>0.25</x:v>
      </x:c>
      <x:c r="C16" s="54" t="str">
        <x:v>exchange_friction</x:v>
      </x:c>
      <x:c r="D16" s="54" t="str">
        <x:v>Cost/friction of using hand material to exchange.</x:v>
      </x:c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  <x:c r="Z16" s="54"/>
      <x:c r="AA16" s="54"/>
      <x:c r="AB16" s="54"/>
      <x:c r="AC16" s="54"/>
      <x:c r="AD16" s="54"/>
      <x:c r="AE16" s="54"/>
      <x:c r="AF16" s="54"/>
      <x:c r="AG16" s="54"/>
      <x:c r="AH16" s="54"/>
      <x:c r="AI16" s="54"/>
      <x:c r="AJ16" s="54"/>
      <x:c r="AK16" s="54"/>
      <x:c r="AL16" s="54"/>
      <x:c r="AM16" s="54"/>
      <x:c r="AN16" s="54"/>
      <x:c r="AO16" s="54"/>
      <x:c r="AP16" s="54"/>
      <x:c r="AQ16" s="54"/>
      <x:c r="AR16" s="54"/>
      <x:c r="AS16" s="54"/>
      <x:c r="AT16" s="54"/>
      <x:c r="AU16" s="54"/>
      <x:c r="AV16" s="54"/>
      <x:c r="AW16" s="54"/>
    </x:row>
    <x:row r="17">
      <x:c r="A17" s="54" t="str">
        <x:v>PT utility multiplier</x:v>
      </x:c>
      <x:c r="B17" s="56" t="n">
        <x:v>0.65</x:v>
      </x:c>
      <x:c r="C17" s="54" t="str">
        <x:v>pt_multiplier</x:v>
      </x:c>
      <x:c r="D17" s="54" t="str">
        <x:v>PT utility is this multiplier × (C utility + T utility).</x:v>
      </x:c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  <x:c r="AA17" s="54"/>
      <x:c r="AB17" s="54"/>
      <x:c r="AC17" s="54"/>
      <x:c r="AD17" s="54"/>
      <x:c r="AE17" s="54"/>
      <x:c r="AF17" s="54"/>
      <x:c r="AG17" s="54"/>
      <x:c r="AH17" s="54"/>
      <x:c r="AI17" s="54"/>
      <x:c r="AJ17" s="54"/>
      <x:c r="AK17" s="54"/>
      <x:c r="AL17" s="54"/>
      <x:c r="AM17" s="54"/>
      <x:c r="AN17" s="54"/>
      <x:c r="AO17" s="54"/>
      <x:c r="AP17" s="54"/>
      <x:c r="AQ17" s="54"/>
      <x:c r="AR17" s="54"/>
      <x:c r="AS17" s="54"/>
      <x:c r="AT17" s="54"/>
      <x:c r="AU17" s="54"/>
      <x:c r="AV17" s="54"/>
      <x:c r="AW17" s="54"/>
    </x:row>
    <x:row r="18">
      <x:c r="A18" s="54" t="str">
        <x:v>Capacity action value</x:v>
      </x:c>
      <x:c r="B18" s="56" t="n">
        <x:v>0.75</x:v>
      </x:c>
      <x:c r="C18" s="54" t="str">
        <x:v>capacity_value</x:v>
      </x:c>
      <x:c r="D18" s="54" t="str">
        <x:v>Utility value of one extra capacity counter per future turn.</x:v>
      </x:c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  <x:c r="AA18" s="54"/>
      <x:c r="AB18" s="54"/>
      <x:c r="AC18" s="54"/>
      <x:c r="AD18" s="54"/>
      <x:c r="AE18" s="54"/>
      <x:c r="AF18" s="54"/>
      <x:c r="AG18" s="54"/>
      <x:c r="AH18" s="54"/>
      <x:c r="AI18" s="54"/>
      <x:c r="AJ18" s="54"/>
      <x:c r="AK18" s="54"/>
      <x:c r="AL18" s="54"/>
      <x:c r="AM18" s="54"/>
      <x:c r="AN18" s="54"/>
      <x:c r="AO18" s="54"/>
      <x:c r="AP18" s="54"/>
      <x:c r="AQ18" s="54"/>
      <x:c r="AR18" s="54"/>
      <x:c r="AS18" s="54"/>
      <x:c r="AT18" s="54"/>
      <x:c r="AU18" s="54"/>
      <x:c r="AV18" s="54"/>
      <x:c r="AW18" s="54"/>
    </x:row>
    <x:row r="19">
      <x:c r="A19" s="54" t="str">
        <x:v>3E capacity gain</x:v>
      </x:c>
      <x:c r="B19" s="56" t="n">
        <x:v>1</x:v>
      </x:c>
      <x:c r="C19" s="54" t="str">
        <x:v>cap_3E</x:v>
      </x:c>
      <x:c r="D19" s="54" t="str">
        <x:v>Current ladder assumption.</x:v>
      </x:c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  <x:c r="AA19" s="54"/>
      <x:c r="AB19" s="54"/>
      <x:c r="AC19" s="54"/>
      <x:c r="AD19" s="54"/>
      <x:c r="AE19" s="54"/>
      <x:c r="AF19" s="54"/>
      <x:c r="AG19" s="54"/>
      <x:c r="AH19" s="54"/>
      <x:c r="AI19" s="54"/>
      <x:c r="AJ19" s="54"/>
      <x:c r="AK19" s="54"/>
      <x:c r="AL19" s="54"/>
      <x:c r="AM19" s="54"/>
      <x:c r="AN19" s="54"/>
      <x:c r="AO19" s="54"/>
      <x:c r="AP19" s="54"/>
      <x:c r="AQ19" s="54"/>
      <x:c r="AR19" s="54"/>
      <x:c r="AS19" s="54"/>
      <x:c r="AT19" s="54"/>
      <x:c r="AU19" s="54"/>
      <x:c r="AV19" s="54"/>
      <x:c r="AW19" s="54"/>
    </x:row>
    <x:row r="20">
      <x:c r="A20" s="54" t="str">
        <x:v>4E capacity gain</x:v>
      </x:c>
      <x:c r="B20" s="56" t="n">
        <x:v>3</x:v>
      </x:c>
      <x:c r="C20" s="54" t="str">
        <x:v>cap_4E</x:v>
      </x:c>
      <x:c r="D20" s="54" t="str">
        <x:v>Current ladder assumption.</x:v>
      </x:c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  <x:c r="AA20" s="54"/>
      <x:c r="AB20" s="54"/>
      <x:c r="AC20" s="54"/>
      <x:c r="AD20" s="54"/>
      <x:c r="AE20" s="54"/>
      <x:c r="AF20" s="54"/>
      <x:c r="AG20" s="54"/>
      <x:c r="AH20" s="54"/>
      <x:c r="AI20" s="54"/>
      <x:c r="AJ20" s="54"/>
      <x:c r="AK20" s="54"/>
      <x:c r="AL20" s="54"/>
      <x:c r="AM20" s="54"/>
      <x:c r="AN20" s="54"/>
      <x:c r="AO20" s="54"/>
      <x:c r="AP20" s="54"/>
      <x:c r="AQ20" s="54"/>
      <x:c r="AR20" s="54"/>
      <x:c r="AS20" s="54"/>
      <x:c r="AT20" s="54"/>
      <x:c r="AU20" s="54"/>
      <x:c r="AV20" s="54"/>
      <x:c r="AW20" s="54"/>
    </x:row>
    <x:row r="21">
      <x:c r="A21" s="54" t="str">
        <x:v>5E capacity gain</x:v>
      </x:c>
      <x:c r="B21" s="56" t="n">
        <x:v>5</x:v>
      </x:c>
      <x:c r="C21" s="54" t="str">
        <x:v>cap_5E</x:v>
      </x:c>
      <x:c r="D21" s="54" t="str">
        <x:v>Change this to 4 if +5 proves too strong.</x:v>
      </x:c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  <x:c r="AA21" s="54"/>
      <x:c r="AB21" s="54"/>
      <x:c r="AC21" s="54"/>
      <x:c r="AD21" s="54"/>
      <x:c r="AE21" s="54"/>
      <x:c r="AF21" s="54"/>
      <x:c r="AG21" s="54"/>
      <x:c r="AH21" s="54"/>
      <x:c r="AI21" s="54"/>
      <x:c r="AJ21" s="54"/>
      <x:c r="AK21" s="54"/>
      <x:c r="AL21" s="54"/>
      <x:c r="AM21" s="54"/>
      <x:c r="AN21" s="54"/>
      <x:c r="AO21" s="54"/>
      <x:c r="AP21" s="54"/>
      <x:c r="AQ21" s="54"/>
      <x:c r="AR21" s="54"/>
      <x:c r="AS21" s="54"/>
      <x:c r="AT21" s="54"/>
      <x:c r="AU21" s="54"/>
      <x:c r="AV21" s="54"/>
      <x:c r="AW21" s="54"/>
    </x:row>
    <x:row r="22">
      <x:c r="A22" s="54" t="str">
        <x:v>Transfiguration role incentive</x:v>
      </x:c>
      <x:c r="B22" s="56" t="n">
        <x:v>1.5</x:v>
      </x:c>
      <x:c r="C22" s="54" t="str">
        <x:v>T_role</x:v>
      </x:c>
      <x:c r="D22" s="54" t="str">
        <x:v>Positive difficulty/score lift to promote Transfiguration play.</x:v>
      </x:c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  <x:c r="AA22" s="54"/>
      <x:c r="AB22" s="54"/>
      <x:c r="AC22" s="54"/>
      <x:c r="AD22" s="54"/>
      <x:c r="AE22" s="54"/>
      <x:c r="AF22" s="54"/>
      <x:c r="AG22" s="54"/>
      <x:c r="AH22" s="54"/>
      <x:c r="AI22" s="54"/>
      <x:c r="AJ22" s="54"/>
      <x:c r="AK22" s="54"/>
      <x:c r="AL22" s="54"/>
      <x:c r="AM22" s="54"/>
      <x:c r="AN22" s="54"/>
      <x:c r="AO22" s="54"/>
      <x:c r="AP22" s="54"/>
      <x:c r="AQ22" s="54"/>
      <x:c r="AR22" s="54"/>
      <x:c r="AS22" s="54"/>
      <x:c r="AT22" s="54"/>
      <x:c r="AU22" s="54"/>
      <x:c r="AV22" s="54"/>
      <x:c r="AW22" s="54"/>
    </x:row>
    <x:row r="23">
      <x:c r="A23" s="54" t="str">
        <x:v>Force 15C = 15PT in final adjusted score</x:v>
      </x:c>
      <x:c r="B23" s="56" t="n">
        <x:v>1</x:v>
      </x:c>
      <x:c r="C23" s="54" t="str">
        <x:v>force_identity</x:v>
      </x:c>
      <x:c r="D23" s="54" t="str">
        <x:v>1=true, 0=false. Preserves identical final object constraint.</x:v>
      </x:c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  <x:c r="AA23" s="54"/>
      <x:c r="AB23" s="54"/>
      <x:c r="AC23" s="54"/>
      <x:c r="AD23" s="54"/>
      <x:c r="AE23" s="54"/>
      <x:c r="AF23" s="54"/>
      <x:c r="AG23" s="54"/>
      <x:c r="AH23" s="54"/>
      <x:c r="AI23" s="54"/>
      <x:c r="AJ23" s="54"/>
      <x:c r="AK23" s="54"/>
      <x:c r="AL23" s="54"/>
      <x:c r="AM23" s="54"/>
      <x:c r="AN23" s="54"/>
      <x:c r="AO23" s="54"/>
      <x:c r="AP23" s="54"/>
      <x:c r="AQ23" s="54"/>
      <x:c r="AR23" s="54"/>
      <x:c r="AS23" s="54"/>
      <x:c r="AT23" s="54"/>
      <x:c r="AU23" s="54"/>
      <x:c r="AV23" s="54"/>
      <x:c r="AW23" s="54"/>
    </x:row>
    <x:row r="24">
      <x:c r="A24" s="55" t="str"/>
      <x:c r="B24" s="57" t="str"/>
      <x:c r="C24" s="55" t="str"/>
      <x:c r="D24" s="55" t="str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  <x:c r="AA24" s="54"/>
      <x:c r="AB24" s="54"/>
      <x:c r="AC24" s="54"/>
      <x:c r="AD24" s="54"/>
      <x:c r="AE24" s="54"/>
      <x:c r="AF24" s="54"/>
      <x:c r="AG24" s="54"/>
      <x:c r="AH24" s="54"/>
      <x:c r="AI24" s="54"/>
      <x:c r="AJ24" s="54"/>
      <x:c r="AK24" s="54"/>
      <x:c r="AL24" s="54"/>
      <x:c r="AM24" s="54"/>
      <x:c r="AN24" s="54"/>
      <x:c r="AO24" s="54"/>
      <x:c r="AP24" s="54"/>
      <x:c r="AQ24" s="54"/>
      <x:c r="AR24" s="54"/>
      <x:c r="AS24" s="54"/>
      <x:c r="AT24" s="54"/>
      <x:c r="AU24" s="54"/>
      <x:c r="AV24" s="54"/>
      <x:c r="AW24" s="54"/>
    </x:row>
    <x:row r="25">
      <x:c r="A25" s="54" t="str">
        <x:v>Deck 1 energy count</x:v>
      </x:c>
      <x:c r="B25" s="56" t="n">
        <x:v>4</x:v>
      </x:c>
      <x:c r="C25" s="54" t="str">
        <x:v>E_D1</x:v>
      </x:c>
      <x:c r="D25" s="54" t="str">
        <x:v>Deck 1 = 4×15.</x:v>
      </x:c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  <x:c r="AA25" s="54"/>
      <x:c r="AB25" s="54"/>
      <x:c r="AC25" s="54"/>
      <x:c r="AD25" s="54"/>
      <x:c r="AE25" s="54"/>
      <x:c r="AF25" s="54"/>
      <x:c r="AG25" s="54"/>
      <x:c r="AH25" s="54"/>
      <x:c r="AI25" s="54"/>
      <x:c r="AJ25" s="54"/>
      <x:c r="AK25" s="54"/>
      <x:c r="AL25" s="54"/>
      <x:c r="AM25" s="54"/>
      <x:c r="AN25" s="54"/>
      <x:c r="AO25" s="54"/>
      <x:c r="AP25" s="54"/>
      <x:c r="AQ25" s="54"/>
      <x:c r="AR25" s="54"/>
      <x:c r="AS25" s="54"/>
      <x:c r="AT25" s="54"/>
      <x:c r="AU25" s="54"/>
      <x:c r="AV25" s="54"/>
      <x:c r="AW25" s="54"/>
    </x:row>
    <x:row r="26">
      <x:c r="A26" s="54" t="str">
        <x:v>Deck 2 energy count</x:v>
      </x:c>
      <x:c r="B26" s="56" t="n">
        <x:v>5</x:v>
      </x:c>
      <x:c r="C26" s="54" t="str">
        <x:v>E_D2</x:v>
      </x:c>
      <x:c r="D26" s="54" t="str">
        <x:v>Deck 2 = 5×15.</x:v>
      </x:c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  <x:c r="AA26" s="54"/>
      <x:c r="AB26" s="54"/>
      <x:c r="AC26" s="54"/>
      <x:c r="AD26" s="54"/>
      <x:c r="AE26" s="54"/>
      <x:c r="AF26" s="54"/>
      <x:c r="AG26" s="54"/>
      <x:c r="AH26" s="54"/>
      <x:c r="AI26" s="54"/>
      <x:c r="AJ26" s="54"/>
      <x:c r="AK26" s="54"/>
      <x:c r="AL26" s="54"/>
      <x:c r="AM26" s="54"/>
      <x:c r="AN26" s="54"/>
      <x:c r="AO26" s="54"/>
      <x:c r="AP26" s="54"/>
      <x:c r="AQ26" s="54"/>
      <x:c r="AR26" s="54"/>
      <x:c r="AS26" s="54"/>
      <x:c r="AT26" s="54"/>
      <x:c r="AU26" s="54"/>
      <x:c r="AV26" s="54"/>
      <x:c r="AW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  <x:c r="AA27" s="54"/>
      <x:c r="AB27" s="54"/>
      <x:c r="AC27" s="54"/>
      <x:c r="AD27" s="54"/>
      <x:c r="AE27" s="54"/>
      <x:c r="AF27" s="54"/>
      <x:c r="AG27" s="54"/>
      <x:c r="AH27" s="54"/>
      <x:c r="AI27" s="54"/>
      <x:c r="AJ27" s="54"/>
      <x:c r="AK27" s="54"/>
      <x:c r="AL27" s="54"/>
      <x:c r="AM27" s="54"/>
      <x:c r="AN27" s="54"/>
      <x:c r="AO27" s="54"/>
      <x:c r="AP27" s="54"/>
      <x:c r="AQ27" s="54"/>
      <x:c r="AR27" s="54"/>
      <x:c r="AS27" s="54"/>
      <x:c r="AT27" s="54"/>
      <x:c r="AU27" s="54"/>
      <x:c r="AV27" s="54"/>
      <x:c r="AW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  <x:c r="AA28" s="54"/>
      <x:c r="AB28" s="54"/>
      <x:c r="AC28" s="54"/>
      <x:c r="AD28" s="54"/>
      <x:c r="AE28" s="54"/>
      <x:c r="AF28" s="54"/>
      <x:c r="AG28" s="54"/>
      <x:c r="AH28" s="54"/>
      <x:c r="AI28" s="54"/>
      <x:c r="AJ28" s="54"/>
      <x:c r="AK28" s="54"/>
      <x:c r="AL28" s="54"/>
      <x:c r="AM28" s="54"/>
      <x:c r="AN28" s="54"/>
      <x:c r="AO28" s="54"/>
      <x:c r="AP28" s="54"/>
      <x:c r="AQ28" s="54"/>
      <x:c r="AR28" s="54"/>
      <x:c r="AS28" s="54"/>
      <x:c r="AT28" s="54"/>
      <x:c r="AU28" s="54"/>
      <x:c r="AV28" s="54"/>
      <x:c r="AW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  <x:c r="AA29" s="54"/>
      <x:c r="AB29" s="54"/>
      <x:c r="AC29" s="54"/>
      <x:c r="AD29" s="54"/>
      <x:c r="AE29" s="54"/>
      <x:c r="AF29" s="54"/>
      <x:c r="AG29" s="54"/>
      <x:c r="AH29" s="54"/>
      <x:c r="AI29" s="54"/>
      <x:c r="AJ29" s="54"/>
      <x:c r="AK29" s="54"/>
      <x:c r="AL29" s="54"/>
      <x:c r="AM29" s="54"/>
      <x:c r="AN29" s="54"/>
      <x:c r="AO29" s="54"/>
      <x:c r="AP29" s="54"/>
      <x:c r="AQ29" s="54"/>
      <x:c r="AR29" s="54"/>
      <x:c r="AS29" s="54"/>
      <x:c r="AT29" s="54"/>
      <x:c r="AU29" s="54"/>
      <x:c r="AV29" s="54"/>
      <x:c r="AW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  <x:c r="AA30" s="54"/>
      <x:c r="AB30" s="54"/>
      <x:c r="AC30" s="54"/>
      <x:c r="AD30" s="54"/>
      <x:c r="AE30" s="54"/>
      <x:c r="AF30" s="54"/>
      <x:c r="AG30" s="54"/>
      <x:c r="AH30" s="54"/>
      <x:c r="AI30" s="54"/>
      <x:c r="AJ30" s="54"/>
      <x:c r="AK30" s="54"/>
      <x:c r="AL30" s="54"/>
      <x:c r="AM30" s="54"/>
      <x:c r="AN30" s="54"/>
      <x:c r="AO30" s="54"/>
      <x:c r="AP30" s="54"/>
      <x:c r="AQ30" s="54"/>
      <x:c r="AR30" s="54"/>
      <x:c r="AS30" s="54"/>
      <x:c r="AT30" s="54"/>
      <x:c r="AU30" s="54"/>
      <x:c r="AV30" s="54"/>
      <x:c r="AW30" s="5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  <x:c r="AA31" s="54"/>
      <x:c r="AB31" s="54"/>
      <x:c r="AC31" s="54"/>
      <x:c r="AD31" s="54"/>
      <x:c r="AE31" s="54"/>
      <x:c r="AF31" s="54"/>
      <x:c r="AG31" s="54"/>
      <x:c r="AH31" s="54"/>
      <x:c r="AI31" s="54"/>
      <x:c r="AJ31" s="54"/>
      <x:c r="AK31" s="54"/>
      <x:c r="AL31" s="54"/>
      <x:c r="AM31" s="54"/>
      <x:c r="AN31" s="54"/>
      <x:c r="AO31" s="54"/>
      <x:c r="AP31" s="54"/>
      <x:c r="AQ31" s="54"/>
      <x:c r="AR31" s="54"/>
      <x:c r="AS31" s="54"/>
      <x:c r="AT31" s="54"/>
      <x:c r="AU31" s="54"/>
      <x:c r="AV31" s="54"/>
      <x:c r="AW31" s="5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  <x:c r="AA32" s="54"/>
      <x:c r="AB32" s="54"/>
      <x:c r="AC32" s="54"/>
      <x:c r="AD32" s="54"/>
      <x:c r="AE32" s="54"/>
      <x:c r="AF32" s="54"/>
      <x:c r="AG32" s="54"/>
      <x:c r="AH32" s="54"/>
      <x:c r="AI32" s="54"/>
      <x:c r="AJ32" s="54"/>
      <x:c r="AK32" s="54"/>
      <x:c r="AL32" s="54"/>
      <x:c r="AM32" s="54"/>
      <x:c r="AN32" s="54"/>
      <x:c r="AO32" s="54"/>
      <x:c r="AP32" s="54"/>
      <x:c r="AQ32" s="54"/>
      <x:c r="AR32" s="54"/>
      <x:c r="AS32" s="54"/>
      <x:c r="AT32" s="54"/>
      <x:c r="AU32" s="54"/>
      <x:c r="AV32" s="54"/>
      <x:c r="AW32" s="5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  <x:c r="AA33" s="54"/>
      <x:c r="AB33" s="54"/>
      <x:c r="AC33" s="54"/>
      <x:c r="AD33" s="54"/>
      <x:c r="AE33" s="54"/>
      <x:c r="AF33" s="54"/>
      <x:c r="AG33" s="54"/>
      <x:c r="AH33" s="54"/>
      <x:c r="AI33" s="54"/>
      <x:c r="AJ33" s="54"/>
      <x:c r="AK33" s="54"/>
      <x:c r="AL33" s="54"/>
      <x:c r="AM33" s="54"/>
      <x:c r="AN33" s="54"/>
      <x:c r="AO33" s="54"/>
      <x:c r="AP33" s="54"/>
      <x:c r="AQ33" s="54"/>
      <x:c r="AR33" s="54"/>
      <x:c r="AS33" s="54"/>
      <x:c r="AT33" s="54"/>
      <x:c r="AU33" s="54"/>
      <x:c r="AV33" s="54"/>
      <x:c r="AW33" s="5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  <x:c r="AA34" s="54"/>
      <x:c r="AB34" s="54"/>
      <x:c r="AC34" s="54"/>
      <x:c r="AD34" s="54"/>
      <x:c r="AE34" s="54"/>
      <x:c r="AF34" s="54"/>
      <x:c r="AG34" s="54"/>
      <x:c r="AH34" s="54"/>
      <x:c r="AI34" s="54"/>
      <x:c r="AJ34" s="54"/>
      <x:c r="AK34" s="54"/>
      <x:c r="AL34" s="54"/>
      <x:c r="AM34" s="54"/>
      <x:c r="AN34" s="54"/>
      <x:c r="AO34" s="54"/>
      <x:c r="AP34" s="54"/>
      <x:c r="AQ34" s="54"/>
      <x:c r="AR34" s="54"/>
      <x:c r="AS34" s="54"/>
      <x:c r="AT34" s="54"/>
      <x:c r="AU34" s="54"/>
      <x:c r="AV34" s="54"/>
      <x:c r="AW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  <x:c r="AA35" s="54"/>
      <x:c r="AB35" s="54"/>
      <x:c r="AC35" s="54"/>
      <x:c r="AD35" s="54"/>
      <x:c r="AE35" s="54"/>
      <x:c r="AF35" s="54"/>
      <x:c r="AG35" s="54"/>
      <x:c r="AH35" s="54"/>
      <x:c r="AI35" s="54"/>
      <x:c r="AJ35" s="54"/>
      <x:c r="AK35" s="54"/>
      <x:c r="AL35" s="54"/>
      <x:c r="AM35" s="54"/>
      <x:c r="AN35" s="54"/>
      <x:c r="AO35" s="54"/>
      <x:c r="AP35" s="54"/>
      <x:c r="AQ35" s="54"/>
      <x:c r="AR35" s="54"/>
      <x:c r="AS35" s="54"/>
      <x:c r="AT35" s="54"/>
      <x:c r="AU35" s="54"/>
      <x:c r="AV35" s="54"/>
      <x:c r="AW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  <x:c r="AA36" s="54"/>
      <x:c r="AB36" s="54"/>
      <x:c r="AC36" s="54"/>
      <x:c r="AD36" s="54"/>
      <x:c r="AE36" s="54"/>
      <x:c r="AF36" s="54"/>
      <x:c r="AG36" s="54"/>
      <x:c r="AH36" s="54"/>
      <x:c r="AI36" s="54"/>
      <x:c r="AJ36" s="54"/>
      <x:c r="AK36" s="54"/>
      <x:c r="AL36" s="54"/>
      <x:c r="AM36" s="54"/>
      <x:c r="AN36" s="54"/>
      <x:c r="AO36" s="54"/>
      <x:c r="AP36" s="54"/>
      <x:c r="AQ36" s="54"/>
      <x:c r="AR36" s="54"/>
      <x:c r="AS36" s="54"/>
      <x:c r="AT36" s="54"/>
      <x:c r="AU36" s="54"/>
      <x:c r="AV36" s="54"/>
      <x:c r="AW36" s="5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  <x:c r="AA37" s="54"/>
      <x:c r="AB37" s="54"/>
      <x:c r="AC37" s="54"/>
      <x:c r="AD37" s="54"/>
      <x:c r="AE37" s="54"/>
      <x:c r="AF37" s="54"/>
      <x:c r="AG37" s="54"/>
      <x:c r="AH37" s="54"/>
      <x:c r="AI37" s="54"/>
      <x:c r="AJ37" s="54"/>
      <x:c r="AK37" s="54"/>
      <x:c r="AL37" s="54"/>
      <x:c r="AM37" s="54"/>
      <x:c r="AN37" s="54"/>
      <x:c r="AO37" s="54"/>
      <x:c r="AP37" s="54"/>
      <x:c r="AQ37" s="54"/>
      <x:c r="AR37" s="54"/>
      <x:c r="AS37" s="54"/>
      <x:c r="AT37" s="54"/>
      <x:c r="AU37" s="54"/>
      <x:c r="AV37" s="54"/>
      <x:c r="AW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  <x:c r="AA38" s="54"/>
      <x:c r="AB38" s="54"/>
      <x:c r="AC38" s="54"/>
      <x:c r="AD38" s="54"/>
      <x:c r="AE38" s="54"/>
      <x:c r="AF38" s="54"/>
      <x:c r="AG38" s="54"/>
      <x:c r="AH38" s="54"/>
      <x:c r="AI38" s="54"/>
      <x:c r="AJ38" s="54"/>
      <x:c r="AK38" s="54"/>
      <x:c r="AL38" s="54"/>
      <x:c r="AM38" s="54"/>
      <x:c r="AN38" s="54"/>
      <x:c r="AO38" s="54"/>
      <x:c r="AP38" s="54"/>
      <x:c r="AQ38" s="54"/>
      <x:c r="AR38" s="54"/>
      <x:c r="AS38" s="54"/>
      <x:c r="AT38" s="54"/>
      <x:c r="AU38" s="54"/>
      <x:c r="AV38" s="54"/>
      <x:c r="AW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  <x:c r="AA39" s="54"/>
      <x:c r="AB39" s="54"/>
      <x:c r="AC39" s="54"/>
      <x:c r="AD39" s="54"/>
      <x:c r="AE39" s="54"/>
      <x:c r="AF39" s="54"/>
      <x:c r="AG39" s="54"/>
      <x:c r="AH39" s="54"/>
      <x:c r="AI39" s="54"/>
      <x:c r="AJ39" s="54"/>
      <x:c r="AK39" s="54"/>
      <x:c r="AL39" s="54"/>
      <x:c r="AM39" s="54"/>
      <x:c r="AN39" s="54"/>
      <x:c r="AO39" s="54"/>
      <x:c r="AP39" s="54"/>
      <x:c r="AQ39" s="54"/>
      <x:c r="AR39" s="54"/>
      <x:c r="AS39" s="54"/>
      <x:c r="AT39" s="54"/>
      <x:c r="AU39" s="54"/>
      <x:c r="AV39" s="54"/>
      <x:c r="AW39" s="5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  <x:c r="AA40" s="54"/>
      <x:c r="AB40" s="54"/>
      <x:c r="AC40" s="54"/>
      <x:c r="AD40" s="54"/>
      <x:c r="AE40" s="54"/>
      <x:c r="AF40" s="54"/>
      <x:c r="AG40" s="54"/>
      <x:c r="AH40" s="54"/>
      <x:c r="AI40" s="54"/>
      <x:c r="AJ40" s="54"/>
      <x:c r="AK40" s="54"/>
      <x:c r="AL40" s="54"/>
      <x:c r="AM40" s="54"/>
      <x:c r="AN40" s="54"/>
      <x:c r="AO40" s="54"/>
      <x:c r="AP40" s="54"/>
      <x:c r="AQ40" s="54"/>
      <x:c r="AR40" s="54"/>
      <x:c r="AS40" s="54"/>
      <x:c r="AT40" s="54"/>
      <x:c r="AU40" s="54"/>
      <x:c r="AV40" s="54"/>
      <x:c r="AW40" s="54"/>
    </x:row>
    <x:row r="41">
      <x:c r="A41" s="54"/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  <x:c r="AA41" s="54"/>
      <x:c r="AB41" s="54"/>
      <x:c r="AC41" s="54"/>
      <x:c r="AD41" s="54"/>
      <x:c r="AE41" s="54"/>
      <x:c r="AF41" s="54"/>
      <x:c r="AG41" s="54"/>
      <x:c r="AH41" s="54"/>
      <x:c r="AI41" s="54"/>
      <x:c r="AJ41" s="54"/>
      <x:c r="AK41" s="54"/>
      <x:c r="AL41" s="54"/>
      <x:c r="AM41" s="54"/>
      <x:c r="AN41" s="54"/>
      <x:c r="AO41" s="54"/>
      <x:c r="AP41" s="54"/>
      <x:c r="AQ41" s="54"/>
      <x:c r="AR41" s="54"/>
      <x:c r="AS41" s="54"/>
      <x:c r="AT41" s="54"/>
      <x:c r="AU41" s="54"/>
      <x:c r="AV41" s="54"/>
      <x:c r="AW41" s="54"/>
    </x:row>
    <x:row r="42">
      <x:c r="A42" s="54"/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  <x:c r="AA42" s="54"/>
      <x:c r="AB42" s="54"/>
      <x:c r="AC42" s="54"/>
      <x:c r="AD42" s="54"/>
      <x:c r="AE42" s="54"/>
      <x:c r="AF42" s="54"/>
      <x:c r="AG42" s="54"/>
      <x:c r="AH42" s="54"/>
      <x:c r="AI42" s="54"/>
      <x:c r="AJ42" s="54"/>
      <x:c r="AK42" s="54"/>
      <x:c r="AL42" s="54"/>
      <x:c r="AM42" s="54"/>
      <x:c r="AN42" s="54"/>
      <x:c r="AO42" s="54"/>
      <x:c r="AP42" s="54"/>
      <x:c r="AQ42" s="54"/>
      <x:c r="AR42" s="54"/>
      <x:c r="AS42" s="54"/>
      <x:c r="AT42" s="54"/>
      <x:c r="AU42" s="54"/>
      <x:c r="AV42" s="54"/>
      <x:c r="AW42" s="54"/>
    </x:row>
    <x:row r="43">
      <x:c r="A43" s="54"/>
      <x:c r="B43" s="54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  <x:c r="AA43" s="54"/>
      <x:c r="AB43" s="54"/>
      <x:c r="AC43" s="54"/>
      <x:c r="AD43" s="54"/>
      <x:c r="AE43" s="54"/>
      <x:c r="AF43" s="54"/>
      <x:c r="AG43" s="54"/>
      <x:c r="AH43" s="54"/>
      <x:c r="AI43" s="54"/>
      <x:c r="AJ43" s="54"/>
      <x:c r="AK43" s="54"/>
      <x:c r="AL43" s="54"/>
      <x:c r="AM43" s="54"/>
      <x:c r="AN43" s="54"/>
      <x:c r="AO43" s="54"/>
      <x:c r="AP43" s="54"/>
      <x:c r="AQ43" s="54"/>
      <x:c r="AR43" s="54"/>
      <x:c r="AS43" s="54"/>
      <x:c r="AT43" s="54"/>
      <x:c r="AU43" s="54"/>
      <x:c r="AV43" s="54"/>
      <x:c r="AW43" s="54"/>
    </x:row>
    <x:row r="44">
      <x:c r="A44" s="54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  <x:c r="AA44" s="54"/>
      <x:c r="AB44" s="54"/>
      <x:c r="AC44" s="54"/>
      <x:c r="AD44" s="54"/>
      <x:c r="AE44" s="54"/>
      <x:c r="AF44" s="54"/>
      <x:c r="AG44" s="54"/>
      <x:c r="AH44" s="54"/>
      <x:c r="AI44" s="54"/>
      <x:c r="AJ44" s="54"/>
      <x:c r="AK44" s="54"/>
      <x:c r="AL44" s="54"/>
      <x:c r="AM44" s="54"/>
      <x:c r="AN44" s="54"/>
      <x:c r="AO44" s="54"/>
      <x:c r="AP44" s="54"/>
      <x:c r="AQ44" s="54"/>
      <x:c r="AR44" s="54"/>
      <x:c r="AS44" s="54"/>
      <x:c r="AT44" s="54"/>
      <x:c r="AU44" s="54"/>
      <x:c r="AV44" s="54"/>
      <x:c r="AW44" s="54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  <x:c r="AA45" s="54"/>
      <x:c r="AB45" s="54"/>
      <x:c r="AC45" s="54"/>
      <x:c r="AD45" s="54"/>
      <x:c r="AE45" s="54"/>
      <x:c r="AF45" s="54"/>
      <x:c r="AG45" s="54"/>
      <x:c r="AH45" s="54"/>
      <x:c r="AI45" s="54"/>
      <x:c r="AJ45" s="54"/>
      <x:c r="AK45" s="54"/>
      <x:c r="AL45" s="54"/>
      <x:c r="AM45" s="54"/>
      <x:c r="AN45" s="54"/>
      <x:c r="AO45" s="54"/>
      <x:c r="AP45" s="54"/>
      <x:c r="AQ45" s="54"/>
      <x:c r="AR45" s="54"/>
      <x:c r="AS45" s="54"/>
      <x:c r="AT45" s="54"/>
      <x:c r="AU45" s="54"/>
      <x:c r="AV45" s="54"/>
      <x:c r="AW45" s="54"/>
    </x:row>
    <x:row r="46">
      <x:c r="A46" s="54"/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  <x:c r="AA46" s="54"/>
      <x:c r="AB46" s="54"/>
      <x:c r="AC46" s="54"/>
      <x:c r="AD46" s="54"/>
      <x:c r="AE46" s="54"/>
      <x:c r="AF46" s="54"/>
      <x:c r="AG46" s="54"/>
      <x:c r="AH46" s="54"/>
      <x:c r="AI46" s="54"/>
      <x:c r="AJ46" s="54"/>
      <x:c r="AK46" s="54"/>
      <x:c r="AL46" s="54"/>
      <x:c r="AM46" s="54"/>
      <x:c r="AN46" s="54"/>
      <x:c r="AO46" s="54"/>
      <x:c r="AP46" s="54"/>
      <x:c r="AQ46" s="54"/>
      <x:c r="AR46" s="54"/>
      <x:c r="AS46" s="54"/>
      <x:c r="AT46" s="54"/>
      <x:c r="AU46" s="54"/>
      <x:c r="AV46" s="54"/>
      <x:c r="AW46" s="54"/>
    </x:row>
    <x:row r="47">
      <x:c r="A47" s="54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  <x:c r="AA47" s="54"/>
      <x:c r="AB47" s="54"/>
      <x:c r="AC47" s="54"/>
      <x:c r="AD47" s="54"/>
      <x:c r="AE47" s="54"/>
      <x:c r="AF47" s="54"/>
      <x:c r="AG47" s="54"/>
      <x:c r="AH47" s="54"/>
      <x:c r="AI47" s="54"/>
      <x:c r="AJ47" s="54"/>
      <x:c r="AK47" s="54"/>
      <x:c r="AL47" s="54"/>
      <x:c r="AM47" s="54"/>
      <x:c r="AN47" s="54"/>
      <x:c r="AO47" s="54"/>
      <x:c r="AP47" s="54"/>
      <x:c r="AQ47" s="54"/>
      <x:c r="AR47" s="54"/>
      <x:c r="AS47" s="54"/>
      <x:c r="AT47" s="54"/>
      <x:c r="AU47" s="54"/>
      <x:c r="AV47" s="54"/>
      <x:c r="AW47" s="54"/>
    </x:row>
    <x:row r="48">
      <x:c r="A48" s="54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  <x:c r="AA48" s="54"/>
      <x:c r="AB48" s="54"/>
      <x:c r="AC48" s="54"/>
      <x:c r="AD48" s="54"/>
      <x:c r="AE48" s="54"/>
      <x:c r="AF48" s="54"/>
      <x:c r="AG48" s="54"/>
      <x:c r="AH48" s="54"/>
      <x:c r="AI48" s="54"/>
      <x:c r="AJ48" s="54"/>
      <x:c r="AK48" s="54"/>
      <x:c r="AL48" s="54"/>
      <x:c r="AM48" s="54"/>
      <x:c r="AN48" s="54"/>
      <x:c r="AO48" s="54"/>
      <x:c r="AP48" s="54"/>
      <x:c r="AQ48" s="54"/>
      <x:c r="AR48" s="54"/>
      <x:c r="AS48" s="54"/>
      <x:c r="AT48" s="54"/>
      <x:c r="AU48" s="54"/>
      <x:c r="AV48" s="54"/>
      <x:c r="AW48" s="54"/>
    </x:row>
    <x:row r="49">
      <x:c r="A49" s="54"/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  <x:c r="AA49" s="54"/>
      <x:c r="AB49" s="54"/>
      <x:c r="AC49" s="54"/>
      <x:c r="AD49" s="54"/>
      <x:c r="AE49" s="54"/>
      <x:c r="AF49" s="54"/>
      <x:c r="AG49" s="54"/>
      <x:c r="AH49" s="54"/>
      <x:c r="AI49" s="54"/>
      <x:c r="AJ49" s="54"/>
      <x:c r="AK49" s="54"/>
      <x:c r="AL49" s="54"/>
      <x:c r="AM49" s="54"/>
      <x:c r="AN49" s="54"/>
      <x:c r="AO49" s="54"/>
      <x:c r="AP49" s="54"/>
      <x:c r="AQ49" s="54"/>
      <x:c r="AR49" s="54"/>
      <x:c r="AS49" s="54"/>
      <x:c r="AT49" s="54"/>
      <x:c r="AU49" s="54"/>
      <x:c r="AV49" s="54"/>
      <x:c r="AW49" s="54"/>
    </x:row>
    <x:row r="50">
      <x:c r="A50" s="54"/>
      <x:c r="B50" s="54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  <x:c r="AA50" s="54"/>
      <x:c r="AB50" s="54"/>
      <x:c r="AC50" s="54"/>
      <x:c r="AD50" s="54"/>
      <x:c r="AE50" s="54"/>
      <x:c r="AF50" s="54"/>
      <x:c r="AG50" s="54"/>
      <x:c r="AH50" s="54"/>
      <x:c r="AI50" s="54"/>
      <x:c r="AJ50" s="54"/>
      <x:c r="AK50" s="54"/>
      <x:c r="AL50" s="54"/>
      <x:c r="AM50" s="54"/>
      <x:c r="AN50" s="54"/>
      <x:c r="AO50" s="54"/>
      <x:c r="AP50" s="54"/>
      <x:c r="AQ50" s="54"/>
      <x:c r="AR50" s="54"/>
      <x:c r="AS50" s="54"/>
      <x:c r="AT50" s="54"/>
      <x:c r="AU50" s="54"/>
      <x:c r="AV50" s="54"/>
      <x:c r="AW50" s="54"/>
    </x:row>
    <x:row r="51">
      <x:c r="A51" s="54"/>
      <x:c r="B51" s="54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  <x:c r="AA51" s="54"/>
      <x:c r="AB51" s="54"/>
      <x:c r="AC51" s="54"/>
      <x:c r="AD51" s="54"/>
      <x:c r="AE51" s="54"/>
      <x:c r="AF51" s="54"/>
      <x:c r="AG51" s="54"/>
      <x:c r="AH51" s="54"/>
      <x:c r="AI51" s="54"/>
      <x:c r="AJ51" s="54"/>
      <x:c r="AK51" s="54"/>
      <x:c r="AL51" s="54"/>
      <x:c r="AM51" s="54"/>
      <x:c r="AN51" s="54"/>
      <x:c r="AO51" s="54"/>
      <x:c r="AP51" s="54"/>
      <x:c r="AQ51" s="54"/>
      <x:c r="AR51" s="54"/>
      <x:c r="AS51" s="54"/>
      <x:c r="AT51" s="54"/>
      <x:c r="AU51" s="54"/>
      <x:c r="AV51" s="54"/>
      <x:c r="AW51" s="54"/>
    </x:row>
    <x:row r="52">
      <x:c r="A52" s="54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  <x:c r="AA52" s="54"/>
      <x:c r="AB52" s="54"/>
      <x:c r="AC52" s="54"/>
      <x:c r="AD52" s="54"/>
      <x:c r="AE52" s="54"/>
      <x:c r="AF52" s="54"/>
      <x:c r="AG52" s="54"/>
      <x:c r="AH52" s="54"/>
      <x:c r="AI52" s="54"/>
      <x:c r="AJ52" s="54"/>
      <x:c r="AK52" s="54"/>
      <x:c r="AL52" s="54"/>
      <x:c r="AM52" s="54"/>
      <x:c r="AN52" s="54"/>
      <x:c r="AO52" s="54"/>
      <x:c r="AP52" s="54"/>
      <x:c r="AQ52" s="54"/>
      <x:c r="AR52" s="54"/>
      <x:c r="AS52" s="54"/>
      <x:c r="AT52" s="54"/>
      <x:c r="AU52" s="54"/>
      <x:c r="AV52" s="54"/>
      <x:c r="AW52" s="54"/>
    </x:row>
    <x:row r="53">
      <x:c r="A53" s="54"/>
      <x:c r="B53" s="54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  <x:c r="AA53" s="54"/>
      <x:c r="AB53" s="54"/>
      <x:c r="AC53" s="54"/>
      <x:c r="AD53" s="54"/>
      <x:c r="AE53" s="54"/>
      <x:c r="AF53" s="54"/>
      <x:c r="AG53" s="54"/>
      <x:c r="AH53" s="54"/>
      <x:c r="AI53" s="54"/>
      <x:c r="AJ53" s="54"/>
      <x:c r="AK53" s="54"/>
      <x:c r="AL53" s="54"/>
      <x:c r="AM53" s="54"/>
      <x:c r="AN53" s="54"/>
      <x:c r="AO53" s="54"/>
      <x:c r="AP53" s="54"/>
      <x:c r="AQ53" s="54"/>
      <x:c r="AR53" s="54"/>
      <x:c r="AS53" s="54"/>
      <x:c r="AT53" s="54"/>
      <x:c r="AU53" s="54"/>
      <x:c r="AV53" s="54"/>
      <x:c r="AW53" s="54"/>
    </x:row>
    <x:row r="54">
      <x:c r="A54" s="54"/>
      <x:c r="B54" s="54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  <x:c r="AA54" s="54"/>
      <x:c r="AB54" s="54"/>
      <x:c r="AC54" s="54"/>
      <x:c r="AD54" s="54"/>
      <x:c r="AE54" s="54"/>
      <x:c r="AF54" s="54"/>
      <x:c r="AG54" s="54"/>
      <x:c r="AH54" s="54"/>
      <x:c r="AI54" s="54"/>
      <x:c r="AJ54" s="54"/>
      <x:c r="AK54" s="54"/>
      <x:c r="AL54" s="54"/>
      <x:c r="AM54" s="54"/>
      <x:c r="AN54" s="54"/>
      <x:c r="AO54" s="54"/>
      <x:c r="AP54" s="54"/>
      <x:c r="AQ54" s="54"/>
      <x:c r="AR54" s="54"/>
      <x:c r="AS54" s="54"/>
      <x:c r="AT54" s="54"/>
      <x:c r="AU54" s="54"/>
      <x:c r="AV54" s="54"/>
      <x:c r="AW54" s="54"/>
    </x:row>
    <x:row r="55">
      <x:c r="A55" s="54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  <x:c r="AA55" s="54"/>
      <x:c r="AB55" s="54"/>
      <x:c r="AC55" s="54"/>
      <x:c r="AD55" s="54"/>
      <x:c r="AE55" s="54"/>
      <x:c r="AF55" s="54"/>
      <x:c r="AG55" s="54"/>
      <x:c r="AH55" s="54"/>
      <x:c r="AI55" s="54"/>
      <x:c r="AJ55" s="54"/>
      <x:c r="AK55" s="54"/>
      <x:c r="AL55" s="54"/>
      <x:c r="AM55" s="54"/>
      <x:c r="AN55" s="54"/>
      <x:c r="AO55" s="54"/>
      <x:c r="AP55" s="54"/>
      <x:c r="AQ55" s="54"/>
      <x:c r="AR55" s="54"/>
      <x:c r="AS55" s="54"/>
      <x:c r="AT55" s="54"/>
      <x:c r="AU55" s="54"/>
      <x:c r="AV55" s="54"/>
      <x:c r="AW55" s="54"/>
    </x:row>
    <x:row r="56">
      <x:c r="A56" s="54"/>
      <x:c r="B56" s="54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  <x:c r="AA56" s="54"/>
      <x:c r="AB56" s="54"/>
      <x:c r="AC56" s="54"/>
      <x:c r="AD56" s="54"/>
      <x:c r="AE56" s="54"/>
      <x:c r="AF56" s="54"/>
      <x:c r="AG56" s="54"/>
      <x:c r="AH56" s="54"/>
      <x:c r="AI56" s="54"/>
      <x:c r="AJ56" s="54"/>
      <x:c r="AK56" s="54"/>
      <x:c r="AL56" s="54"/>
      <x:c r="AM56" s="54"/>
      <x:c r="AN56" s="54"/>
      <x:c r="AO56" s="54"/>
      <x:c r="AP56" s="54"/>
      <x:c r="AQ56" s="54"/>
      <x:c r="AR56" s="54"/>
      <x:c r="AS56" s="54"/>
      <x:c r="AT56" s="54"/>
      <x:c r="AU56" s="54"/>
      <x:c r="AV56" s="54"/>
      <x:c r="AW56" s="54"/>
    </x:row>
    <x:row r="57">
      <x:c r="A57" s="54"/>
      <x:c r="B57" s="54"/>
      <x:c r="C57" s="54"/>
      <x:c r="D57" s="54"/>
      <x:c r="E57" s="54"/>
      <x:c r="F57" s="54"/>
      <x:c r="G57" s="54"/>
      <x:c r="H57" s="54"/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  <x:c r="AA57" s="54"/>
      <x:c r="AB57" s="54"/>
      <x:c r="AC57" s="54"/>
      <x:c r="AD57" s="54"/>
      <x:c r="AE57" s="54"/>
      <x:c r="AF57" s="54"/>
      <x:c r="AG57" s="54"/>
      <x:c r="AH57" s="54"/>
      <x:c r="AI57" s="54"/>
      <x:c r="AJ57" s="54"/>
      <x:c r="AK57" s="54"/>
      <x:c r="AL57" s="54"/>
      <x:c r="AM57" s="54"/>
      <x:c r="AN57" s="54"/>
      <x:c r="AO57" s="54"/>
      <x:c r="AP57" s="54"/>
      <x:c r="AQ57" s="54"/>
      <x:c r="AR57" s="54"/>
      <x:c r="AS57" s="54"/>
      <x:c r="AT57" s="54"/>
      <x:c r="AU57" s="54"/>
      <x:c r="AV57" s="54"/>
      <x:c r="AW57" s="54"/>
    </x:row>
    <x:row r="58">
      <x:c r="A58" s="54"/>
      <x:c r="B58" s="54"/>
      <x:c r="C58" s="54"/>
      <x:c r="D58" s="54"/>
      <x:c r="E58" s="54"/>
      <x:c r="F58" s="54"/>
      <x:c r="G58" s="54"/>
      <x:c r="H58" s="54"/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  <x:c r="AA58" s="54"/>
      <x:c r="AB58" s="54"/>
      <x:c r="AC58" s="54"/>
      <x:c r="AD58" s="54"/>
      <x:c r="AE58" s="54"/>
      <x:c r="AF58" s="54"/>
      <x:c r="AG58" s="54"/>
      <x:c r="AH58" s="54"/>
      <x:c r="AI58" s="54"/>
      <x:c r="AJ58" s="54"/>
      <x:c r="AK58" s="54"/>
      <x:c r="AL58" s="54"/>
      <x:c r="AM58" s="54"/>
      <x:c r="AN58" s="54"/>
      <x:c r="AO58" s="54"/>
      <x:c r="AP58" s="54"/>
      <x:c r="AQ58" s="54"/>
      <x:c r="AR58" s="54"/>
      <x:c r="AS58" s="54"/>
      <x:c r="AT58" s="54"/>
      <x:c r="AU58" s="54"/>
      <x:c r="AV58" s="54"/>
      <x:c r="AW58" s="54"/>
    </x:row>
    <x:row r="59">
      <x:c r="A59" s="54"/>
      <x:c r="B59" s="54"/>
      <x:c r="C59" s="54"/>
      <x:c r="D59" s="54"/>
      <x:c r="E59" s="54"/>
      <x:c r="F59" s="54"/>
      <x:c r="G59" s="54"/>
      <x:c r="H59" s="54"/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  <x:c r="AA59" s="54"/>
      <x:c r="AB59" s="54"/>
      <x:c r="AC59" s="54"/>
      <x:c r="AD59" s="54"/>
      <x:c r="AE59" s="54"/>
      <x:c r="AF59" s="54"/>
      <x:c r="AG59" s="54"/>
      <x:c r="AH59" s="54"/>
      <x:c r="AI59" s="54"/>
      <x:c r="AJ59" s="54"/>
      <x:c r="AK59" s="54"/>
      <x:c r="AL59" s="54"/>
      <x:c r="AM59" s="54"/>
      <x:c r="AN59" s="54"/>
      <x:c r="AO59" s="54"/>
      <x:c r="AP59" s="54"/>
      <x:c r="AQ59" s="54"/>
      <x:c r="AR59" s="54"/>
      <x:c r="AS59" s="54"/>
      <x:c r="AT59" s="54"/>
      <x:c r="AU59" s="54"/>
      <x:c r="AV59" s="54"/>
      <x:c r="AW59" s="54"/>
    </x:row>
    <x:row r="60">
      <x:c r="A60" s="54"/>
      <x:c r="B60" s="54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  <x:c r="AA60" s="54"/>
      <x:c r="AB60" s="54"/>
      <x:c r="AC60" s="54"/>
      <x:c r="AD60" s="54"/>
      <x:c r="AE60" s="54"/>
      <x:c r="AF60" s="54"/>
      <x:c r="AG60" s="54"/>
      <x:c r="AH60" s="54"/>
      <x:c r="AI60" s="54"/>
      <x:c r="AJ60" s="54"/>
      <x:c r="AK60" s="54"/>
      <x:c r="AL60" s="54"/>
      <x:c r="AM60" s="54"/>
      <x:c r="AN60" s="54"/>
      <x:c r="AO60" s="54"/>
      <x:c r="AP60" s="54"/>
      <x:c r="AQ60" s="54"/>
      <x:c r="AR60" s="54"/>
      <x:c r="AS60" s="54"/>
      <x:c r="AT60" s="54"/>
      <x:c r="AU60" s="54"/>
      <x:c r="AV60" s="54"/>
      <x:c r="AW60" s="54"/>
    </x:row>
    <x:row r="61">
      <x:c r="A61" s="54"/>
      <x:c r="B61" s="54"/>
      <x:c r="C61" s="54"/>
      <x:c r="D61" s="54"/>
      <x:c r="E61" s="54"/>
      <x:c r="F61" s="54"/>
      <x:c r="G61" s="54"/>
      <x:c r="H61" s="54"/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  <x:c r="AA61" s="54"/>
      <x:c r="AB61" s="54"/>
      <x:c r="AC61" s="54"/>
      <x:c r="AD61" s="54"/>
      <x:c r="AE61" s="54"/>
      <x:c r="AF61" s="54"/>
      <x:c r="AG61" s="54"/>
      <x:c r="AH61" s="54"/>
      <x:c r="AI61" s="54"/>
      <x:c r="AJ61" s="54"/>
      <x:c r="AK61" s="54"/>
      <x:c r="AL61" s="54"/>
      <x:c r="AM61" s="54"/>
      <x:c r="AN61" s="54"/>
      <x:c r="AO61" s="54"/>
      <x:c r="AP61" s="54"/>
      <x:c r="AQ61" s="54"/>
      <x:c r="AR61" s="54"/>
      <x:c r="AS61" s="54"/>
      <x:c r="AT61" s="54"/>
      <x:c r="AU61" s="54"/>
      <x:c r="AV61" s="54"/>
      <x:c r="AW61" s="54"/>
    </x:row>
    <x:row r="62">
      <x:c r="A62" s="54"/>
      <x:c r="B62" s="54"/>
      <x:c r="C62" s="54"/>
      <x:c r="D62" s="54"/>
      <x:c r="E62" s="54"/>
      <x:c r="F62" s="54"/>
      <x:c r="G62" s="54"/>
      <x:c r="H62" s="54"/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  <x:c r="AA62" s="54"/>
      <x:c r="AB62" s="54"/>
      <x:c r="AC62" s="54"/>
      <x:c r="AD62" s="54"/>
      <x:c r="AE62" s="54"/>
      <x:c r="AF62" s="54"/>
      <x:c r="AG62" s="54"/>
      <x:c r="AH62" s="54"/>
      <x:c r="AI62" s="54"/>
      <x:c r="AJ62" s="54"/>
      <x:c r="AK62" s="54"/>
      <x:c r="AL62" s="54"/>
      <x:c r="AM62" s="54"/>
      <x:c r="AN62" s="54"/>
      <x:c r="AO62" s="54"/>
      <x:c r="AP62" s="54"/>
      <x:c r="AQ62" s="54"/>
      <x:c r="AR62" s="54"/>
      <x:c r="AS62" s="54"/>
      <x:c r="AT62" s="54"/>
      <x:c r="AU62" s="54"/>
      <x:c r="AV62" s="54"/>
      <x:c r="AW62" s="54"/>
    </x:row>
    <x:row r="63">
      <x:c r="A63" s="54"/>
      <x:c r="B63" s="54"/>
      <x:c r="C63" s="54"/>
      <x:c r="D63" s="54"/>
      <x:c r="E63" s="54"/>
      <x:c r="F63" s="54"/>
      <x:c r="G63" s="54"/>
      <x:c r="H63" s="54"/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  <x:c r="AA63" s="54"/>
      <x:c r="AB63" s="54"/>
      <x:c r="AC63" s="54"/>
      <x:c r="AD63" s="54"/>
      <x:c r="AE63" s="54"/>
      <x:c r="AF63" s="54"/>
      <x:c r="AG63" s="54"/>
      <x:c r="AH63" s="54"/>
      <x:c r="AI63" s="54"/>
      <x:c r="AJ63" s="54"/>
      <x:c r="AK63" s="54"/>
      <x:c r="AL63" s="54"/>
      <x:c r="AM63" s="54"/>
      <x:c r="AN63" s="54"/>
      <x:c r="AO63" s="54"/>
      <x:c r="AP63" s="54"/>
      <x:c r="AQ63" s="54"/>
      <x:c r="AR63" s="54"/>
      <x:c r="AS63" s="54"/>
      <x:c r="AT63" s="54"/>
      <x:c r="AU63" s="54"/>
      <x:c r="AV63" s="54"/>
      <x:c r="AW63" s="54"/>
    </x:row>
    <x:row r="64">
      <x:c r="A64" s="54"/>
      <x:c r="B64" s="54"/>
      <x:c r="C64" s="54"/>
      <x:c r="D64" s="54"/>
      <x:c r="E64" s="54"/>
      <x:c r="F64" s="54"/>
      <x:c r="G64" s="54"/>
      <x:c r="H64" s="54"/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  <x:c r="AA64" s="54"/>
      <x:c r="AB64" s="54"/>
      <x:c r="AC64" s="54"/>
      <x:c r="AD64" s="54"/>
      <x:c r="AE64" s="54"/>
      <x:c r="AF64" s="54"/>
      <x:c r="AG64" s="54"/>
      <x:c r="AH64" s="54"/>
      <x:c r="AI64" s="54"/>
      <x:c r="AJ64" s="54"/>
      <x:c r="AK64" s="54"/>
      <x:c r="AL64" s="54"/>
      <x:c r="AM64" s="54"/>
      <x:c r="AN64" s="54"/>
      <x:c r="AO64" s="54"/>
      <x:c r="AP64" s="54"/>
      <x:c r="AQ64" s="54"/>
      <x:c r="AR64" s="54"/>
      <x:c r="AS64" s="54"/>
      <x:c r="AT64" s="54"/>
      <x:c r="AU64" s="54"/>
      <x:c r="AV64" s="54"/>
      <x:c r="AW64" s="54"/>
    </x:row>
    <x:row r="65">
      <x:c r="A65" s="54"/>
      <x:c r="B65" s="54"/>
      <x:c r="C65" s="54"/>
      <x:c r="D65" s="54"/>
      <x:c r="E65" s="54"/>
      <x:c r="F65" s="54"/>
      <x:c r="G65" s="54"/>
      <x:c r="H65" s="54"/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  <x:c r="AA65" s="54"/>
      <x:c r="AB65" s="54"/>
      <x:c r="AC65" s="54"/>
      <x:c r="AD65" s="54"/>
      <x:c r="AE65" s="54"/>
      <x:c r="AF65" s="54"/>
      <x:c r="AG65" s="54"/>
      <x:c r="AH65" s="54"/>
      <x:c r="AI65" s="54"/>
      <x:c r="AJ65" s="54"/>
      <x:c r="AK65" s="54"/>
      <x:c r="AL65" s="54"/>
      <x:c r="AM65" s="54"/>
      <x:c r="AN65" s="54"/>
      <x:c r="AO65" s="54"/>
      <x:c r="AP65" s="54"/>
      <x:c r="AQ65" s="54"/>
      <x:c r="AR65" s="54"/>
      <x:c r="AS65" s="54"/>
      <x:c r="AT65" s="54"/>
      <x:c r="AU65" s="54"/>
      <x:c r="AV65" s="54"/>
      <x:c r="AW65" s="54"/>
    </x:row>
    <x:row r="66">
      <x:c r="A66" s="54"/>
      <x:c r="B66" s="54"/>
      <x:c r="C66" s="54"/>
      <x:c r="D66" s="54"/>
      <x:c r="E66" s="54"/>
      <x:c r="F66" s="54"/>
      <x:c r="G66" s="54"/>
      <x:c r="H66" s="54"/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  <x:c r="AA66" s="54"/>
      <x:c r="AB66" s="54"/>
      <x:c r="AC66" s="54"/>
      <x:c r="AD66" s="54"/>
      <x:c r="AE66" s="54"/>
      <x:c r="AF66" s="54"/>
      <x:c r="AG66" s="54"/>
      <x:c r="AH66" s="54"/>
      <x:c r="AI66" s="54"/>
      <x:c r="AJ66" s="54"/>
      <x:c r="AK66" s="54"/>
      <x:c r="AL66" s="54"/>
      <x:c r="AM66" s="54"/>
      <x:c r="AN66" s="54"/>
      <x:c r="AO66" s="54"/>
      <x:c r="AP66" s="54"/>
      <x:c r="AQ66" s="54"/>
      <x:c r="AR66" s="54"/>
      <x:c r="AS66" s="54"/>
      <x:c r="AT66" s="54"/>
      <x:c r="AU66" s="54"/>
      <x:c r="AV66" s="54"/>
      <x:c r="AW66" s="54"/>
    </x:row>
    <x:row r="67">
      <x:c r="A67" s="54"/>
      <x:c r="B67" s="54"/>
      <x:c r="C67" s="54"/>
      <x:c r="D67" s="54"/>
      <x:c r="E67" s="54"/>
      <x:c r="F67" s="54"/>
      <x:c r="G67" s="54"/>
      <x:c r="H67" s="54"/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  <x:c r="AA67" s="54"/>
      <x:c r="AB67" s="54"/>
      <x:c r="AC67" s="54"/>
      <x:c r="AD67" s="54"/>
      <x:c r="AE67" s="54"/>
      <x:c r="AF67" s="54"/>
      <x:c r="AG67" s="54"/>
      <x:c r="AH67" s="54"/>
      <x:c r="AI67" s="54"/>
      <x:c r="AJ67" s="54"/>
      <x:c r="AK67" s="54"/>
      <x:c r="AL67" s="54"/>
      <x:c r="AM67" s="54"/>
      <x:c r="AN67" s="54"/>
      <x:c r="AO67" s="54"/>
      <x:c r="AP67" s="54"/>
      <x:c r="AQ67" s="54"/>
      <x:c r="AR67" s="54"/>
      <x:c r="AS67" s="54"/>
      <x:c r="AT67" s="54"/>
      <x:c r="AU67" s="54"/>
      <x:c r="AV67" s="54"/>
      <x:c r="AW67" s="54"/>
    </x:row>
    <x:row r="68">
      <x:c r="A68" s="54"/>
      <x:c r="B68" s="54"/>
      <x:c r="C68" s="54"/>
      <x:c r="D68" s="54"/>
      <x:c r="E68" s="54"/>
      <x:c r="F68" s="54"/>
      <x:c r="G68" s="54"/>
      <x:c r="H68" s="54"/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  <x:c r="AA68" s="54"/>
      <x:c r="AB68" s="54"/>
      <x:c r="AC68" s="54"/>
      <x:c r="AD68" s="54"/>
      <x:c r="AE68" s="54"/>
      <x:c r="AF68" s="54"/>
      <x:c r="AG68" s="54"/>
      <x:c r="AH68" s="54"/>
      <x:c r="AI68" s="54"/>
      <x:c r="AJ68" s="54"/>
      <x:c r="AK68" s="54"/>
      <x:c r="AL68" s="54"/>
      <x:c r="AM68" s="54"/>
      <x:c r="AN68" s="54"/>
      <x:c r="AO68" s="54"/>
      <x:c r="AP68" s="54"/>
      <x:c r="AQ68" s="54"/>
      <x:c r="AR68" s="54"/>
      <x:c r="AS68" s="54"/>
      <x:c r="AT68" s="54"/>
      <x:c r="AU68" s="54"/>
      <x:c r="AV68" s="54"/>
      <x:c r="AW68" s="54"/>
    </x:row>
    <x:row r="69">
      <x:c r="A69" s="54"/>
      <x:c r="B69" s="54"/>
      <x:c r="C69" s="54"/>
      <x:c r="D69" s="54"/>
      <x:c r="E69" s="54"/>
      <x:c r="F69" s="54"/>
      <x:c r="G69" s="54"/>
      <x:c r="H69" s="54"/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  <x:c r="AA69" s="54"/>
      <x:c r="AB69" s="54"/>
      <x:c r="AC69" s="54"/>
      <x:c r="AD69" s="54"/>
      <x:c r="AE69" s="54"/>
      <x:c r="AF69" s="54"/>
      <x:c r="AG69" s="54"/>
      <x:c r="AH69" s="54"/>
      <x:c r="AI69" s="54"/>
      <x:c r="AJ69" s="54"/>
      <x:c r="AK69" s="54"/>
      <x:c r="AL69" s="54"/>
      <x:c r="AM69" s="54"/>
      <x:c r="AN69" s="54"/>
      <x:c r="AO69" s="54"/>
      <x:c r="AP69" s="54"/>
      <x:c r="AQ69" s="54"/>
      <x:c r="AR69" s="54"/>
      <x:c r="AS69" s="54"/>
      <x:c r="AT69" s="54"/>
      <x:c r="AU69" s="54"/>
      <x:c r="AV69" s="54"/>
      <x:c r="AW69" s="54"/>
    </x:row>
    <x:row r="70">
      <x:c r="A70" s="54"/>
      <x:c r="B70" s="54"/>
      <x:c r="C70" s="54"/>
      <x:c r="D70" s="54"/>
      <x:c r="E70" s="54"/>
      <x:c r="F70" s="54"/>
      <x:c r="G70" s="54"/>
      <x:c r="H70" s="54"/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  <x:c r="AA70" s="54"/>
      <x:c r="AB70" s="54"/>
      <x:c r="AC70" s="54"/>
      <x:c r="AD70" s="54"/>
      <x:c r="AE70" s="54"/>
      <x:c r="AF70" s="54"/>
      <x:c r="AG70" s="54"/>
      <x:c r="AH70" s="54"/>
      <x:c r="AI70" s="54"/>
      <x:c r="AJ70" s="54"/>
      <x:c r="AK70" s="54"/>
      <x:c r="AL70" s="54"/>
      <x:c r="AM70" s="54"/>
      <x:c r="AN70" s="54"/>
      <x:c r="AO70" s="54"/>
      <x:c r="AP70" s="54"/>
      <x:c r="AQ70" s="54"/>
      <x:c r="AR70" s="54"/>
      <x:c r="AS70" s="54"/>
      <x:c r="AT70" s="54"/>
      <x:c r="AU70" s="54"/>
      <x:c r="AV70" s="54"/>
      <x:c r="AW70" s="54"/>
    </x:row>
    <x:row r="71">
      <x:c r="A71" s="54"/>
      <x:c r="B71" s="54"/>
      <x:c r="C71" s="54"/>
      <x:c r="D71" s="54"/>
      <x:c r="E71" s="54"/>
      <x:c r="F71" s="54"/>
      <x:c r="G71" s="54"/>
      <x:c r="H71" s="54"/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  <x:c r="AA71" s="54"/>
      <x:c r="AB71" s="54"/>
      <x:c r="AC71" s="54"/>
      <x:c r="AD71" s="54"/>
      <x:c r="AE71" s="54"/>
      <x:c r="AF71" s="54"/>
      <x:c r="AG71" s="54"/>
      <x:c r="AH71" s="54"/>
      <x:c r="AI71" s="54"/>
      <x:c r="AJ71" s="54"/>
      <x:c r="AK71" s="54"/>
      <x:c r="AL71" s="54"/>
      <x:c r="AM71" s="54"/>
      <x:c r="AN71" s="54"/>
      <x:c r="AO71" s="54"/>
      <x:c r="AP71" s="54"/>
      <x:c r="AQ71" s="54"/>
      <x:c r="AR71" s="54"/>
      <x:c r="AS71" s="54"/>
      <x:c r="AT71" s="54"/>
      <x:c r="AU71" s="54"/>
      <x:c r="AV71" s="54"/>
      <x:c r="AW71" s="54"/>
    </x:row>
    <x:row r="72">
      <x:c r="A72" s="54"/>
      <x:c r="B72" s="54"/>
      <x:c r="C72" s="54"/>
      <x:c r="D72" s="54"/>
      <x:c r="E72" s="54"/>
      <x:c r="F72" s="54"/>
      <x:c r="G72" s="54"/>
      <x:c r="H72" s="54"/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  <x:c r="AA72" s="54"/>
      <x:c r="AB72" s="54"/>
      <x:c r="AC72" s="54"/>
      <x:c r="AD72" s="54"/>
      <x:c r="AE72" s="54"/>
      <x:c r="AF72" s="54"/>
      <x:c r="AG72" s="54"/>
      <x:c r="AH72" s="54"/>
      <x:c r="AI72" s="54"/>
      <x:c r="AJ72" s="54"/>
      <x:c r="AK72" s="54"/>
      <x:c r="AL72" s="54"/>
      <x:c r="AM72" s="54"/>
      <x:c r="AN72" s="54"/>
      <x:c r="AO72" s="54"/>
      <x:c r="AP72" s="54"/>
      <x:c r="AQ72" s="54"/>
      <x:c r="AR72" s="54"/>
      <x:c r="AS72" s="54"/>
      <x:c r="AT72" s="54"/>
      <x:c r="AU72" s="54"/>
      <x:c r="AV72" s="54"/>
      <x:c r="AW72" s="54"/>
    </x:row>
    <x:row r="73">
      <x:c r="A73" s="54"/>
      <x:c r="B73" s="54"/>
      <x:c r="C73" s="54"/>
      <x:c r="D73" s="54"/>
      <x:c r="E73" s="54"/>
      <x:c r="F73" s="54"/>
      <x:c r="G73" s="54"/>
      <x:c r="H73" s="54"/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  <x:c r="AA73" s="54"/>
      <x:c r="AB73" s="54"/>
      <x:c r="AC73" s="54"/>
      <x:c r="AD73" s="54"/>
      <x:c r="AE73" s="54"/>
      <x:c r="AF73" s="54"/>
      <x:c r="AG73" s="54"/>
      <x:c r="AH73" s="54"/>
      <x:c r="AI73" s="54"/>
      <x:c r="AJ73" s="54"/>
      <x:c r="AK73" s="54"/>
      <x:c r="AL73" s="54"/>
      <x:c r="AM73" s="54"/>
      <x:c r="AN73" s="54"/>
      <x:c r="AO73" s="54"/>
      <x:c r="AP73" s="54"/>
      <x:c r="AQ73" s="54"/>
      <x:c r="AR73" s="54"/>
      <x:c r="AS73" s="54"/>
      <x:c r="AT73" s="54"/>
      <x:c r="AU73" s="54"/>
      <x:c r="AV73" s="54"/>
      <x:c r="AW73" s="54"/>
    </x:row>
    <x:row r="74">
      <x:c r="A74" s="54"/>
      <x:c r="B74" s="54"/>
      <x:c r="C74" s="54"/>
      <x:c r="D74" s="54"/>
      <x:c r="E74" s="54"/>
      <x:c r="F74" s="54"/>
      <x:c r="G74" s="54"/>
      <x:c r="H74" s="54"/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  <x:c r="AA74" s="54"/>
      <x:c r="AB74" s="54"/>
      <x:c r="AC74" s="54"/>
      <x:c r="AD74" s="54"/>
      <x:c r="AE74" s="54"/>
      <x:c r="AF74" s="54"/>
      <x:c r="AG74" s="54"/>
      <x:c r="AH74" s="54"/>
      <x:c r="AI74" s="54"/>
      <x:c r="AJ74" s="54"/>
      <x:c r="AK74" s="54"/>
      <x:c r="AL74" s="54"/>
      <x:c r="AM74" s="54"/>
      <x:c r="AN74" s="54"/>
      <x:c r="AO74" s="54"/>
      <x:c r="AP74" s="54"/>
      <x:c r="AQ74" s="54"/>
      <x:c r="AR74" s="54"/>
      <x:c r="AS74" s="54"/>
      <x:c r="AT74" s="54"/>
      <x:c r="AU74" s="54"/>
      <x:c r="AV74" s="54"/>
      <x:c r="AW74" s="54"/>
    </x:row>
    <x:row r="75">
      <x:c r="A75" s="54"/>
      <x:c r="B75" s="54"/>
      <x:c r="C75" s="54"/>
      <x:c r="D75" s="54"/>
      <x:c r="E75" s="54"/>
      <x:c r="F75" s="54"/>
      <x:c r="G75" s="54"/>
      <x:c r="H75" s="54"/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  <x:c r="AA75" s="54"/>
      <x:c r="AB75" s="54"/>
      <x:c r="AC75" s="54"/>
      <x:c r="AD75" s="54"/>
      <x:c r="AE75" s="54"/>
      <x:c r="AF75" s="54"/>
      <x:c r="AG75" s="54"/>
      <x:c r="AH75" s="54"/>
      <x:c r="AI75" s="54"/>
      <x:c r="AJ75" s="54"/>
      <x:c r="AK75" s="54"/>
      <x:c r="AL75" s="54"/>
      <x:c r="AM75" s="54"/>
      <x:c r="AN75" s="54"/>
      <x:c r="AO75" s="54"/>
      <x:c r="AP75" s="54"/>
      <x:c r="AQ75" s="54"/>
      <x:c r="AR75" s="54"/>
      <x:c r="AS75" s="54"/>
      <x:c r="AT75" s="54"/>
      <x:c r="AU75" s="54"/>
      <x:c r="AV75" s="54"/>
      <x:c r="AW75" s="54"/>
    </x:row>
    <x:row r="76">
      <x:c r="A76" s="54"/>
      <x:c r="B76" s="54"/>
      <x:c r="C76" s="54"/>
      <x:c r="D76" s="54"/>
      <x:c r="E76" s="54"/>
      <x:c r="F76" s="54"/>
      <x:c r="G76" s="54"/>
      <x:c r="H76" s="54"/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  <x:c r="AA76" s="54"/>
      <x:c r="AB76" s="54"/>
      <x:c r="AC76" s="54"/>
      <x:c r="AD76" s="54"/>
      <x:c r="AE76" s="54"/>
      <x:c r="AF76" s="54"/>
      <x:c r="AG76" s="54"/>
      <x:c r="AH76" s="54"/>
      <x:c r="AI76" s="54"/>
      <x:c r="AJ76" s="54"/>
      <x:c r="AK76" s="54"/>
      <x:c r="AL76" s="54"/>
      <x:c r="AM76" s="54"/>
      <x:c r="AN76" s="54"/>
      <x:c r="AO76" s="54"/>
      <x:c r="AP76" s="54"/>
      <x:c r="AQ76" s="54"/>
      <x:c r="AR76" s="54"/>
      <x:c r="AS76" s="54"/>
      <x:c r="AT76" s="54"/>
      <x:c r="AU76" s="54"/>
      <x:c r="AV76" s="54"/>
      <x:c r="AW76" s="54"/>
    </x:row>
    <x:row r="77">
      <x:c r="A77" s="54"/>
      <x:c r="B77" s="54"/>
      <x:c r="C77" s="54"/>
      <x:c r="D77" s="54"/>
      <x:c r="E77" s="54"/>
      <x:c r="F77" s="54"/>
      <x:c r="G77" s="54"/>
      <x:c r="H77" s="54"/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  <x:c r="AA77" s="54"/>
      <x:c r="AB77" s="54"/>
      <x:c r="AC77" s="54"/>
      <x:c r="AD77" s="54"/>
      <x:c r="AE77" s="54"/>
      <x:c r="AF77" s="54"/>
      <x:c r="AG77" s="54"/>
      <x:c r="AH77" s="54"/>
      <x:c r="AI77" s="54"/>
      <x:c r="AJ77" s="54"/>
      <x:c r="AK77" s="54"/>
      <x:c r="AL77" s="54"/>
      <x:c r="AM77" s="54"/>
      <x:c r="AN77" s="54"/>
      <x:c r="AO77" s="54"/>
      <x:c r="AP77" s="54"/>
      <x:c r="AQ77" s="54"/>
      <x:c r="AR77" s="54"/>
      <x:c r="AS77" s="54"/>
      <x:c r="AT77" s="54"/>
      <x:c r="AU77" s="54"/>
      <x:c r="AV77" s="54"/>
      <x:c r="AW77" s="54"/>
    </x:row>
    <x:row r="78">
      <x:c r="A78" s="54"/>
      <x:c r="B78" s="54"/>
      <x:c r="C78" s="54"/>
      <x:c r="D78" s="54"/>
      <x:c r="E78" s="54"/>
      <x:c r="F78" s="54"/>
      <x:c r="G78" s="54"/>
      <x:c r="H78" s="54"/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  <x:c r="AA78" s="54"/>
      <x:c r="AB78" s="54"/>
      <x:c r="AC78" s="54"/>
      <x:c r="AD78" s="54"/>
      <x:c r="AE78" s="54"/>
      <x:c r="AF78" s="54"/>
      <x:c r="AG78" s="54"/>
      <x:c r="AH78" s="54"/>
      <x:c r="AI78" s="54"/>
      <x:c r="AJ78" s="54"/>
      <x:c r="AK78" s="54"/>
      <x:c r="AL78" s="54"/>
      <x:c r="AM78" s="54"/>
      <x:c r="AN78" s="54"/>
      <x:c r="AO78" s="54"/>
      <x:c r="AP78" s="54"/>
      <x:c r="AQ78" s="54"/>
      <x:c r="AR78" s="54"/>
      <x:c r="AS78" s="54"/>
      <x:c r="AT78" s="54"/>
      <x:c r="AU78" s="54"/>
      <x:c r="AV78" s="54"/>
      <x:c r="AW78" s="54"/>
    </x:row>
    <x:row r="79">
      <x:c r="A79" s="54"/>
      <x:c r="B79" s="54"/>
      <x:c r="C79" s="54"/>
      <x:c r="D79" s="54"/>
      <x:c r="E79" s="54"/>
      <x:c r="F79" s="54"/>
      <x:c r="G79" s="54"/>
      <x:c r="H79" s="54"/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  <x:c r="AA79" s="54"/>
      <x:c r="AB79" s="54"/>
      <x:c r="AC79" s="54"/>
      <x:c r="AD79" s="54"/>
      <x:c r="AE79" s="54"/>
      <x:c r="AF79" s="54"/>
      <x:c r="AG79" s="54"/>
      <x:c r="AH79" s="54"/>
      <x:c r="AI79" s="54"/>
      <x:c r="AJ79" s="54"/>
      <x:c r="AK79" s="54"/>
      <x:c r="AL79" s="54"/>
      <x:c r="AM79" s="54"/>
      <x:c r="AN79" s="54"/>
      <x:c r="AO79" s="54"/>
      <x:c r="AP79" s="54"/>
      <x:c r="AQ79" s="54"/>
      <x:c r="AR79" s="54"/>
      <x:c r="AS79" s="54"/>
      <x:c r="AT79" s="54"/>
      <x:c r="AU79" s="54"/>
      <x:c r="AV79" s="54"/>
      <x:c r="AW79" s="54"/>
    </x:row>
    <x:row r="80">
      <x:c r="A80" s="54"/>
      <x:c r="B80" s="54"/>
      <x:c r="C80" s="54"/>
      <x:c r="D80" s="54"/>
      <x:c r="E80" s="54"/>
      <x:c r="F80" s="54"/>
      <x:c r="G80" s="54"/>
      <x:c r="H80" s="54"/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  <x:c r="AA80" s="54"/>
      <x:c r="AB80" s="54"/>
      <x:c r="AC80" s="54"/>
      <x:c r="AD80" s="54"/>
      <x:c r="AE80" s="54"/>
      <x:c r="AF80" s="54"/>
      <x:c r="AG80" s="54"/>
      <x:c r="AH80" s="54"/>
      <x:c r="AI80" s="54"/>
      <x:c r="AJ80" s="54"/>
      <x:c r="AK80" s="54"/>
      <x:c r="AL80" s="54"/>
      <x:c r="AM80" s="54"/>
      <x:c r="AN80" s="54"/>
      <x:c r="AO80" s="54"/>
      <x:c r="AP80" s="54"/>
      <x:c r="AQ80" s="54"/>
      <x:c r="AR80" s="54"/>
      <x:c r="AS80" s="54"/>
      <x:c r="AT80" s="54"/>
      <x:c r="AU80" s="54"/>
      <x:c r="AV80" s="54"/>
      <x:c r="AW80" s="54"/>
    </x:row>
    <x:row r="81">
      <x:c r="A81" s="54"/>
      <x:c r="B81" s="54"/>
      <x:c r="C81" s="54"/>
      <x:c r="D81" s="54"/>
      <x:c r="E81" s="54"/>
      <x:c r="F81" s="54"/>
      <x:c r="G81" s="54"/>
      <x:c r="H81" s="54"/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  <x:c r="AA81" s="54"/>
      <x:c r="AB81" s="54"/>
      <x:c r="AC81" s="54"/>
      <x:c r="AD81" s="54"/>
      <x:c r="AE81" s="54"/>
      <x:c r="AF81" s="54"/>
      <x:c r="AG81" s="54"/>
      <x:c r="AH81" s="54"/>
      <x:c r="AI81" s="54"/>
      <x:c r="AJ81" s="54"/>
      <x:c r="AK81" s="54"/>
      <x:c r="AL81" s="54"/>
      <x:c r="AM81" s="54"/>
      <x:c r="AN81" s="54"/>
      <x:c r="AO81" s="54"/>
      <x:c r="AP81" s="54"/>
      <x:c r="AQ81" s="54"/>
      <x:c r="AR81" s="54"/>
      <x:c r="AS81" s="54"/>
      <x:c r="AT81" s="54"/>
      <x:c r="AU81" s="54"/>
      <x:c r="AV81" s="54"/>
      <x:c r="AW81" s="54"/>
    </x:row>
    <x:row r="82">
      <x:c r="A82" s="54"/>
      <x:c r="B82" s="54"/>
      <x:c r="C82" s="54"/>
      <x:c r="D82" s="54"/>
      <x:c r="E82" s="54"/>
      <x:c r="F82" s="54"/>
      <x:c r="G82" s="54"/>
      <x:c r="H82" s="54"/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  <x:c r="AA82" s="54"/>
      <x:c r="AB82" s="54"/>
      <x:c r="AC82" s="54"/>
      <x:c r="AD82" s="54"/>
      <x:c r="AE82" s="54"/>
      <x:c r="AF82" s="54"/>
      <x:c r="AG82" s="54"/>
      <x:c r="AH82" s="54"/>
      <x:c r="AI82" s="54"/>
      <x:c r="AJ82" s="54"/>
      <x:c r="AK82" s="54"/>
      <x:c r="AL82" s="54"/>
      <x:c r="AM82" s="54"/>
      <x:c r="AN82" s="54"/>
      <x:c r="AO82" s="54"/>
      <x:c r="AP82" s="54"/>
      <x:c r="AQ82" s="54"/>
      <x:c r="AR82" s="54"/>
      <x:c r="AS82" s="54"/>
      <x:c r="AT82" s="54"/>
      <x:c r="AU82" s="54"/>
      <x:c r="AV82" s="54"/>
      <x:c r="AW82" s="54"/>
    </x:row>
    <x:row r="83">
      <x:c r="A83" s="54"/>
      <x:c r="B83" s="54"/>
      <x:c r="C83" s="54"/>
      <x:c r="D83" s="54"/>
      <x:c r="E83" s="54"/>
      <x:c r="F83" s="54"/>
      <x:c r="G83" s="54"/>
      <x:c r="H83" s="54"/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  <x:c r="AA83" s="54"/>
      <x:c r="AB83" s="54"/>
      <x:c r="AC83" s="54"/>
      <x:c r="AD83" s="54"/>
      <x:c r="AE83" s="54"/>
      <x:c r="AF83" s="54"/>
      <x:c r="AG83" s="54"/>
      <x:c r="AH83" s="54"/>
      <x:c r="AI83" s="54"/>
      <x:c r="AJ83" s="54"/>
      <x:c r="AK83" s="54"/>
      <x:c r="AL83" s="54"/>
      <x:c r="AM83" s="54"/>
      <x:c r="AN83" s="54"/>
      <x:c r="AO83" s="54"/>
      <x:c r="AP83" s="54"/>
      <x:c r="AQ83" s="54"/>
      <x:c r="AR83" s="54"/>
      <x:c r="AS83" s="54"/>
      <x:c r="AT83" s="54"/>
      <x:c r="AU83" s="54"/>
      <x:c r="AV83" s="54"/>
      <x:c r="AW83" s="54"/>
    </x:row>
    <x:row r="84">
      <x:c r="A84" s="54"/>
      <x:c r="B84" s="54"/>
      <x:c r="C84" s="54"/>
      <x:c r="D84" s="54"/>
      <x:c r="E84" s="54"/>
      <x:c r="F84" s="54"/>
      <x:c r="G84" s="54"/>
      <x:c r="H84" s="54"/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  <x:c r="AA84" s="54"/>
      <x:c r="AB84" s="54"/>
      <x:c r="AC84" s="54"/>
      <x:c r="AD84" s="54"/>
      <x:c r="AE84" s="54"/>
      <x:c r="AF84" s="54"/>
      <x:c r="AG84" s="54"/>
      <x:c r="AH84" s="54"/>
      <x:c r="AI84" s="54"/>
      <x:c r="AJ84" s="54"/>
      <x:c r="AK84" s="54"/>
      <x:c r="AL84" s="54"/>
      <x:c r="AM84" s="54"/>
      <x:c r="AN84" s="54"/>
      <x:c r="AO84" s="54"/>
      <x:c r="AP84" s="54"/>
      <x:c r="AQ84" s="54"/>
      <x:c r="AR84" s="54"/>
      <x:c r="AS84" s="54"/>
      <x:c r="AT84" s="54"/>
      <x:c r="AU84" s="54"/>
      <x:c r="AV84" s="54"/>
      <x:c r="AW84" s="54"/>
    </x:row>
    <x:row r="85">
      <x:c r="A85" s="54"/>
      <x:c r="B85" s="54"/>
      <x:c r="C85" s="54"/>
      <x:c r="D85" s="54"/>
      <x:c r="E85" s="54"/>
      <x:c r="F85" s="54"/>
      <x:c r="G85" s="54"/>
      <x:c r="H85" s="54"/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  <x:c r="AA85" s="54"/>
      <x:c r="AB85" s="54"/>
      <x:c r="AC85" s="54"/>
      <x:c r="AD85" s="54"/>
      <x:c r="AE85" s="54"/>
      <x:c r="AF85" s="54"/>
      <x:c r="AG85" s="54"/>
      <x:c r="AH85" s="54"/>
      <x:c r="AI85" s="54"/>
      <x:c r="AJ85" s="54"/>
      <x:c r="AK85" s="54"/>
      <x:c r="AL85" s="54"/>
      <x:c r="AM85" s="54"/>
      <x:c r="AN85" s="54"/>
      <x:c r="AO85" s="54"/>
      <x:c r="AP85" s="54"/>
      <x:c r="AQ85" s="54"/>
      <x:c r="AR85" s="54"/>
      <x:c r="AS85" s="54"/>
      <x:c r="AT85" s="54"/>
      <x:c r="AU85" s="54"/>
      <x:c r="AV85" s="54"/>
      <x:c r="AW85" s="54"/>
    </x:row>
    <x:row r="86">
      <x:c r="A86" s="54"/>
      <x:c r="B86" s="54"/>
      <x:c r="C86" s="54"/>
      <x:c r="D86" s="54"/>
      <x:c r="E86" s="54"/>
      <x:c r="F86" s="54"/>
      <x:c r="G86" s="54"/>
      <x:c r="H86" s="54"/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  <x:c r="AA86" s="54"/>
      <x:c r="AB86" s="54"/>
      <x:c r="AC86" s="54"/>
      <x:c r="AD86" s="54"/>
      <x:c r="AE86" s="54"/>
      <x:c r="AF86" s="54"/>
      <x:c r="AG86" s="54"/>
      <x:c r="AH86" s="54"/>
      <x:c r="AI86" s="54"/>
      <x:c r="AJ86" s="54"/>
      <x:c r="AK86" s="54"/>
      <x:c r="AL86" s="54"/>
      <x:c r="AM86" s="54"/>
      <x:c r="AN86" s="54"/>
      <x:c r="AO86" s="54"/>
      <x:c r="AP86" s="54"/>
      <x:c r="AQ86" s="54"/>
      <x:c r="AR86" s="54"/>
      <x:c r="AS86" s="54"/>
      <x:c r="AT86" s="54"/>
      <x:c r="AU86" s="54"/>
      <x:c r="AV86" s="54"/>
      <x:c r="AW86" s="54"/>
    </x:row>
    <x:row r="87">
      <x:c r="A87" s="54"/>
      <x:c r="B87" s="54"/>
      <x:c r="C87" s="54"/>
      <x:c r="D87" s="54"/>
      <x:c r="E87" s="54"/>
      <x:c r="F87" s="54"/>
      <x:c r="G87" s="54"/>
      <x:c r="H87" s="54"/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  <x:c r="AA87" s="54"/>
      <x:c r="AB87" s="54"/>
      <x:c r="AC87" s="54"/>
      <x:c r="AD87" s="54"/>
      <x:c r="AE87" s="54"/>
      <x:c r="AF87" s="54"/>
      <x:c r="AG87" s="54"/>
      <x:c r="AH87" s="54"/>
      <x:c r="AI87" s="54"/>
      <x:c r="AJ87" s="54"/>
      <x:c r="AK87" s="54"/>
      <x:c r="AL87" s="54"/>
      <x:c r="AM87" s="54"/>
      <x:c r="AN87" s="54"/>
      <x:c r="AO87" s="54"/>
      <x:c r="AP87" s="54"/>
      <x:c r="AQ87" s="54"/>
      <x:c r="AR87" s="54"/>
      <x:c r="AS87" s="54"/>
      <x:c r="AT87" s="54"/>
      <x:c r="AU87" s="54"/>
      <x:c r="AV87" s="54"/>
      <x:c r="AW87" s="54"/>
    </x:row>
    <x:row r="88">
      <x:c r="A88" s="54"/>
      <x:c r="B88" s="54"/>
      <x:c r="C88" s="54"/>
      <x:c r="D88" s="54"/>
      <x:c r="E88" s="54"/>
      <x:c r="F88" s="54"/>
      <x:c r="G88" s="54"/>
      <x:c r="H88" s="54"/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  <x:c r="AA88" s="54"/>
      <x:c r="AB88" s="54"/>
      <x:c r="AC88" s="54"/>
      <x:c r="AD88" s="54"/>
      <x:c r="AE88" s="54"/>
      <x:c r="AF88" s="54"/>
      <x:c r="AG88" s="54"/>
      <x:c r="AH88" s="54"/>
      <x:c r="AI88" s="54"/>
      <x:c r="AJ88" s="54"/>
      <x:c r="AK88" s="54"/>
      <x:c r="AL88" s="54"/>
      <x:c r="AM88" s="54"/>
      <x:c r="AN88" s="54"/>
      <x:c r="AO88" s="54"/>
      <x:c r="AP88" s="54"/>
      <x:c r="AQ88" s="54"/>
      <x:c r="AR88" s="54"/>
      <x:c r="AS88" s="54"/>
      <x:c r="AT88" s="54"/>
      <x:c r="AU88" s="54"/>
      <x:c r="AV88" s="54"/>
      <x:c r="AW88" s="54"/>
    </x:row>
    <x:row r="89">
      <x:c r="A89" s="54"/>
      <x:c r="B89" s="54"/>
      <x:c r="C89" s="54"/>
      <x:c r="D89" s="54"/>
      <x:c r="E89" s="54"/>
      <x:c r="F89" s="54"/>
      <x:c r="G89" s="54"/>
      <x:c r="H89" s="54"/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  <x:c r="AA89" s="54"/>
      <x:c r="AB89" s="54"/>
      <x:c r="AC89" s="54"/>
      <x:c r="AD89" s="54"/>
      <x:c r="AE89" s="54"/>
      <x:c r="AF89" s="54"/>
      <x:c r="AG89" s="54"/>
      <x:c r="AH89" s="54"/>
      <x:c r="AI89" s="54"/>
      <x:c r="AJ89" s="54"/>
      <x:c r="AK89" s="54"/>
      <x:c r="AL89" s="54"/>
      <x:c r="AM89" s="54"/>
      <x:c r="AN89" s="54"/>
      <x:c r="AO89" s="54"/>
      <x:c r="AP89" s="54"/>
      <x:c r="AQ89" s="54"/>
      <x:c r="AR89" s="54"/>
      <x:c r="AS89" s="54"/>
      <x:c r="AT89" s="54"/>
      <x:c r="AU89" s="54"/>
      <x:c r="AV89" s="54"/>
      <x:c r="AW89" s="54"/>
    </x:row>
    <x:row r="90">
      <x:c r="A90" s="54"/>
      <x:c r="B90" s="54"/>
      <x:c r="C90" s="54"/>
      <x:c r="D90" s="54"/>
      <x:c r="E90" s="54"/>
      <x:c r="F90" s="54"/>
      <x:c r="G90" s="54"/>
      <x:c r="H90" s="54"/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  <x:c r="AA90" s="54"/>
      <x:c r="AB90" s="54"/>
      <x:c r="AC90" s="54"/>
      <x:c r="AD90" s="54"/>
      <x:c r="AE90" s="54"/>
      <x:c r="AF90" s="54"/>
      <x:c r="AG90" s="54"/>
      <x:c r="AH90" s="54"/>
      <x:c r="AI90" s="54"/>
      <x:c r="AJ90" s="54"/>
      <x:c r="AK90" s="54"/>
      <x:c r="AL90" s="54"/>
      <x:c r="AM90" s="54"/>
      <x:c r="AN90" s="54"/>
      <x:c r="AO90" s="54"/>
      <x:c r="AP90" s="54"/>
      <x:c r="AQ90" s="54"/>
      <x:c r="AR90" s="54"/>
      <x:c r="AS90" s="54"/>
      <x:c r="AT90" s="54"/>
      <x:c r="AU90" s="54"/>
      <x:c r="AV90" s="54"/>
      <x:c r="AW90" s="54"/>
    </x:row>
    <x:row r="91">
      <x:c r="A91" s="54"/>
      <x:c r="B91" s="54"/>
      <x:c r="C91" s="54"/>
      <x:c r="D91" s="54"/>
      <x:c r="E91" s="54"/>
      <x:c r="F91" s="54"/>
      <x:c r="G91" s="54"/>
      <x:c r="H91" s="54"/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  <x:c r="AA91" s="54"/>
      <x:c r="AB91" s="54"/>
      <x:c r="AC91" s="54"/>
      <x:c r="AD91" s="54"/>
      <x:c r="AE91" s="54"/>
      <x:c r="AF91" s="54"/>
      <x:c r="AG91" s="54"/>
      <x:c r="AH91" s="54"/>
      <x:c r="AI91" s="54"/>
      <x:c r="AJ91" s="54"/>
      <x:c r="AK91" s="54"/>
      <x:c r="AL91" s="54"/>
      <x:c r="AM91" s="54"/>
      <x:c r="AN91" s="54"/>
      <x:c r="AO91" s="54"/>
      <x:c r="AP91" s="54"/>
      <x:c r="AQ91" s="54"/>
      <x:c r="AR91" s="54"/>
      <x:c r="AS91" s="54"/>
      <x:c r="AT91" s="54"/>
      <x:c r="AU91" s="54"/>
      <x:c r="AV91" s="54"/>
      <x:c r="AW91" s="54"/>
    </x:row>
    <x:row r="92">
      <x:c r="A92" s="54"/>
      <x:c r="B92" s="54"/>
      <x:c r="C92" s="54"/>
      <x:c r="D92" s="54"/>
      <x:c r="E92" s="54"/>
      <x:c r="F92" s="54"/>
      <x:c r="G92" s="54"/>
      <x:c r="H92" s="54"/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  <x:c r="AA92" s="54"/>
      <x:c r="AB92" s="54"/>
      <x:c r="AC92" s="54"/>
      <x:c r="AD92" s="54"/>
      <x:c r="AE92" s="54"/>
      <x:c r="AF92" s="54"/>
      <x:c r="AG92" s="54"/>
      <x:c r="AH92" s="54"/>
      <x:c r="AI92" s="54"/>
      <x:c r="AJ92" s="54"/>
      <x:c r="AK92" s="54"/>
      <x:c r="AL92" s="54"/>
      <x:c r="AM92" s="54"/>
      <x:c r="AN92" s="54"/>
      <x:c r="AO92" s="54"/>
      <x:c r="AP92" s="54"/>
      <x:c r="AQ92" s="54"/>
      <x:c r="AR92" s="54"/>
      <x:c r="AS92" s="54"/>
      <x:c r="AT92" s="54"/>
      <x:c r="AU92" s="54"/>
      <x:c r="AV92" s="54"/>
      <x:c r="AW92" s="54"/>
    </x:row>
    <x:row r="93">
      <x:c r="A93" s="54"/>
      <x:c r="B93" s="54"/>
      <x:c r="C93" s="54"/>
      <x:c r="D93" s="54"/>
      <x:c r="E93" s="54"/>
      <x:c r="F93" s="54"/>
      <x:c r="G93" s="54"/>
      <x:c r="H93" s="54"/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  <x:c r="AA93" s="54"/>
      <x:c r="AB93" s="54"/>
      <x:c r="AC93" s="54"/>
      <x:c r="AD93" s="54"/>
      <x:c r="AE93" s="54"/>
      <x:c r="AF93" s="54"/>
      <x:c r="AG93" s="54"/>
      <x:c r="AH93" s="54"/>
      <x:c r="AI93" s="54"/>
      <x:c r="AJ93" s="54"/>
      <x:c r="AK93" s="54"/>
      <x:c r="AL93" s="54"/>
      <x:c r="AM93" s="54"/>
      <x:c r="AN93" s="54"/>
      <x:c r="AO93" s="54"/>
      <x:c r="AP93" s="54"/>
      <x:c r="AQ93" s="54"/>
      <x:c r="AR93" s="54"/>
      <x:c r="AS93" s="54"/>
      <x:c r="AT93" s="54"/>
      <x:c r="AU93" s="54"/>
      <x:c r="AV93" s="54"/>
      <x:c r="AW93" s="54"/>
    </x:row>
    <x:row r="94">
      <x:c r="A94" s="54"/>
      <x:c r="B94" s="54"/>
      <x:c r="C94" s="54"/>
      <x:c r="D94" s="54"/>
      <x:c r="E94" s="54"/>
      <x:c r="F94" s="54"/>
      <x:c r="G94" s="54"/>
      <x:c r="H94" s="54"/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  <x:c r="AA94" s="54"/>
      <x:c r="AB94" s="54"/>
      <x:c r="AC94" s="54"/>
      <x:c r="AD94" s="54"/>
      <x:c r="AE94" s="54"/>
      <x:c r="AF94" s="54"/>
      <x:c r="AG94" s="54"/>
      <x:c r="AH94" s="54"/>
      <x:c r="AI94" s="54"/>
      <x:c r="AJ94" s="54"/>
      <x:c r="AK94" s="54"/>
      <x:c r="AL94" s="54"/>
      <x:c r="AM94" s="54"/>
      <x:c r="AN94" s="54"/>
      <x:c r="AO94" s="54"/>
      <x:c r="AP94" s="54"/>
      <x:c r="AQ94" s="54"/>
      <x:c r="AR94" s="54"/>
      <x:c r="AS94" s="54"/>
      <x:c r="AT94" s="54"/>
      <x:c r="AU94" s="54"/>
      <x:c r="AV94" s="54"/>
      <x:c r="AW94" s="54"/>
    </x:row>
    <x:row r="95">
      <x:c r="A95" s="54"/>
      <x:c r="B95" s="54"/>
      <x:c r="C95" s="54"/>
      <x:c r="D95" s="54"/>
      <x:c r="E95" s="54"/>
      <x:c r="F95" s="54"/>
      <x:c r="G95" s="54"/>
      <x:c r="H95" s="54"/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  <x:c r="AA95" s="54"/>
      <x:c r="AB95" s="54"/>
      <x:c r="AC95" s="54"/>
      <x:c r="AD95" s="54"/>
      <x:c r="AE95" s="54"/>
      <x:c r="AF95" s="54"/>
      <x:c r="AG95" s="54"/>
      <x:c r="AH95" s="54"/>
      <x:c r="AI95" s="54"/>
      <x:c r="AJ95" s="54"/>
      <x:c r="AK95" s="54"/>
      <x:c r="AL95" s="54"/>
      <x:c r="AM95" s="54"/>
      <x:c r="AN95" s="54"/>
      <x:c r="AO95" s="54"/>
      <x:c r="AP95" s="54"/>
      <x:c r="AQ95" s="54"/>
      <x:c r="AR95" s="54"/>
      <x:c r="AS95" s="54"/>
      <x:c r="AT95" s="54"/>
      <x:c r="AU95" s="54"/>
      <x:c r="AV95" s="54"/>
      <x:c r="AW95" s="54"/>
    </x:row>
    <x:row r="96">
      <x:c r="A96" s="54"/>
      <x:c r="B96" s="54"/>
      <x:c r="C96" s="54"/>
      <x:c r="D96" s="54"/>
      <x:c r="E96" s="54"/>
      <x:c r="F96" s="54"/>
      <x:c r="G96" s="54"/>
      <x:c r="H96" s="54"/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  <x:c r="AA96" s="54"/>
      <x:c r="AB96" s="54"/>
      <x:c r="AC96" s="54"/>
      <x:c r="AD96" s="54"/>
      <x:c r="AE96" s="54"/>
      <x:c r="AF96" s="54"/>
      <x:c r="AG96" s="54"/>
      <x:c r="AH96" s="54"/>
      <x:c r="AI96" s="54"/>
      <x:c r="AJ96" s="54"/>
      <x:c r="AK96" s="54"/>
      <x:c r="AL96" s="54"/>
      <x:c r="AM96" s="54"/>
      <x:c r="AN96" s="54"/>
      <x:c r="AO96" s="54"/>
      <x:c r="AP96" s="54"/>
      <x:c r="AQ96" s="54"/>
      <x:c r="AR96" s="54"/>
      <x:c r="AS96" s="54"/>
      <x:c r="AT96" s="54"/>
      <x:c r="AU96" s="54"/>
      <x:c r="AV96" s="54"/>
      <x:c r="AW96" s="54"/>
    </x:row>
    <x:row r="97">
      <x:c r="A97" s="54"/>
      <x:c r="B97" s="54"/>
      <x:c r="C97" s="54"/>
      <x:c r="D97" s="54"/>
      <x:c r="E97" s="54"/>
      <x:c r="F97" s="54"/>
      <x:c r="G97" s="54"/>
      <x:c r="H97" s="54"/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  <x:c r="AA97" s="54"/>
      <x:c r="AB97" s="54"/>
      <x:c r="AC97" s="54"/>
      <x:c r="AD97" s="54"/>
      <x:c r="AE97" s="54"/>
      <x:c r="AF97" s="54"/>
      <x:c r="AG97" s="54"/>
      <x:c r="AH97" s="54"/>
      <x:c r="AI97" s="54"/>
      <x:c r="AJ97" s="54"/>
      <x:c r="AK97" s="54"/>
      <x:c r="AL97" s="54"/>
      <x:c r="AM97" s="54"/>
      <x:c r="AN97" s="54"/>
      <x:c r="AO97" s="54"/>
      <x:c r="AP97" s="54"/>
      <x:c r="AQ97" s="54"/>
      <x:c r="AR97" s="54"/>
      <x:c r="AS97" s="54"/>
      <x:c r="AT97" s="54"/>
      <x:c r="AU97" s="54"/>
      <x:c r="AV97" s="54"/>
      <x:c r="AW97" s="54"/>
    </x:row>
    <x:row r="98">
      <x:c r="A98" s="54"/>
      <x:c r="B98" s="54"/>
      <x:c r="C98" s="54"/>
      <x:c r="D98" s="54"/>
      <x:c r="E98" s="54"/>
      <x:c r="F98" s="54"/>
      <x:c r="G98" s="54"/>
      <x:c r="H98" s="54"/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  <x:c r="AA98" s="54"/>
      <x:c r="AB98" s="54"/>
      <x:c r="AC98" s="54"/>
      <x:c r="AD98" s="54"/>
      <x:c r="AE98" s="54"/>
      <x:c r="AF98" s="54"/>
      <x:c r="AG98" s="54"/>
      <x:c r="AH98" s="54"/>
      <x:c r="AI98" s="54"/>
      <x:c r="AJ98" s="54"/>
      <x:c r="AK98" s="54"/>
      <x:c r="AL98" s="54"/>
      <x:c r="AM98" s="54"/>
      <x:c r="AN98" s="54"/>
      <x:c r="AO98" s="54"/>
      <x:c r="AP98" s="54"/>
      <x:c r="AQ98" s="54"/>
      <x:c r="AR98" s="54"/>
      <x:c r="AS98" s="54"/>
      <x:c r="AT98" s="54"/>
      <x:c r="AU98" s="54"/>
      <x:c r="AV98" s="54"/>
      <x:c r="AW98" s="54"/>
    </x:row>
    <x:row r="99">
      <x:c r="A99" s="54"/>
      <x:c r="B99" s="54"/>
      <x:c r="C99" s="54"/>
      <x:c r="D99" s="54"/>
      <x:c r="E99" s="54"/>
      <x:c r="F99" s="54"/>
      <x:c r="G99" s="54"/>
      <x:c r="H99" s="54"/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  <x:c r="AA99" s="54"/>
      <x:c r="AB99" s="54"/>
      <x:c r="AC99" s="54"/>
      <x:c r="AD99" s="54"/>
      <x:c r="AE99" s="54"/>
      <x:c r="AF99" s="54"/>
      <x:c r="AG99" s="54"/>
      <x:c r="AH99" s="54"/>
      <x:c r="AI99" s="54"/>
      <x:c r="AJ99" s="54"/>
      <x:c r="AK99" s="54"/>
      <x:c r="AL99" s="54"/>
      <x:c r="AM99" s="54"/>
      <x:c r="AN99" s="54"/>
      <x:c r="AO99" s="54"/>
      <x:c r="AP99" s="54"/>
      <x:c r="AQ99" s="54"/>
      <x:c r="AR99" s="54"/>
      <x:c r="AS99" s="54"/>
      <x:c r="AT99" s="54"/>
      <x:c r="AU99" s="54"/>
      <x:c r="AV99" s="54"/>
      <x:c r="AW99" s="54"/>
    </x:row>
    <x:row r="100">
      <x:c r="A100" s="54"/>
      <x:c r="B100" s="54"/>
      <x:c r="C100" s="54"/>
      <x:c r="D100" s="54"/>
      <x:c r="E100" s="54"/>
      <x:c r="F100" s="54"/>
      <x:c r="G100" s="54"/>
      <x:c r="H100" s="54"/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  <x:c r="AA100" s="54"/>
      <x:c r="AB100" s="54"/>
      <x:c r="AC100" s="54"/>
      <x:c r="AD100" s="54"/>
      <x:c r="AE100" s="54"/>
      <x:c r="AF100" s="54"/>
      <x:c r="AG100" s="54"/>
      <x:c r="AH100" s="54"/>
      <x:c r="AI100" s="54"/>
      <x:c r="AJ100" s="54"/>
      <x:c r="AK100" s="54"/>
      <x:c r="AL100" s="54"/>
      <x:c r="AM100" s="54"/>
      <x:c r="AN100" s="54"/>
      <x:c r="AO100" s="54"/>
      <x:c r="AP100" s="54"/>
      <x:c r="AQ100" s="54"/>
      <x:c r="AR100" s="54"/>
      <x:c r="AS100" s="54"/>
      <x:c r="AT100" s="54"/>
      <x:c r="AU100" s="54"/>
      <x:c r="AV100" s="54"/>
      <x:c r="AW100" s="54"/>
    </x:row>
    <x:row r="101">
      <x:c r="A101" s="54"/>
      <x:c r="B101" s="54"/>
      <x:c r="C101" s="54"/>
      <x:c r="D101" s="54"/>
      <x:c r="E101" s="54"/>
      <x:c r="F101" s="54"/>
      <x:c r="G101" s="54"/>
      <x:c r="H101" s="54"/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  <x:c r="AA101" s="54"/>
      <x:c r="AB101" s="54"/>
      <x:c r="AC101" s="54"/>
      <x:c r="AD101" s="54"/>
      <x:c r="AE101" s="54"/>
      <x:c r="AF101" s="54"/>
      <x:c r="AG101" s="54"/>
      <x:c r="AH101" s="54"/>
      <x:c r="AI101" s="54"/>
      <x:c r="AJ101" s="54"/>
      <x:c r="AK101" s="54"/>
      <x:c r="AL101" s="54"/>
      <x:c r="AM101" s="54"/>
      <x:c r="AN101" s="54"/>
      <x:c r="AO101" s="54"/>
      <x:c r="AP101" s="54"/>
      <x:c r="AQ101" s="54"/>
      <x:c r="AR101" s="54"/>
      <x:c r="AS101" s="54"/>
      <x:c r="AT101" s="54"/>
      <x:c r="AU101" s="54"/>
      <x:c r="AV101" s="54"/>
      <x:c r="AW101" s="54"/>
    </x:row>
    <x:row r="102">
      <x:c r="A102" s="54"/>
      <x:c r="B102" s="54"/>
      <x:c r="C102" s="54"/>
      <x:c r="D102" s="54"/>
      <x:c r="E102" s="54"/>
      <x:c r="F102" s="54"/>
      <x:c r="G102" s="54"/>
      <x:c r="H102" s="54"/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  <x:c r="AA102" s="54"/>
      <x:c r="AB102" s="54"/>
      <x:c r="AC102" s="54"/>
      <x:c r="AD102" s="54"/>
      <x:c r="AE102" s="54"/>
      <x:c r="AF102" s="54"/>
      <x:c r="AG102" s="54"/>
      <x:c r="AH102" s="54"/>
      <x:c r="AI102" s="54"/>
      <x:c r="AJ102" s="54"/>
      <x:c r="AK102" s="54"/>
      <x:c r="AL102" s="54"/>
      <x:c r="AM102" s="54"/>
      <x:c r="AN102" s="54"/>
      <x:c r="AO102" s="54"/>
      <x:c r="AP102" s="54"/>
      <x:c r="AQ102" s="54"/>
      <x:c r="AR102" s="54"/>
      <x:c r="AS102" s="54"/>
      <x:c r="AT102" s="54"/>
      <x:c r="AU102" s="54"/>
      <x:c r="AV102" s="54"/>
      <x:c r="AW102" s="54"/>
    </x:row>
    <x:row r="103">
      <x:c r="A103" s="54"/>
      <x:c r="B103" s="54"/>
      <x:c r="C103" s="54"/>
      <x:c r="D103" s="54"/>
      <x:c r="E103" s="54"/>
      <x:c r="F103" s="54"/>
      <x:c r="G103" s="54"/>
      <x:c r="H103" s="54"/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  <x:c r="AA103" s="54"/>
      <x:c r="AB103" s="54"/>
      <x:c r="AC103" s="54"/>
      <x:c r="AD103" s="54"/>
      <x:c r="AE103" s="54"/>
      <x:c r="AF103" s="54"/>
      <x:c r="AG103" s="54"/>
      <x:c r="AH103" s="54"/>
      <x:c r="AI103" s="54"/>
      <x:c r="AJ103" s="54"/>
      <x:c r="AK103" s="54"/>
      <x:c r="AL103" s="54"/>
      <x:c r="AM103" s="54"/>
      <x:c r="AN103" s="54"/>
      <x:c r="AO103" s="54"/>
      <x:c r="AP103" s="54"/>
      <x:c r="AQ103" s="54"/>
      <x:c r="AR103" s="54"/>
      <x:c r="AS103" s="54"/>
      <x:c r="AT103" s="54"/>
      <x:c r="AU103" s="54"/>
      <x:c r="AV103" s="54"/>
      <x:c r="AW103" s="54"/>
    </x:row>
    <x:row r="104">
      <x:c r="A104" s="54"/>
      <x:c r="B104" s="54"/>
      <x:c r="C104" s="54"/>
      <x:c r="D104" s="54"/>
      <x:c r="E104" s="54"/>
      <x:c r="F104" s="54"/>
      <x:c r="G104" s="54"/>
      <x:c r="H104" s="54"/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  <x:c r="AA104" s="54"/>
      <x:c r="AB104" s="54"/>
      <x:c r="AC104" s="54"/>
      <x:c r="AD104" s="54"/>
      <x:c r="AE104" s="54"/>
      <x:c r="AF104" s="54"/>
      <x:c r="AG104" s="54"/>
      <x:c r="AH104" s="54"/>
      <x:c r="AI104" s="54"/>
      <x:c r="AJ104" s="54"/>
      <x:c r="AK104" s="54"/>
      <x:c r="AL104" s="54"/>
      <x:c r="AM104" s="54"/>
      <x:c r="AN104" s="54"/>
      <x:c r="AO104" s="54"/>
      <x:c r="AP104" s="54"/>
      <x:c r="AQ104" s="54"/>
      <x:c r="AR104" s="54"/>
      <x:c r="AS104" s="54"/>
      <x:c r="AT104" s="54"/>
      <x:c r="AU104" s="54"/>
      <x:c r="AV104" s="54"/>
      <x:c r="AW104" s="54"/>
    </x:row>
    <x:row r="105">
      <x:c r="A105" s="54"/>
      <x:c r="B105" s="54"/>
      <x:c r="C105" s="54"/>
      <x:c r="D105" s="54"/>
      <x:c r="E105" s="54"/>
      <x:c r="F105" s="54"/>
      <x:c r="G105" s="54"/>
      <x:c r="H105" s="54"/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  <x:c r="AA105" s="54"/>
      <x:c r="AB105" s="54"/>
      <x:c r="AC105" s="54"/>
      <x:c r="AD105" s="54"/>
      <x:c r="AE105" s="54"/>
      <x:c r="AF105" s="54"/>
      <x:c r="AG105" s="54"/>
      <x:c r="AH105" s="54"/>
      <x:c r="AI105" s="54"/>
      <x:c r="AJ105" s="54"/>
      <x:c r="AK105" s="54"/>
      <x:c r="AL105" s="54"/>
      <x:c r="AM105" s="54"/>
      <x:c r="AN105" s="54"/>
      <x:c r="AO105" s="54"/>
      <x:c r="AP105" s="54"/>
      <x:c r="AQ105" s="54"/>
      <x:c r="AR105" s="54"/>
      <x:c r="AS105" s="54"/>
      <x:c r="AT105" s="54"/>
      <x:c r="AU105" s="54"/>
      <x:c r="AV105" s="54"/>
      <x:c r="AW105" s="54"/>
    </x:row>
    <x:row r="106">
      <x:c r="A106" s="54"/>
      <x:c r="B106" s="54"/>
      <x:c r="C106" s="54"/>
      <x:c r="D106" s="54"/>
      <x:c r="E106" s="54"/>
      <x:c r="F106" s="54"/>
      <x:c r="G106" s="54"/>
      <x:c r="H106" s="54"/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  <x:c r="AA106" s="54"/>
      <x:c r="AB106" s="54"/>
      <x:c r="AC106" s="54"/>
      <x:c r="AD106" s="54"/>
      <x:c r="AE106" s="54"/>
      <x:c r="AF106" s="54"/>
      <x:c r="AG106" s="54"/>
      <x:c r="AH106" s="54"/>
      <x:c r="AI106" s="54"/>
      <x:c r="AJ106" s="54"/>
      <x:c r="AK106" s="54"/>
      <x:c r="AL106" s="54"/>
      <x:c r="AM106" s="54"/>
      <x:c r="AN106" s="54"/>
      <x:c r="AO106" s="54"/>
      <x:c r="AP106" s="54"/>
      <x:c r="AQ106" s="54"/>
      <x:c r="AR106" s="54"/>
      <x:c r="AS106" s="54"/>
      <x:c r="AT106" s="54"/>
      <x:c r="AU106" s="54"/>
      <x:c r="AV106" s="54"/>
      <x:c r="AW106" s="54"/>
    </x:row>
    <x:row r="107">
      <x:c r="A107" s="54"/>
      <x:c r="B107" s="54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  <x:c r="AA107" s="54"/>
      <x:c r="AB107" s="54"/>
      <x:c r="AC107" s="54"/>
      <x:c r="AD107" s="54"/>
      <x:c r="AE107" s="54"/>
      <x:c r="AF107" s="54"/>
      <x:c r="AG107" s="54"/>
      <x:c r="AH107" s="54"/>
      <x:c r="AI107" s="54"/>
      <x:c r="AJ107" s="54"/>
      <x:c r="AK107" s="54"/>
      <x:c r="AL107" s="54"/>
      <x:c r="AM107" s="54"/>
      <x:c r="AN107" s="54"/>
      <x:c r="AO107" s="54"/>
      <x:c r="AP107" s="54"/>
      <x:c r="AQ107" s="54"/>
      <x:c r="AR107" s="54"/>
      <x:c r="AS107" s="54"/>
      <x:c r="AT107" s="54"/>
      <x:c r="AU107" s="54"/>
      <x:c r="AV107" s="54"/>
      <x:c r="AW107" s="54"/>
    </x:row>
    <x:row r="108">
      <x:c r="A108" s="54"/>
      <x:c r="B108" s="54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  <x:c r="AA108" s="54"/>
      <x:c r="AB108" s="54"/>
      <x:c r="AC108" s="54"/>
      <x:c r="AD108" s="54"/>
      <x:c r="AE108" s="54"/>
      <x:c r="AF108" s="54"/>
      <x:c r="AG108" s="54"/>
      <x:c r="AH108" s="54"/>
      <x:c r="AI108" s="54"/>
      <x:c r="AJ108" s="54"/>
      <x:c r="AK108" s="54"/>
      <x:c r="AL108" s="54"/>
      <x:c r="AM108" s="54"/>
      <x:c r="AN108" s="54"/>
      <x:c r="AO108" s="54"/>
      <x:c r="AP108" s="54"/>
      <x:c r="AQ108" s="54"/>
      <x:c r="AR108" s="54"/>
      <x:c r="AS108" s="54"/>
      <x:c r="AT108" s="54"/>
      <x:c r="AU108" s="54"/>
      <x:c r="AV108" s="54"/>
      <x:c r="AW108" s="54"/>
    </x:row>
    <x:row r="109">
      <x:c r="A109" s="54"/>
      <x:c r="B109" s="54"/>
      <x:c r="C109" s="54"/>
      <x:c r="D109" s="54"/>
      <x:c r="E109" s="54"/>
      <x:c r="F109" s="54"/>
      <x:c r="G109" s="54"/>
      <x:c r="H109" s="54"/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  <x:c r="AA109" s="54"/>
      <x:c r="AB109" s="54"/>
      <x:c r="AC109" s="54"/>
      <x:c r="AD109" s="54"/>
      <x:c r="AE109" s="54"/>
      <x:c r="AF109" s="54"/>
      <x:c r="AG109" s="54"/>
      <x:c r="AH109" s="54"/>
      <x:c r="AI109" s="54"/>
      <x:c r="AJ109" s="54"/>
      <x:c r="AK109" s="54"/>
      <x:c r="AL109" s="54"/>
      <x:c r="AM109" s="54"/>
      <x:c r="AN109" s="54"/>
      <x:c r="AO109" s="54"/>
      <x:c r="AP109" s="54"/>
      <x:c r="AQ109" s="54"/>
      <x:c r="AR109" s="54"/>
      <x:c r="AS109" s="54"/>
      <x:c r="AT109" s="54"/>
      <x:c r="AU109" s="54"/>
      <x:c r="AV109" s="54"/>
      <x:c r="AW109" s="54"/>
    </x:row>
    <x:row r="110">
      <x:c r="A110" s="54"/>
      <x:c r="B110" s="54"/>
      <x:c r="C110" s="54"/>
      <x:c r="D110" s="54"/>
      <x:c r="E110" s="54"/>
      <x:c r="F110" s="54"/>
      <x:c r="G110" s="54"/>
      <x:c r="H110" s="54"/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  <x:c r="AA110" s="54"/>
      <x:c r="AB110" s="54"/>
      <x:c r="AC110" s="54"/>
      <x:c r="AD110" s="54"/>
      <x:c r="AE110" s="54"/>
      <x:c r="AF110" s="54"/>
      <x:c r="AG110" s="54"/>
      <x:c r="AH110" s="54"/>
      <x:c r="AI110" s="54"/>
      <x:c r="AJ110" s="54"/>
      <x:c r="AK110" s="54"/>
      <x:c r="AL110" s="54"/>
      <x:c r="AM110" s="54"/>
      <x:c r="AN110" s="54"/>
      <x:c r="AO110" s="54"/>
      <x:c r="AP110" s="54"/>
      <x:c r="AQ110" s="54"/>
      <x:c r="AR110" s="54"/>
      <x:c r="AS110" s="54"/>
      <x:c r="AT110" s="54"/>
      <x:c r="AU110" s="54"/>
      <x:c r="AV110" s="54"/>
      <x:c r="AW110" s="54"/>
    </x:row>
    <x:row r="111">
      <x:c r="A111" s="54"/>
      <x:c r="B111" s="54"/>
      <x:c r="C111" s="54"/>
      <x:c r="D111" s="54"/>
      <x:c r="E111" s="54"/>
      <x:c r="F111" s="54"/>
      <x:c r="G111" s="54"/>
      <x:c r="H111" s="54"/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  <x:c r="AA111" s="54"/>
      <x:c r="AB111" s="54"/>
      <x:c r="AC111" s="54"/>
      <x:c r="AD111" s="54"/>
      <x:c r="AE111" s="54"/>
      <x:c r="AF111" s="54"/>
      <x:c r="AG111" s="54"/>
      <x:c r="AH111" s="54"/>
      <x:c r="AI111" s="54"/>
      <x:c r="AJ111" s="54"/>
      <x:c r="AK111" s="54"/>
      <x:c r="AL111" s="54"/>
      <x:c r="AM111" s="54"/>
      <x:c r="AN111" s="54"/>
      <x:c r="AO111" s="54"/>
      <x:c r="AP111" s="54"/>
      <x:c r="AQ111" s="54"/>
      <x:c r="AR111" s="54"/>
      <x:c r="AS111" s="54"/>
      <x:c r="AT111" s="54"/>
      <x:c r="AU111" s="54"/>
      <x:c r="AV111" s="54"/>
      <x:c r="AW111" s="54"/>
    </x:row>
    <x:row r="112">
      <x:c r="A112" s="54"/>
      <x:c r="B112" s="54"/>
      <x:c r="C112" s="54"/>
      <x:c r="D112" s="54"/>
      <x:c r="E112" s="54"/>
      <x:c r="F112" s="54"/>
      <x:c r="G112" s="54"/>
      <x:c r="H112" s="54"/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  <x:c r="AA112" s="54"/>
      <x:c r="AB112" s="54"/>
      <x:c r="AC112" s="54"/>
      <x:c r="AD112" s="54"/>
      <x:c r="AE112" s="54"/>
      <x:c r="AF112" s="54"/>
      <x:c r="AG112" s="54"/>
      <x:c r="AH112" s="54"/>
      <x:c r="AI112" s="54"/>
      <x:c r="AJ112" s="54"/>
      <x:c r="AK112" s="54"/>
      <x:c r="AL112" s="54"/>
      <x:c r="AM112" s="54"/>
      <x:c r="AN112" s="54"/>
      <x:c r="AO112" s="54"/>
      <x:c r="AP112" s="54"/>
      <x:c r="AQ112" s="54"/>
      <x:c r="AR112" s="54"/>
      <x:c r="AS112" s="54"/>
      <x:c r="AT112" s="54"/>
      <x:c r="AU112" s="54"/>
      <x:c r="AV112" s="54"/>
      <x:c r="AW112" s="54"/>
    </x:row>
    <x:row r="113">
      <x:c r="A113" s="54"/>
      <x:c r="B113" s="54"/>
      <x:c r="C113" s="54"/>
      <x:c r="D113" s="54"/>
      <x:c r="E113" s="54"/>
      <x:c r="F113" s="54"/>
      <x:c r="G113" s="54"/>
      <x:c r="H113" s="54"/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  <x:c r="AA113" s="54"/>
      <x:c r="AB113" s="54"/>
      <x:c r="AC113" s="54"/>
      <x:c r="AD113" s="54"/>
      <x:c r="AE113" s="54"/>
      <x:c r="AF113" s="54"/>
      <x:c r="AG113" s="54"/>
      <x:c r="AH113" s="54"/>
      <x:c r="AI113" s="54"/>
      <x:c r="AJ113" s="54"/>
      <x:c r="AK113" s="54"/>
      <x:c r="AL113" s="54"/>
      <x:c r="AM113" s="54"/>
      <x:c r="AN113" s="54"/>
      <x:c r="AO113" s="54"/>
      <x:c r="AP113" s="54"/>
      <x:c r="AQ113" s="54"/>
      <x:c r="AR113" s="54"/>
      <x:c r="AS113" s="54"/>
      <x:c r="AT113" s="54"/>
      <x:c r="AU113" s="54"/>
      <x:c r="AV113" s="54"/>
      <x:c r="AW113" s="54"/>
    </x:row>
    <x:row r="114">
      <x:c r="A114" s="54"/>
      <x:c r="B114" s="54"/>
      <x:c r="C114" s="54"/>
      <x:c r="D114" s="54"/>
      <x:c r="E114" s="54"/>
      <x:c r="F114" s="54"/>
      <x:c r="G114" s="54"/>
      <x:c r="H114" s="54"/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  <x:c r="AA114" s="54"/>
      <x:c r="AB114" s="54"/>
      <x:c r="AC114" s="54"/>
      <x:c r="AD114" s="54"/>
      <x:c r="AE114" s="54"/>
      <x:c r="AF114" s="54"/>
      <x:c r="AG114" s="54"/>
      <x:c r="AH114" s="54"/>
      <x:c r="AI114" s="54"/>
      <x:c r="AJ114" s="54"/>
      <x:c r="AK114" s="54"/>
      <x:c r="AL114" s="54"/>
      <x:c r="AM114" s="54"/>
      <x:c r="AN114" s="54"/>
      <x:c r="AO114" s="54"/>
      <x:c r="AP114" s="54"/>
      <x:c r="AQ114" s="54"/>
      <x:c r="AR114" s="54"/>
      <x:c r="AS114" s="54"/>
      <x:c r="AT114" s="54"/>
      <x:c r="AU114" s="54"/>
      <x:c r="AV114" s="54"/>
      <x:c r="AW114" s="54"/>
    </x:row>
    <x:row r="115">
      <x:c r="A115" s="54"/>
      <x:c r="B115" s="54"/>
      <x:c r="C115" s="54"/>
      <x:c r="D115" s="54"/>
      <x:c r="E115" s="54"/>
      <x:c r="F115" s="54"/>
      <x:c r="G115" s="54"/>
      <x:c r="H115" s="54"/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  <x:c r="AA115" s="54"/>
      <x:c r="AB115" s="54"/>
      <x:c r="AC115" s="54"/>
      <x:c r="AD115" s="54"/>
      <x:c r="AE115" s="54"/>
      <x:c r="AF115" s="54"/>
      <x:c r="AG115" s="54"/>
      <x:c r="AH115" s="54"/>
      <x:c r="AI115" s="54"/>
      <x:c r="AJ115" s="54"/>
      <x:c r="AK115" s="54"/>
      <x:c r="AL115" s="54"/>
      <x:c r="AM115" s="54"/>
      <x:c r="AN115" s="54"/>
      <x:c r="AO115" s="54"/>
      <x:c r="AP115" s="54"/>
      <x:c r="AQ115" s="54"/>
      <x:c r="AR115" s="54"/>
      <x:c r="AS115" s="54"/>
      <x:c r="AT115" s="54"/>
      <x:c r="AU115" s="54"/>
      <x:c r="AV115" s="54"/>
      <x:c r="AW115" s="54"/>
    </x:row>
    <x:row r="116">
      <x:c r="A116" s="54"/>
      <x:c r="B116" s="54"/>
      <x:c r="C116" s="54"/>
      <x:c r="D116" s="54"/>
      <x:c r="E116" s="54"/>
      <x:c r="F116" s="54"/>
      <x:c r="G116" s="54"/>
      <x:c r="H116" s="54"/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  <x:c r="AA116" s="54"/>
      <x:c r="AB116" s="54"/>
      <x:c r="AC116" s="54"/>
      <x:c r="AD116" s="54"/>
      <x:c r="AE116" s="54"/>
      <x:c r="AF116" s="54"/>
      <x:c r="AG116" s="54"/>
      <x:c r="AH116" s="54"/>
      <x:c r="AI116" s="54"/>
      <x:c r="AJ116" s="54"/>
      <x:c r="AK116" s="54"/>
      <x:c r="AL116" s="54"/>
      <x:c r="AM116" s="54"/>
      <x:c r="AN116" s="54"/>
      <x:c r="AO116" s="54"/>
      <x:c r="AP116" s="54"/>
      <x:c r="AQ116" s="54"/>
      <x:c r="AR116" s="54"/>
      <x:c r="AS116" s="54"/>
      <x:c r="AT116" s="54"/>
      <x:c r="AU116" s="54"/>
      <x:c r="AV116" s="54"/>
      <x:c r="AW116" s="54"/>
    </x:row>
    <x:row r="117">
      <x:c r="A117" s="54"/>
      <x:c r="B117" s="54"/>
      <x:c r="C117" s="54"/>
      <x:c r="D117" s="54"/>
      <x:c r="E117" s="54"/>
      <x:c r="F117" s="54"/>
      <x:c r="G117" s="54"/>
      <x:c r="H117" s="54"/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  <x:c r="AA117" s="54"/>
      <x:c r="AB117" s="54"/>
      <x:c r="AC117" s="54"/>
      <x:c r="AD117" s="54"/>
      <x:c r="AE117" s="54"/>
      <x:c r="AF117" s="54"/>
      <x:c r="AG117" s="54"/>
      <x:c r="AH117" s="54"/>
      <x:c r="AI117" s="54"/>
      <x:c r="AJ117" s="54"/>
      <x:c r="AK117" s="54"/>
      <x:c r="AL117" s="54"/>
      <x:c r="AM117" s="54"/>
      <x:c r="AN117" s="54"/>
      <x:c r="AO117" s="54"/>
      <x:c r="AP117" s="54"/>
      <x:c r="AQ117" s="54"/>
      <x:c r="AR117" s="54"/>
      <x:c r="AS117" s="54"/>
      <x:c r="AT117" s="54"/>
      <x:c r="AU117" s="54"/>
      <x:c r="AV117" s="54"/>
      <x:c r="AW117" s="54"/>
    </x:row>
    <x:row r="118">
      <x:c r="A118" s="54"/>
      <x:c r="B118" s="54"/>
      <x:c r="C118" s="54"/>
      <x:c r="D118" s="54"/>
      <x:c r="E118" s="54"/>
      <x:c r="F118" s="54"/>
      <x:c r="G118" s="54"/>
      <x:c r="H118" s="54"/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  <x:c r="AA118" s="54"/>
      <x:c r="AB118" s="54"/>
      <x:c r="AC118" s="54"/>
      <x:c r="AD118" s="54"/>
      <x:c r="AE118" s="54"/>
      <x:c r="AF118" s="54"/>
      <x:c r="AG118" s="54"/>
      <x:c r="AH118" s="54"/>
      <x:c r="AI118" s="54"/>
      <x:c r="AJ118" s="54"/>
      <x:c r="AK118" s="54"/>
      <x:c r="AL118" s="54"/>
      <x:c r="AM118" s="54"/>
      <x:c r="AN118" s="54"/>
      <x:c r="AO118" s="54"/>
      <x:c r="AP118" s="54"/>
      <x:c r="AQ118" s="54"/>
      <x:c r="AR118" s="54"/>
      <x:c r="AS118" s="54"/>
      <x:c r="AT118" s="54"/>
      <x:c r="AU118" s="54"/>
      <x:c r="AV118" s="54"/>
      <x:c r="AW118" s="54"/>
    </x:row>
    <x:row r="119">
      <x:c r="A119" s="54"/>
      <x:c r="B119" s="54"/>
      <x:c r="C119" s="54"/>
      <x:c r="D119" s="54"/>
      <x:c r="E119" s="54"/>
      <x:c r="F119" s="54"/>
      <x:c r="G119" s="54"/>
      <x:c r="H119" s="54"/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  <x:c r="AA119" s="54"/>
      <x:c r="AB119" s="54"/>
      <x:c r="AC119" s="54"/>
      <x:c r="AD119" s="54"/>
      <x:c r="AE119" s="54"/>
      <x:c r="AF119" s="54"/>
      <x:c r="AG119" s="54"/>
      <x:c r="AH119" s="54"/>
      <x:c r="AI119" s="54"/>
      <x:c r="AJ119" s="54"/>
      <x:c r="AK119" s="54"/>
      <x:c r="AL119" s="54"/>
      <x:c r="AM119" s="54"/>
      <x:c r="AN119" s="54"/>
      <x:c r="AO119" s="54"/>
      <x:c r="AP119" s="54"/>
      <x:c r="AQ119" s="54"/>
      <x:c r="AR119" s="54"/>
      <x:c r="AS119" s="54"/>
      <x:c r="AT119" s="54"/>
      <x:c r="AU119" s="54"/>
      <x:c r="AV119" s="54"/>
      <x:c r="AW119" s="54"/>
    </x:row>
    <x:row r="120">
      <x:c r="A120" s="54"/>
      <x:c r="B120" s="54"/>
      <x:c r="C120" s="54"/>
      <x:c r="D120" s="54"/>
      <x:c r="E120" s="54"/>
      <x:c r="F120" s="54"/>
      <x:c r="G120" s="54"/>
      <x:c r="H120" s="54"/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  <x:c r="AA120" s="54"/>
      <x:c r="AB120" s="54"/>
      <x:c r="AC120" s="54"/>
      <x:c r="AD120" s="54"/>
      <x:c r="AE120" s="54"/>
      <x:c r="AF120" s="54"/>
      <x:c r="AG120" s="54"/>
      <x:c r="AH120" s="54"/>
      <x:c r="AI120" s="54"/>
      <x:c r="AJ120" s="54"/>
      <x:c r="AK120" s="54"/>
      <x:c r="AL120" s="54"/>
      <x:c r="AM120" s="54"/>
      <x:c r="AN120" s="54"/>
      <x:c r="AO120" s="54"/>
      <x:c r="AP120" s="54"/>
      <x:c r="AQ120" s="54"/>
      <x:c r="AR120" s="54"/>
      <x:c r="AS120" s="54"/>
      <x:c r="AT120" s="54"/>
      <x:c r="AU120" s="54"/>
      <x:c r="AV120" s="54"/>
      <x:c r="AW120" s="54"/>
    </x:row>
    <x:row r="121">
      <x:c r="A121" s="54"/>
      <x:c r="B121" s="54"/>
      <x:c r="C121" s="54"/>
      <x:c r="D121" s="54"/>
      <x:c r="E121" s="54"/>
      <x:c r="F121" s="54"/>
      <x:c r="G121" s="54"/>
      <x:c r="H121" s="54"/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  <x:c r="AA121" s="54"/>
      <x:c r="AB121" s="54"/>
      <x:c r="AC121" s="54"/>
      <x:c r="AD121" s="54"/>
      <x:c r="AE121" s="54"/>
      <x:c r="AF121" s="54"/>
      <x:c r="AG121" s="54"/>
      <x:c r="AH121" s="54"/>
      <x:c r="AI121" s="54"/>
      <x:c r="AJ121" s="54"/>
      <x:c r="AK121" s="54"/>
      <x:c r="AL121" s="54"/>
      <x:c r="AM121" s="54"/>
      <x:c r="AN121" s="54"/>
      <x:c r="AO121" s="54"/>
      <x:c r="AP121" s="54"/>
      <x:c r="AQ121" s="54"/>
      <x:c r="AR121" s="54"/>
      <x:c r="AS121" s="54"/>
      <x:c r="AT121" s="54"/>
      <x:c r="AU121" s="54"/>
      <x:c r="AV121" s="54"/>
      <x:c r="AW121" s="54"/>
    </x:row>
    <x:row r="122">
      <x:c r="A122" s="54"/>
      <x:c r="B122" s="54"/>
      <x:c r="C122" s="54"/>
      <x:c r="D122" s="54"/>
      <x:c r="E122" s="54"/>
      <x:c r="F122" s="54"/>
      <x:c r="G122" s="54"/>
      <x:c r="H122" s="54"/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  <x:c r="AA122" s="54"/>
      <x:c r="AB122" s="54"/>
      <x:c r="AC122" s="54"/>
      <x:c r="AD122" s="54"/>
      <x:c r="AE122" s="54"/>
      <x:c r="AF122" s="54"/>
      <x:c r="AG122" s="54"/>
      <x:c r="AH122" s="54"/>
      <x:c r="AI122" s="54"/>
      <x:c r="AJ122" s="54"/>
      <x:c r="AK122" s="54"/>
      <x:c r="AL122" s="54"/>
      <x:c r="AM122" s="54"/>
      <x:c r="AN122" s="54"/>
      <x:c r="AO122" s="54"/>
      <x:c r="AP122" s="54"/>
      <x:c r="AQ122" s="54"/>
      <x:c r="AR122" s="54"/>
      <x:c r="AS122" s="54"/>
      <x:c r="AT122" s="54"/>
      <x:c r="AU122" s="54"/>
      <x:c r="AV122" s="54"/>
      <x:c r="AW122" s="54"/>
    </x:row>
    <x:row r="123">
      <x:c r="A123" s="54"/>
      <x:c r="B123" s="54"/>
      <x:c r="C123" s="54"/>
      <x:c r="D123" s="54"/>
      <x:c r="E123" s="54"/>
      <x:c r="F123" s="54"/>
      <x:c r="G123" s="54"/>
      <x:c r="H123" s="54"/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  <x:c r="AA123" s="54"/>
      <x:c r="AB123" s="54"/>
      <x:c r="AC123" s="54"/>
      <x:c r="AD123" s="54"/>
      <x:c r="AE123" s="54"/>
      <x:c r="AF123" s="54"/>
      <x:c r="AG123" s="54"/>
      <x:c r="AH123" s="54"/>
      <x:c r="AI123" s="54"/>
      <x:c r="AJ123" s="54"/>
      <x:c r="AK123" s="54"/>
      <x:c r="AL123" s="54"/>
      <x:c r="AM123" s="54"/>
      <x:c r="AN123" s="54"/>
      <x:c r="AO123" s="54"/>
      <x:c r="AP123" s="54"/>
      <x:c r="AQ123" s="54"/>
      <x:c r="AR123" s="54"/>
      <x:c r="AS123" s="54"/>
      <x:c r="AT123" s="54"/>
      <x:c r="AU123" s="54"/>
      <x:c r="AV123" s="54"/>
      <x:c r="AW123" s="54"/>
    </x:row>
    <x:row r="124">
      <x:c r="A124" s="54"/>
      <x:c r="B124" s="54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  <x:c r="AA124" s="54"/>
      <x:c r="AB124" s="54"/>
      <x:c r="AC124" s="54"/>
      <x:c r="AD124" s="54"/>
      <x:c r="AE124" s="54"/>
      <x:c r="AF124" s="54"/>
      <x:c r="AG124" s="54"/>
      <x:c r="AH124" s="54"/>
      <x:c r="AI124" s="54"/>
      <x:c r="AJ124" s="54"/>
      <x:c r="AK124" s="54"/>
      <x:c r="AL124" s="54"/>
      <x:c r="AM124" s="54"/>
      <x:c r="AN124" s="54"/>
      <x:c r="AO124" s="54"/>
      <x:c r="AP124" s="54"/>
      <x:c r="AQ124" s="54"/>
      <x:c r="AR124" s="54"/>
      <x:c r="AS124" s="54"/>
      <x:c r="AT124" s="54"/>
      <x:c r="AU124" s="54"/>
      <x:c r="AV124" s="54"/>
      <x:c r="AW124" s="54"/>
    </x:row>
    <x:row r="125">
      <x:c r="A125" s="54"/>
      <x:c r="B125" s="54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  <x:c r="AA125" s="54"/>
      <x:c r="AB125" s="54"/>
      <x:c r="AC125" s="54"/>
      <x:c r="AD125" s="54"/>
      <x:c r="AE125" s="54"/>
      <x:c r="AF125" s="54"/>
      <x:c r="AG125" s="54"/>
      <x:c r="AH125" s="54"/>
      <x:c r="AI125" s="54"/>
      <x:c r="AJ125" s="54"/>
      <x:c r="AK125" s="54"/>
      <x:c r="AL125" s="54"/>
      <x:c r="AM125" s="54"/>
      <x:c r="AN125" s="54"/>
      <x:c r="AO125" s="54"/>
      <x:c r="AP125" s="54"/>
      <x:c r="AQ125" s="54"/>
      <x:c r="AR125" s="54"/>
      <x:c r="AS125" s="54"/>
      <x:c r="AT125" s="54"/>
      <x:c r="AU125" s="54"/>
      <x:c r="AV125" s="54"/>
      <x:c r="AW125" s="54"/>
    </x:row>
    <x:row r="126">
      <x:c r="A126" s="54"/>
      <x:c r="B126" s="54"/>
      <x:c r="C126" s="54"/>
      <x:c r="D126" s="54"/>
      <x:c r="E126" s="54"/>
      <x:c r="F126" s="54"/>
      <x:c r="G126" s="54"/>
      <x:c r="H126" s="54"/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  <x:c r="AA126" s="54"/>
      <x:c r="AB126" s="54"/>
      <x:c r="AC126" s="54"/>
      <x:c r="AD126" s="54"/>
      <x:c r="AE126" s="54"/>
      <x:c r="AF126" s="54"/>
      <x:c r="AG126" s="54"/>
      <x:c r="AH126" s="54"/>
      <x:c r="AI126" s="54"/>
      <x:c r="AJ126" s="54"/>
      <x:c r="AK126" s="54"/>
      <x:c r="AL126" s="54"/>
      <x:c r="AM126" s="54"/>
      <x:c r="AN126" s="54"/>
      <x:c r="AO126" s="54"/>
      <x:c r="AP126" s="54"/>
      <x:c r="AQ126" s="54"/>
      <x:c r="AR126" s="54"/>
      <x:c r="AS126" s="54"/>
      <x:c r="AT126" s="54"/>
      <x:c r="AU126" s="54"/>
      <x:c r="AV126" s="54"/>
      <x:c r="AW126" s="54"/>
    </x:row>
    <x:row r="127">
      <x:c r="A127" s="54"/>
      <x:c r="B127" s="54"/>
      <x:c r="C127" s="54"/>
      <x:c r="D127" s="54"/>
      <x:c r="E127" s="54"/>
      <x:c r="F127" s="54"/>
      <x:c r="G127" s="54"/>
      <x:c r="H127" s="54"/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  <x:c r="AA127" s="54"/>
      <x:c r="AB127" s="54"/>
      <x:c r="AC127" s="54"/>
      <x:c r="AD127" s="54"/>
      <x:c r="AE127" s="54"/>
      <x:c r="AF127" s="54"/>
      <x:c r="AG127" s="54"/>
      <x:c r="AH127" s="54"/>
      <x:c r="AI127" s="54"/>
      <x:c r="AJ127" s="54"/>
      <x:c r="AK127" s="54"/>
      <x:c r="AL127" s="54"/>
      <x:c r="AM127" s="54"/>
      <x:c r="AN127" s="54"/>
      <x:c r="AO127" s="54"/>
      <x:c r="AP127" s="54"/>
      <x:c r="AQ127" s="54"/>
      <x:c r="AR127" s="54"/>
      <x:c r="AS127" s="54"/>
      <x:c r="AT127" s="54"/>
      <x:c r="AU127" s="54"/>
      <x:c r="AV127" s="54"/>
      <x:c r="AW127" s="54"/>
    </x:row>
    <x:row r="128">
      <x:c r="A128" s="54"/>
      <x:c r="B128" s="54"/>
      <x:c r="C128" s="54"/>
      <x:c r="D128" s="54"/>
      <x:c r="E128" s="54"/>
      <x:c r="F128" s="54"/>
      <x:c r="G128" s="54"/>
      <x:c r="H128" s="54"/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  <x:c r="AA128" s="54"/>
      <x:c r="AB128" s="54"/>
      <x:c r="AC128" s="54"/>
      <x:c r="AD128" s="54"/>
      <x:c r="AE128" s="54"/>
      <x:c r="AF128" s="54"/>
      <x:c r="AG128" s="54"/>
      <x:c r="AH128" s="54"/>
      <x:c r="AI128" s="54"/>
      <x:c r="AJ128" s="54"/>
      <x:c r="AK128" s="54"/>
      <x:c r="AL128" s="54"/>
      <x:c r="AM128" s="54"/>
      <x:c r="AN128" s="54"/>
      <x:c r="AO128" s="54"/>
      <x:c r="AP128" s="54"/>
      <x:c r="AQ128" s="54"/>
      <x:c r="AR128" s="54"/>
      <x:c r="AS128" s="54"/>
      <x:c r="AT128" s="54"/>
      <x:c r="AU128" s="54"/>
      <x:c r="AV128" s="54"/>
      <x:c r="AW128" s="54"/>
    </x:row>
    <x:row r="129">
      <x:c r="A129" s="54"/>
      <x:c r="B129" s="54"/>
      <x:c r="C129" s="54"/>
      <x:c r="D129" s="54"/>
      <x:c r="E129" s="54"/>
      <x:c r="F129" s="54"/>
      <x:c r="G129" s="54"/>
      <x:c r="H129" s="54"/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  <x:c r="AA129" s="54"/>
      <x:c r="AB129" s="54"/>
      <x:c r="AC129" s="54"/>
      <x:c r="AD129" s="54"/>
      <x:c r="AE129" s="54"/>
      <x:c r="AF129" s="54"/>
      <x:c r="AG129" s="54"/>
      <x:c r="AH129" s="54"/>
      <x:c r="AI129" s="54"/>
      <x:c r="AJ129" s="54"/>
      <x:c r="AK129" s="54"/>
      <x:c r="AL129" s="54"/>
      <x:c r="AM129" s="54"/>
      <x:c r="AN129" s="54"/>
      <x:c r="AO129" s="54"/>
      <x:c r="AP129" s="54"/>
      <x:c r="AQ129" s="54"/>
      <x:c r="AR129" s="54"/>
      <x:c r="AS129" s="54"/>
      <x:c r="AT129" s="54"/>
      <x:c r="AU129" s="54"/>
      <x:c r="AV129" s="54"/>
      <x:c r="AW129" s="54"/>
    </x:row>
    <x:row r="130">
      <x:c r="A130" s="54"/>
      <x:c r="B130" s="54"/>
      <x:c r="C130" s="54"/>
      <x:c r="D130" s="54"/>
      <x:c r="E130" s="54"/>
      <x:c r="F130" s="54"/>
      <x:c r="G130" s="54"/>
      <x:c r="H130" s="54"/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  <x:c r="AA130" s="54"/>
      <x:c r="AB130" s="54"/>
      <x:c r="AC130" s="54"/>
      <x:c r="AD130" s="54"/>
      <x:c r="AE130" s="54"/>
      <x:c r="AF130" s="54"/>
      <x:c r="AG130" s="54"/>
      <x:c r="AH130" s="54"/>
      <x:c r="AI130" s="54"/>
      <x:c r="AJ130" s="54"/>
      <x:c r="AK130" s="54"/>
      <x:c r="AL130" s="54"/>
      <x:c r="AM130" s="54"/>
      <x:c r="AN130" s="54"/>
      <x:c r="AO130" s="54"/>
      <x:c r="AP130" s="54"/>
      <x:c r="AQ130" s="54"/>
      <x:c r="AR130" s="54"/>
      <x:c r="AS130" s="54"/>
      <x:c r="AT130" s="54"/>
      <x:c r="AU130" s="54"/>
      <x:c r="AV130" s="54"/>
      <x:c r="AW130" s="54"/>
    </x:row>
    <x:row r="131">
      <x:c r="A131" s="54"/>
      <x:c r="B131" s="54"/>
      <x:c r="C131" s="54"/>
      <x:c r="D131" s="54"/>
      <x:c r="E131" s="54"/>
      <x:c r="F131" s="54"/>
      <x:c r="G131" s="54"/>
      <x:c r="H131" s="54"/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  <x:c r="AA131" s="54"/>
      <x:c r="AB131" s="54"/>
      <x:c r="AC131" s="54"/>
      <x:c r="AD131" s="54"/>
      <x:c r="AE131" s="54"/>
      <x:c r="AF131" s="54"/>
      <x:c r="AG131" s="54"/>
      <x:c r="AH131" s="54"/>
      <x:c r="AI131" s="54"/>
      <x:c r="AJ131" s="54"/>
      <x:c r="AK131" s="54"/>
      <x:c r="AL131" s="54"/>
      <x:c r="AM131" s="54"/>
      <x:c r="AN131" s="54"/>
      <x:c r="AO131" s="54"/>
      <x:c r="AP131" s="54"/>
      <x:c r="AQ131" s="54"/>
      <x:c r="AR131" s="54"/>
      <x:c r="AS131" s="54"/>
      <x:c r="AT131" s="54"/>
      <x:c r="AU131" s="54"/>
      <x:c r="AV131" s="54"/>
      <x:c r="AW131" s="54"/>
    </x:row>
    <x:row r="132">
      <x:c r="A132" s="54"/>
      <x:c r="B132" s="54"/>
      <x:c r="C132" s="54"/>
      <x:c r="D132" s="54"/>
      <x:c r="E132" s="54"/>
      <x:c r="F132" s="54"/>
      <x:c r="G132" s="54"/>
      <x:c r="H132" s="54"/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  <x:c r="AA132" s="54"/>
      <x:c r="AB132" s="54"/>
      <x:c r="AC132" s="54"/>
      <x:c r="AD132" s="54"/>
      <x:c r="AE132" s="54"/>
      <x:c r="AF132" s="54"/>
      <x:c r="AG132" s="54"/>
      <x:c r="AH132" s="54"/>
      <x:c r="AI132" s="54"/>
      <x:c r="AJ132" s="54"/>
      <x:c r="AK132" s="54"/>
      <x:c r="AL132" s="54"/>
      <x:c r="AM132" s="54"/>
      <x:c r="AN132" s="54"/>
      <x:c r="AO132" s="54"/>
      <x:c r="AP132" s="54"/>
      <x:c r="AQ132" s="54"/>
      <x:c r="AR132" s="54"/>
      <x:c r="AS132" s="54"/>
      <x:c r="AT132" s="54"/>
      <x:c r="AU132" s="54"/>
      <x:c r="AV132" s="54"/>
      <x:c r="AW132" s="54"/>
    </x:row>
    <x:row r="133">
      <x:c r="A133" s="54"/>
      <x:c r="B133" s="54"/>
      <x:c r="C133" s="54"/>
      <x:c r="D133" s="54"/>
      <x:c r="E133" s="54"/>
      <x:c r="F133" s="54"/>
      <x:c r="G133" s="54"/>
      <x:c r="H133" s="54"/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  <x:c r="AA133" s="54"/>
      <x:c r="AB133" s="54"/>
      <x:c r="AC133" s="54"/>
      <x:c r="AD133" s="54"/>
      <x:c r="AE133" s="54"/>
      <x:c r="AF133" s="54"/>
      <x:c r="AG133" s="54"/>
      <x:c r="AH133" s="54"/>
      <x:c r="AI133" s="54"/>
      <x:c r="AJ133" s="54"/>
      <x:c r="AK133" s="54"/>
      <x:c r="AL133" s="54"/>
      <x:c r="AM133" s="54"/>
      <x:c r="AN133" s="54"/>
      <x:c r="AO133" s="54"/>
      <x:c r="AP133" s="54"/>
      <x:c r="AQ133" s="54"/>
      <x:c r="AR133" s="54"/>
      <x:c r="AS133" s="54"/>
      <x:c r="AT133" s="54"/>
      <x:c r="AU133" s="54"/>
      <x:c r="AV133" s="54"/>
      <x:c r="AW133" s="54"/>
    </x:row>
    <x:row r="134">
      <x:c r="A134" s="54"/>
      <x:c r="B134" s="54"/>
      <x:c r="C134" s="54"/>
      <x:c r="D134" s="54"/>
      <x:c r="E134" s="54"/>
      <x:c r="F134" s="54"/>
      <x:c r="G134" s="54"/>
      <x:c r="H134" s="54"/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  <x:c r="AA134" s="54"/>
      <x:c r="AB134" s="54"/>
      <x:c r="AC134" s="54"/>
      <x:c r="AD134" s="54"/>
      <x:c r="AE134" s="54"/>
      <x:c r="AF134" s="54"/>
      <x:c r="AG134" s="54"/>
      <x:c r="AH134" s="54"/>
      <x:c r="AI134" s="54"/>
      <x:c r="AJ134" s="54"/>
      <x:c r="AK134" s="54"/>
      <x:c r="AL134" s="54"/>
      <x:c r="AM134" s="54"/>
      <x:c r="AN134" s="54"/>
      <x:c r="AO134" s="54"/>
      <x:c r="AP134" s="54"/>
      <x:c r="AQ134" s="54"/>
      <x:c r="AR134" s="54"/>
      <x:c r="AS134" s="54"/>
      <x:c r="AT134" s="54"/>
      <x:c r="AU134" s="54"/>
      <x:c r="AV134" s="54"/>
      <x:c r="AW134" s="54"/>
    </x:row>
    <x:row r="135">
      <x:c r="A135" s="54"/>
      <x:c r="B135" s="54"/>
      <x:c r="C135" s="54"/>
      <x:c r="D135" s="54"/>
      <x:c r="E135" s="54"/>
      <x:c r="F135" s="54"/>
      <x:c r="G135" s="54"/>
      <x:c r="H135" s="54"/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  <x:c r="AA135" s="54"/>
      <x:c r="AB135" s="54"/>
      <x:c r="AC135" s="54"/>
      <x:c r="AD135" s="54"/>
      <x:c r="AE135" s="54"/>
      <x:c r="AF135" s="54"/>
      <x:c r="AG135" s="54"/>
      <x:c r="AH135" s="54"/>
      <x:c r="AI135" s="54"/>
      <x:c r="AJ135" s="54"/>
      <x:c r="AK135" s="54"/>
      <x:c r="AL135" s="54"/>
      <x:c r="AM135" s="54"/>
      <x:c r="AN135" s="54"/>
      <x:c r="AO135" s="54"/>
      <x:c r="AP135" s="54"/>
      <x:c r="AQ135" s="54"/>
      <x:c r="AR135" s="54"/>
      <x:c r="AS135" s="54"/>
      <x:c r="AT135" s="54"/>
      <x:c r="AU135" s="54"/>
      <x:c r="AV135" s="54"/>
      <x:c r="AW135" s="54"/>
    </x:row>
    <x:row r="136">
      <x:c r="A136" s="54"/>
      <x:c r="B136" s="54"/>
      <x:c r="C136" s="54"/>
      <x:c r="D136" s="54"/>
      <x:c r="E136" s="54"/>
      <x:c r="F136" s="54"/>
      <x:c r="G136" s="54"/>
      <x:c r="H136" s="54"/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  <x:c r="AA136" s="54"/>
      <x:c r="AB136" s="54"/>
      <x:c r="AC136" s="54"/>
      <x:c r="AD136" s="54"/>
      <x:c r="AE136" s="54"/>
      <x:c r="AF136" s="54"/>
      <x:c r="AG136" s="54"/>
      <x:c r="AH136" s="54"/>
      <x:c r="AI136" s="54"/>
      <x:c r="AJ136" s="54"/>
      <x:c r="AK136" s="54"/>
      <x:c r="AL136" s="54"/>
      <x:c r="AM136" s="54"/>
      <x:c r="AN136" s="54"/>
      <x:c r="AO136" s="54"/>
      <x:c r="AP136" s="54"/>
      <x:c r="AQ136" s="54"/>
      <x:c r="AR136" s="54"/>
      <x:c r="AS136" s="54"/>
      <x:c r="AT136" s="54"/>
      <x:c r="AU136" s="54"/>
      <x:c r="AV136" s="54"/>
      <x:c r="AW136" s="54"/>
    </x:row>
    <x:row r="137">
      <x:c r="A137" s="54"/>
      <x:c r="B137" s="54"/>
      <x:c r="C137" s="54"/>
      <x:c r="D137" s="54"/>
      <x:c r="E137" s="54"/>
      <x:c r="F137" s="54"/>
      <x:c r="G137" s="54"/>
      <x:c r="H137" s="54"/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  <x:c r="AA137" s="54"/>
      <x:c r="AB137" s="54"/>
      <x:c r="AC137" s="54"/>
      <x:c r="AD137" s="54"/>
      <x:c r="AE137" s="54"/>
      <x:c r="AF137" s="54"/>
      <x:c r="AG137" s="54"/>
      <x:c r="AH137" s="54"/>
      <x:c r="AI137" s="54"/>
      <x:c r="AJ137" s="54"/>
      <x:c r="AK137" s="54"/>
      <x:c r="AL137" s="54"/>
      <x:c r="AM137" s="54"/>
      <x:c r="AN137" s="54"/>
      <x:c r="AO137" s="54"/>
      <x:c r="AP137" s="54"/>
      <x:c r="AQ137" s="54"/>
      <x:c r="AR137" s="54"/>
      <x:c r="AS137" s="54"/>
      <x:c r="AT137" s="54"/>
      <x:c r="AU137" s="54"/>
      <x:c r="AV137" s="54"/>
      <x:c r="AW137" s="54"/>
    </x:row>
    <x:row r="138">
      <x:c r="A138" s="54"/>
      <x:c r="B138" s="54"/>
      <x:c r="C138" s="54"/>
      <x:c r="D138" s="54"/>
      <x:c r="E138" s="54"/>
      <x:c r="F138" s="54"/>
      <x:c r="G138" s="54"/>
      <x:c r="H138" s="54"/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  <x:c r="AA138" s="54"/>
      <x:c r="AB138" s="54"/>
      <x:c r="AC138" s="54"/>
      <x:c r="AD138" s="54"/>
      <x:c r="AE138" s="54"/>
      <x:c r="AF138" s="54"/>
      <x:c r="AG138" s="54"/>
      <x:c r="AH138" s="54"/>
      <x:c r="AI138" s="54"/>
      <x:c r="AJ138" s="54"/>
      <x:c r="AK138" s="54"/>
      <x:c r="AL138" s="54"/>
      <x:c r="AM138" s="54"/>
      <x:c r="AN138" s="54"/>
      <x:c r="AO138" s="54"/>
      <x:c r="AP138" s="54"/>
      <x:c r="AQ138" s="54"/>
      <x:c r="AR138" s="54"/>
      <x:c r="AS138" s="54"/>
      <x:c r="AT138" s="54"/>
      <x:c r="AU138" s="54"/>
      <x:c r="AV138" s="54"/>
      <x:c r="AW138" s="54"/>
    </x:row>
    <x:row r="139">
      <x:c r="A139" s="54"/>
      <x:c r="B139" s="54"/>
      <x:c r="C139" s="54"/>
      <x:c r="D139" s="54"/>
      <x:c r="E139" s="54"/>
      <x:c r="F139" s="54"/>
      <x:c r="G139" s="54"/>
      <x:c r="H139" s="54"/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  <x:c r="AA139" s="54"/>
      <x:c r="AB139" s="54"/>
      <x:c r="AC139" s="54"/>
      <x:c r="AD139" s="54"/>
      <x:c r="AE139" s="54"/>
      <x:c r="AF139" s="54"/>
      <x:c r="AG139" s="54"/>
      <x:c r="AH139" s="54"/>
      <x:c r="AI139" s="54"/>
      <x:c r="AJ139" s="54"/>
      <x:c r="AK139" s="54"/>
      <x:c r="AL139" s="54"/>
      <x:c r="AM139" s="54"/>
      <x:c r="AN139" s="54"/>
      <x:c r="AO139" s="54"/>
      <x:c r="AP139" s="54"/>
      <x:c r="AQ139" s="54"/>
      <x:c r="AR139" s="54"/>
      <x:c r="AS139" s="54"/>
      <x:c r="AT139" s="54"/>
      <x:c r="AU139" s="54"/>
      <x:c r="AV139" s="54"/>
      <x:c r="AW139" s="54"/>
    </x:row>
    <x:row r="140">
      <x:c r="A140" s="54"/>
      <x:c r="B140" s="54"/>
      <x:c r="C140" s="54"/>
      <x:c r="D140" s="54"/>
      <x:c r="E140" s="54"/>
      <x:c r="F140" s="54"/>
      <x:c r="G140" s="54"/>
      <x:c r="H140" s="54"/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  <x:c r="AA140" s="54"/>
      <x:c r="AB140" s="54"/>
      <x:c r="AC140" s="54"/>
      <x:c r="AD140" s="54"/>
      <x:c r="AE140" s="54"/>
      <x:c r="AF140" s="54"/>
      <x:c r="AG140" s="54"/>
      <x:c r="AH140" s="54"/>
      <x:c r="AI140" s="54"/>
      <x:c r="AJ140" s="54"/>
      <x:c r="AK140" s="54"/>
      <x:c r="AL140" s="54"/>
      <x:c r="AM140" s="54"/>
      <x:c r="AN140" s="54"/>
      <x:c r="AO140" s="54"/>
      <x:c r="AP140" s="54"/>
      <x:c r="AQ140" s="54"/>
      <x:c r="AR140" s="54"/>
      <x:c r="AS140" s="54"/>
      <x:c r="AT140" s="54"/>
      <x:c r="AU140" s="54"/>
      <x:c r="AV140" s="54"/>
      <x:c r="AW140" s="54"/>
    </x:row>
    <x:row r="141">
      <x:c r="A141" s="54"/>
      <x:c r="B141" s="54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  <x:c r="AA141" s="54"/>
      <x:c r="AB141" s="54"/>
      <x:c r="AC141" s="54"/>
      <x:c r="AD141" s="54"/>
      <x:c r="AE141" s="54"/>
      <x:c r="AF141" s="54"/>
      <x:c r="AG141" s="54"/>
      <x:c r="AH141" s="54"/>
      <x:c r="AI141" s="54"/>
      <x:c r="AJ141" s="54"/>
      <x:c r="AK141" s="54"/>
      <x:c r="AL141" s="54"/>
      <x:c r="AM141" s="54"/>
      <x:c r="AN141" s="54"/>
      <x:c r="AO141" s="54"/>
      <x:c r="AP141" s="54"/>
      <x:c r="AQ141" s="54"/>
      <x:c r="AR141" s="54"/>
      <x:c r="AS141" s="54"/>
      <x:c r="AT141" s="54"/>
      <x:c r="AU141" s="54"/>
      <x:c r="AV141" s="54"/>
      <x:c r="AW141" s="54"/>
    </x:row>
    <x:row r="142">
      <x:c r="A142" s="54"/>
      <x:c r="B142" s="54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  <x:c r="AA142" s="54"/>
      <x:c r="AB142" s="54"/>
      <x:c r="AC142" s="54"/>
      <x:c r="AD142" s="54"/>
      <x:c r="AE142" s="54"/>
      <x:c r="AF142" s="54"/>
      <x:c r="AG142" s="54"/>
      <x:c r="AH142" s="54"/>
      <x:c r="AI142" s="54"/>
      <x:c r="AJ142" s="54"/>
      <x:c r="AK142" s="54"/>
      <x:c r="AL142" s="54"/>
      <x:c r="AM142" s="54"/>
      <x:c r="AN142" s="54"/>
      <x:c r="AO142" s="54"/>
      <x:c r="AP142" s="54"/>
      <x:c r="AQ142" s="54"/>
      <x:c r="AR142" s="54"/>
      <x:c r="AS142" s="54"/>
      <x:c r="AT142" s="54"/>
      <x:c r="AU142" s="54"/>
      <x:c r="AV142" s="54"/>
      <x:c r="AW142" s="54"/>
    </x:row>
    <x:row r="143">
      <x:c r="A143" s="54"/>
      <x:c r="B143" s="54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  <x:c r="AA143" s="54"/>
      <x:c r="AB143" s="54"/>
      <x:c r="AC143" s="54"/>
      <x:c r="AD143" s="54"/>
      <x:c r="AE143" s="54"/>
      <x:c r="AF143" s="54"/>
      <x:c r="AG143" s="54"/>
      <x:c r="AH143" s="54"/>
      <x:c r="AI143" s="54"/>
      <x:c r="AJ143" s="54"/>
      <x:c r="AK143" s="54"/>
      <x:c r="AL143" s="54"/>
      <x:c r="AM143" s="54"/>
      <x:c r="AN143" s="54"/>
      <x:c r="AO143" s="54"/>
      <x:c r="AP143" s="54"/>
      <x:c r="AQ143" s="54"/>
      <x:c r="AR143" s="54"/>
      <x:c r="AS143" s="54"/>
      <x:c r="AT143" s="54"/>
      <x:c r="AU143" s="54"/>
      <x:c r="AV143" s="54"/>
      <x:c r="AW143" s="54"/>
    </x:row>
    <x:row r="144">
      <x:c r="A144" s="54"/>
      <x:c r="B144" s="54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  <x:c r="AA144" s="54"/>
      <x:c r="AB144" s="54"/>
      <x:c r="AC144" s="54"/>
      <x:c r="AD144" s="54"/>
      <x:c r="AE144" s="54"/>
      <x:c r="AF144" s="54"/>
      <x:c r="AG144" s="54"/>
      <x:c r="AH144" s="54"/>
      <x:c r="AI144" s="54"/>
      <x:c r="AJ144" s="54"/>
      <x:c r="AK144" s="54"/>
      <x:c r="AL144" s="54"/>
      <x:c r="AM144" s="54"/>
      <x:c r="AN144" s="54"/>
      <x:c r="AO144" s="54"/>
      <x:c r="AP144" s="54"/>
      <x:c r="AQ144" s="54"/>
      <x:c r="AR144" s="54"/>
      <x:c r="AS144" s="54"/>
      <x:c r="AT144" s="54"/>
      <x:c r="AU144" s="54"/>
      <x:c r="AV144" s="54"/>
      <x:c r="AW144" s="54"/>
    </x:row>
    <x:row r="145">
      <x:c r="A145" s="54"/>
      <x:c r="B145" s="54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  <x:c r="AA145" s="54"/>
      <x:c r="AB145" s="54"/>
      <x:c r="AC145" s="54"/>
      <x:c r="AD145" s="54"/>
      <x:c r="AE145" s="54"/>
      <x:c r="AF145" s="54"/>
      <x:c r="AG145" s="54"/>
      <x:c r="AH145" s="54"/>
      <x:c r="AI145" s="54"/>
      <x:c r="AJ145" s="54"/>
      <x:c r="AK145" s="54"/>
      <x:c r="AL145" s="54"/>
      <x:c r="AM145" s="54"/>
      <x:c r="AN145" s="54"/>
      <x:c r="AO145" s="54"/>
      <x:c r="AP145" s="54"/>
      <x:c r="AQ145" s="54"/>
      <x:c r="AR145" s="54"/>
      <x:c r="AS145" s="54"/>
      <x:c r="AT145" s="54"/>
      <x:c r="AU145" s="54"/>
      <x:c r="AV145" s="54"/>
      <x:c r="AW145" s="54"/>
    </x:row>
    <x:row r="146">
      <x:c r="A146" s="54"/>
      <x:c r="B146" s="54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  <x:c r="AA146" s="54"/>
      <x:c r="AB146" s="54"/>
      <x:c r="AC146" s="54"/>
      <x:c r="AD146" s="54"/>
      <x:c r="AE146" s="54"/>
      <x:c r="AF146" s="54"/>
      <x:c r="AG146" s="54"/>
      <x:c r="AH146" s="54"/>
      <x:c r="AI146" s="54"/>
      <x:c r="AJ146" s="54"/>
      <x:c r="AK146" s="54"/>
      <x:c r="AL146" s="54"/>
      <x:c r="AM146" s="54"/>
      <x:c r="AN146" s="54"/>
      <x:c r="AO146" s="54"/>
      <x:c r="AP146" s="54"/>
      <x:c r="AQ146" s="54"/>
      <x:c r="AR146" s="54"/>
      <x:c r="AS146" s="54"/>
      <x:c r="AT146" s="54"/>
      <x:c r="AU146" s="54"/>
      <x:c r="AV146" s="54"/>
      <x:c r="AW146" s="54"/>
    </x:row>
    <x:row r="147">
      <x:c r="A147" s="54"/>
      <x:c r="B147" s="54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  <x:c r="AA147" s="54"/>
      <x:c r="AB147" s="54"/>
      <x:c r="AC147" s="54"/>
      <x:c r="AD147" s="54"/>
      <x:c r="AE147" s="54"/>
      <x:c r="AF147" s="54"/>
      <x:c r="AG147" s="54"/>
      <x:c r="AH147" s="54"/>
      <x:c r="AI147" s="54"/>
      <x:c r="AJ147" s="54"/>
      <x:c r="AK147" s="54"/>
      <x:c r="AL147" s="54"/>
      <x:c r="AM147" s="54"/>
      <x:c r="AN147" s="54"/>
      <x:c r="AO147" s="54"/>
      <x:c r="AP147" s="54"/>
      <x:c r="AQ147" s="54"/>
      <x:c r="AR147" s="54"/>
      <x:c r="AS147" s="54"/>
      <x:c r="AT147" s="54"/>
      <x:c r="AU147" s="54"/>
      <x:c r="AV147" s="54"/>
      <x:c r="AW147" s="54"/>
    </x:row>
    <x:row r="148">
      <x:c r="A148" s="54"/>
      <x:c r="B148" s="54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  <x:c r="AA148" s="54"/>
      <x:c r="AB148" s="54"/>
      <x:c r="AC148" s="54"/>
      <x:c r="AD148" s="54"/>
      <x:c r="AE148" s="54"/>
      <x:c r="AF148" s="54"/>
      <x:c r="AG148" s="54"/>
      <x:c r="AH148" s="54"/>
      <x:c r="AI148" s="54"/>
      <x:c r="AJ148" s="54"/>
      <x:c r="AK148" s="54"/>
      <x:c r="AL148" s="54"/>
      <x:c r="AM148" s="54"/>
      <x:c r="AN148" s="54"/>
      <x:c r="AO148" s="54"/>
      <x:c r="AP148" s="54"/>
      <x:c r="AQ148" s="54"/>
      <x:c r="AR148" s="54"/>
      <x:c r="AS148" s="54"/>
      <x:c r="AT148" s="54"/>
      <x:c r="AU148" s="54"/>
      <x:c r="AV148" s="54"/>
      <x:c r="AW148" s="54"/>
    </x:row>
    <x:row r="149">
      <x:c r="A149" s="54"/>
      <x:c r="B149" s="54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  <x:c r="AA149" s="54"/>
      <x:c r="AB149" s="54"/>
      <x:c r="AC149" s="54"/>
      <x:c r="AD149" s="54"/>
      <x:c r="AE149" s="54"/>
      <x:c r="AF149" s="54"/>
      <x:c r="AG149" s="54"/>
      <x:c r="AH149" s="54"/>
      <x:c r="AI149" s="54"/>
      <x:c r="AJ149" s="54"/>
      <x:c r="AK149" s="54"/>
      <x:c r="AL149" s="54"/>
      <x:c r="AM149" s="54"/>
      <x:c r="AN149" s="54"/>
      <x:c r="AO149" s="54"/>
      <x:c r="AP149" s="54"/>
      <x:c r="AQ149" s="54"/>
      <x:c r="AR149" s="54"/>
      <x:c r="AS149" s="54"/>
      <x:c r="AT149" s="54"/>
      <x:c r="AU149" s="54"/>
      <x:c r="AV149" s="54"/>
      <x:c r="AW149" s="54"/>
    </x:row>
    <x:row r="150">
      <x:c r="A150" s="54"/>
      <x:c r="B150" s="54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  <x:c r="AA150" s="54"/>
      <x:c r="AB150" s="54"/>
      <x:c r="AC150" s="54"/>
      <x:c r="AD150" s="54"/>
      <x:c r="AE150" s="54"/>
      <x:c r="AF150" s="54"/>
      <x:c r="AG150" s="54"/>
      <x:c r="AH150" s="54"/>
      <x:c r="AI150" s="54"/>
      <x:c r="AJ150" s="54"/>
      <x:c r="AK150" s="54"/>
      <x:c r="AL150" s="54"/>
      <x:c r="AM150" s="54"/>
      <x:c r="AN150" s="54"/>
      <x:c r="AO150" s="54"/>
      <x:c r="AP150" s="54"/>
      <x:c r="AQ150" s="54"/>
      <x:c r="AR150" s="54"/>
      <x:c r="AS150" s="54"/>
      <x:c r="AT150" s="54"/>
      <x:c r="AU150" s="54"/>
      <x:c r="AV150" s="54"/>
      <x:c r="AW150" s="54"/>
    </x:row>
    <x:row r="151">
      <x:c r="A151" s="54"/>
      <x:c r="B151" s="54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  <x:c r="AA151" s="54"/>
      <x:c r="AB151" s="54"/>
      <x:c r="AC151" s="54"/>
      <x:c r="AD151" s="54"/>
      <x:c r="AE151" s="54"/>
      <x:c r="AF151" s="54"/>
      <x:c r="AG151" s="54"/>
      <x:c r="AH151" s="54"/>
      <x:c r="AI151" s="54"/>
      <x:c r="AJ151" s="54"/>
      <x:c r="AK151" s="54"/>
      <x:c r="AL151" s="54"/>
      <x:c r="AM151" s="54"/>
      <x:c r="AN151" s="54"/>
      <x:c r="AO151" s="54"/>
      <x:c r="AP151" s="54"/>
      <x:c r="AQ151" s="54"/>
      <x:c r="AR151" s="54"/>
      <x:c r="AS151" s="54"/>
      <x:c r="AT151" s="54"/>
      <x:c r="AU151" s="54"/>
      <x:c r="AV151" s="54"/>
      <x:c r="AW151" s="54"/>
    </x:row>
    <x:row r="152">
      <x:c r="A152" s="54"/>
      <x:c r="B152" s="54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  <x:c r="AA152" s="54"/>
      <x:c r="AB152" s="54"/>
      <x:c r="AC152" s="54"/>
      <x:c r="AD152" s="54"/>
      <x:c r="AE152" s="54"/>
      <x:c r="AF152" s="54"/>
      <x:c r="AG152" s="54"/>
      <x:c r="AH152" s="54"/>
      <x:c r="AI152" s="54"/>
      <x:c r="AJ152" s="54"/>
      <x:c r="AK152" s="54"/>
      <x:c r="AL152" s="54"/>
      <x:c r="AM152" s="54"/>
      <x:c r="AN152" s="54"/>
      <x:c r="AO152" s="54"/>
      <x:c r="AP152" s="54"/>
      <x:c r="AQ152" s="54"/>
      <x:c r="AR152" s="54"/>
      <x:c r="AS152" s="54"/>
      <x:c r="AT152" s="54"/>
      <x:c r="AU152" s="54"/>
      <x:c r="AV152" s="54"/>
      <x:c r="AW152" s="54"/>
    </x:row>
    <x:row r="153">
      <x:c r="A153" s="54"/>
      <x:c r="B153" s="54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  <x:c r="AA153" s="54"/>
      <x:c r="AB153" s="54"/>
      <x:c r="AC153" s="54"/>
      <x:c r="AD153" s="54"/>
      <x:c r="AE153" s="54"/>
      <x:c r="AF153" s="54"/>
      <x:c r="AG153" s="54"/>
      <x:c r="AH153" s="54"/>
      <x:c r="AI153" s="54"/>
      <x:c r="AJ153" s="54"/>
      <x:c r="AK153" s="54"/>
      <x:c r="AL153" s="54"/>
      <x:c r="AM153" s="54"/>
      <x:c r="AN153" s="54"/>
      <x:c r="AO153" s="54"/>
      <x:c r="AP153" s="54"/>
      <x:c r="AQ153" s="54"/>
      <x:c r="AR153" s="54"/>
      <x:c r="AS153" s="54"/>
      <x:c r="AT153" s="54"/>
      <x:c r="AU153" s="54"/>
      <x:c r="AV153" s="54"/>
      <x:c r="AW153" s="54"/>
    </x:row>
    <x:row r="154">
      <x:c r="A154" s="54"/>
      <x:c r="B154" s="54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  <x:c r="AA154" s="54"/>
      <x:c r="AB154" s="54"/>
      <x:c r="AC154" s="54"/>
      <x:c r="AD154" s="54"/>
      <x:c r="AE154" s="54"/>
      <x:c r="AF154" s="54"/>
      <x:c r="AG154" s="54"/>
      <x:c r="AH154" s="54"/>
      <x:c r="AI154" s="54"/>
      <x:c r="AJ154" s="54"/>
      <x:c r="AK154" s="54"/>
      <x:c r="AL154" s="54"/>
      <x:c r="AM154" s="54"/>
      <x:c r="AN154" s="54"/>
      <x:c r="AO154" s="54"/>
      <x:c r="AP154" s="54"/>
      <x:c r="AQ154" s="54"/>
      <x:c r="AR154" s="54"/>
      <x:c r="AS154" s="54"/>
      <x:c r="AT154" s="54"/>
      <x:c r="AU154" s="54"/>
      <x:c r="AV154" s="54"/>
      <x:c r="AW154" s="54"/>
    </x:row>
    <x:row r="155">
      <x:c r="A155" s="54"/>
      <x:c r="B155" s="54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  <x:c r="AA155" s="54"/>
      <x:c r="AB155" s="54"/>
      <x:c r="AC155" s="54"/>
      <x:c r="AD155" s="54"/>
      <x:c r="AE155" s="54"/>
      <x:c r="AF155" s="54"/>
      <x:c r="AG155" s="54"/>
      <x:c r="AH155" s="54"/>
      <x:c r="AI155" s="54"/>
      <x:c r="AJ155" s="54"/>
      <x:c r="AK155" s="54"/>
      <x:c r="AL155" s="54"/>
      <x:c r="AM155" s="54"/>
      <x:c r="AN155" s="54"/>
      <x:c r="AO155" s="54"/>
      <x:c r="AP155" s="54"/>
      <x:c r="AQ155" s="54"/>
      <x:c r="AR155" s="54"/>
      <x:c r="AS155" s="54"/>
      <x:c r="AT155" s="54"/>
      <x:c r="AU155" s="54"/>
      <x:c r="AV155" s="54"/>
      <x:c r="AW155" s="54"/>
    </x:row>
    <x:row r="156">
      <x:c r="A156" s="54"/>
      <x:c r="B156" s="54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  <x:c r="AA156" s="54"/>
      <x:c r="AB156" s="54"/>
      <x:c r="AC156" s="54"/>
      <x:c r="AD156" s="54"/>
      <x:c r="AE156" s="54"/>
      <x:c r="AF156" s="54"/>
      <x:c r="AG156" s="54"/>
      <x:c r="AH156" s="54"/>
      <x:c r="AI156" s="54"/>
      <x:c r="AJ156" s="54"/>
      <x:c r="AK156" s="54"/>
      <x:c r="AL156" s="54"/>
      <x:c r="AM156" s="54"/>
      <x:c r="AN156" s="54"/>
      <x:c r="AO156" s="54"/>
      <x:c r="AP156" s="54"/>
      <x:c r="AQ156" s="54"/>
      <x:c r="AR156" s="54"/>
      <x:c r="AS156" s="54"/>
      <x:c r="AT156" s="54"/>
      <x:c r="AU156" s="54"/>
      <x:c r="AV156" s="54"/>
      <x:c r="AW156" s="54"/>
    </x:row>
    <x:row r="157">
      <x:c r="A157" s="54"/>
      <x:c r="B157" s="54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  <x:c r="AA157" s="54"/>
      <x:c r="AB157" s="54"/>
      <x:c r="AC157" s="54"/>
      <x:c r="AD157" s="54"/>
      <x:c r="AE157" s="54"/>
      <x:c r="AF157" s="54"/>
      <x:c r="AG157" s="54"/>
      <x:c r="AH157" s="54"/>
      <x:c r="AI157" s="54"/>
      <x:c r="AJ157" s="54"/>
      <x:c r="AK157" s="54"/>
      <x:c r="AL157" s="54"/>
      <x:c r="AM157" s="54"/>
      <x:c r="AN157" s="54"/>
      <x:c r="AO157" s="54"/>
      <x:c r="AP157" s="54"/>
      <x:c r="AQ157" s="54"/>
      <x:c r="AR157" s="54"/>
      <x:c r="AS157" s="54"/>
      <x:c r="AT157" s="54"/>
      <x:c r="AU157" s="54"/>
      <x:c r="AV157" s="54"/>
      <x:c r="AW157" s="54"/>
    </x:row>
    <x:row r="158">
      <x:c r="A158" s="54"/>
      <x:c r="B158" s="54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  <x:c r="AA158" s="54"/>
      <x:c r="AB158" s="54"/>
      <x:c r="AC158" s="54"/>
      <x:c r="AD158" s="54"/>
      <x:c r="AE158" s="54"/>
      <x:c r="AF158" s="54"/>
      <x:c r="AG158" s="54"/>
      <x:c r="AH158" s="54"/>
      <x:c r="AI158" s="54"/>
      <x:c r="AJ158" s="54"/>
      <x:c r="AK158" s="54"/>
      <x:c r="AL158" s="54"/>
      <x:c r="AM158" s="54"/>
      <x:c r="AN158" s="54"/>
      <x:c r="AO158" s="54"/>
      <x:c r="AP158" s="54"/>
      <x:c r="AQ158" s="54"/>
      <x:c r="AR158" s="54"/>
      <x:c r="AS158" s="54"/>
      <x:c r="AT158" s="54"/>
      <x:c r="AU158" s="54"/>
      <x:c r="AV158" s="54"/>
      <x:c r="AW158" s="54"/>
    </x:row>
    <x:row r="159">
      <x:c r="A159" s="54"/>
      <x:c r="B159" s="54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  <x:c r="AA159" s="54"/>
      <x:c r="AB159" s="54"/>
      <x:c r="AC159" s="54"/>
      <x:c r="AD159" s="54"/>
      <x:c r="AE159" s="54"/>
      <x:c r="AF159" s="54"/>
      <x:c r="AG159" s="54"/>
      <x:c r="AH159" s="54"/>
      <x:c r="AI159" s="54"/>
      <x:c r="AJ159" s="54"/>
      <x:c r="AK159" s="54"/>
      <x:c r="AL159" s="54"/>
      <x:c r="AM159" s="54"/>
      <x:c r="AN159" s="54"/>
      <x:c r="AO159" s="54"/>
      <x:c r="AP159" s="54"/>
      <x:c r="AQ159" s="54"/>
      <x:c r="AR159" s="54"/>
      <x:c r="AS159" s="54"/>
      <x:c r="AT159" s="54"/>
      <x:c r="AU159" s="54"/>
      <x:c r="AV159" s="54"/>
      <x:c r="AW159" s="54"/>
    </x:row>
    <x:row r="160">
      <x:c r="A160" s="54"/>
      <x:c r="B160" s="54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  <x:c r="AA160" s="54"/>
      <x:c r="AB160" s="54"/>
      <x:c r="AC160" s="54"/>
      <x:c r="AD160" s="54"/>
      <x:c r="AE160" s="54"/>
      <x:c r="AF160" s="54"/>
      <x:c r="AG160" s="54"/>
      <x:c r="AH160" s="54"/>
      <x:c r="AI160" s="54"/>
      <x:c r="AJ160" s="54"/>
      <x:c r="AK160" s="54"/>
      <x:c r="AL160" s="54"/>
      <x:c r="AM160" s="54"/>
      <x:c r="AN160" s="54"/>
      <x:c r="AO160" s="54"/>
      <x:c r="AP160" s="54"/>
      <x:c r="AQ160" s="54"/>
      <x:c r="AR160" s="54"/>
      <x:c r="AS160" s="54"/>
      <x:c r="AT160" s="54"/>
      <x:c r="AU160" s="54"/>
      <x:c r="AV160" s="54"/>
      <x:c r="AW160" s="5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6" hidden="0" customWidth="1"/>
    <x:col min="5" max="5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86" t="str">
        <x:v>Archmage scoring model — fixed m=15 final comparison tables</x:v>
      </x:c>
      <x:c r="B1" s="86" t="str"/>
      <x:c r="C1" s="86" t="str"/>
      <x:c r="D1" s="86" t="str"/>
      <x:c r="E1" s="86" t="str"/>
      <x:c r="F1" s="86" t="str"/>
      <x:c r="G1" s="86" t="str"/>
      <x:c r="H1" s="86" t="str"/>
      <x:c r="I1" s="86" t="str"/>
      <x:c r="J1" s="86" t="str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  <x:c r="AA1" s="54"/>
      <x:c r="AB1" s="54"/>
      <x:c r="AC1" s="54"/>
      <x:c r="AD1" s="54"/>
      <x:c r="AE1" s="54"/>
      <x:c r="AF1" s="54"/>
      <x:c r="AG1" s="54"/>
      <x:c r="AH1" s="54"/>
      <x:c r="AI1" s="54"/>
      <x:c r="AJ1" s="54"/>
      <x:c r="AK1" s="54"/>
      <x:c r="AL1" s="54"/>
      <x:c r="AM1" s="54"/>
      <x:c r="AN1" s="54"/>
      <x:c r="AO1" s="54"/>
      <x:c r="AP1" s="54"/>
      <x:c r="AQ1" s="54"/>
      <x:c r="AR1" s="54"/>
      <x:c r="AS1" s="54"/>
      <x:c r="AT1" s="54"/>
      <x:c r="AU1" s="54"/>
      <x:c r="AV1" s="54"/>
      <x:c r="AW1" s="54"/>
    </x:row>
    <x:row r="2">
      <x:c r="A2" s="64" t="str">
        <x:v>Use this sheet to compare the two pure models and the utility-adjusted final score. No integer rounding is applied.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  <x:c r="AA2" s="54"/>
      <x:c r="AB2" s="54"/>
      <x:c r="AC2" s="54"/>
      <x:c r="AD2" s="54"/>
      <x:c r="AE2" s="54"/>
      <x:c r="AF2" s="54"/>
      <x:c r="AG2" s="54"/>
      <x:c r="AH2" s="54"/>
      <x:c r="AI2" s="54"/>
      <x:c r="AJ2" s="54"/>
      <x:c r="AK2" s="54"/>
      <x:c r="AL2" s="54"/>
      <x:c r="AM2" s="54"/>
      <x:c r="AN2" s="54"/>
      <x:c r="AO2" s="54"/>
      <x:c r="AP2" s="54"/>
      <x:c r="AQ2" s="54"/>
      <x:c r="AR2" s="54"/>
      <x:c r="AS2" s="54"/>
      <x:c r="AT2" s="54"/>
      <x:c r="AU2" s="54"/>
      <x:c r="AV2" s="54"/>
      <x:c r="AW2" s="54"/>
    </x:row>
    <x:row r="3">
      <x:c r="A3" s="64" t="str">
        <x:v>Fixed m=15 only. Variable m/count-average sheets were removed.</x:v>
      </x:c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  <x:c r="AA3" s="54"/>
      <x:c r="AB3" s="54"/>
      <x:c r="AC3" s="54"/>
      <x:c r="AD3" s="54"/>
      <x:c r="AE3" s="54"/>
      <x:c r="AF3" s="54"/>
      <x:c r="AG3" s="54"/>
      <x:c r="AH3" s="54"/>
      <x:c r="AI3" s="54"/>
      <x:c r="AJ3" s="54"/>
      <x:c r="AK3" s="54"/>
      <x:c r="AL3" s="54"/>
      <x:c r="AM3" s="54"/>
      <x:c r="AN3" s="54"/>
      <x:c r="AO3" s="54"/>
      <x:c r="AP3" s="54"/>
      <x:c r="AQ3" s="54"/>
      <x:c r="AR3" s="54"/>
      <x:c r="AS3" s="54"/>
      <x:c r="AT3" s="54"/>
      <x:c r="AU3" s="54"/>
      <x:c r="AV3" s="54"/>
      <x:c r="AW3" s="54"/>
    </x:row>
    <x:row r="4">
      <x:c r="A4" s="64" t="str">
        <x:v>These tables use computed values so they display immediately even before Excel recalculates formulas.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  <x:c r="AJ4" s="54"/>
      <x:c r="AK4" s="54"/>
      <x:c r="AL4" s="54"/>
      <x:c r="AM4" s="54"/>
      <x:c r="AN4" s="54"/>
      <x:c r="AO4" s="54"/>
      <x:c r="AP4" s="54"/>
      <x:c r="AQ4" s="54"/>
      <x:c r="AR4" s="54"/>
      <x:c r="AS4" s="54"/>
      <x:c r="AT4" s="54"/>
      <x:c r="AU4" s="54"/>
      <x:c r="AV4" s="54"/>
      <x:c r="AW4" s="54"/>
    </x:row>
    <x:row r="5">
      <x:c r="A5" s="54"/>
      <x:c r="B5" s="54"/>
      <x:c r="C5" s="54"/>
      <x:c r="D5" s="54"/>
      <x:c r="E5" s="54"/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  <x:c r="AA5" s="54"/>
      <x:c r="AB5" s="54"/>
      <x:c r="AC5" s="54"/>
      <x:c r="AD5" s="54"/>
      <x:c r="AE5" s="54"/>
      <x:c r="AF5" s="54"/>
      <x:c r="AG5" s="54"/>
      <x:c r="AH5" s="54"/>
      <x:c r="AI5" s="54"/>
      <x:c r="AJ5" s="54"/>
      <x:c r="AK5" s="54"/>
      <x:c r="AL5" s="54"/>
      <x:c r="AM5" s="54"/>
      <x:c r="AN5" s="54"/>
      <x:c r="AO5" s="54"/>
      <x:c r="AP5" s="54"/>
      <x:c r="AQ5" s="54"/>
      <x:c r="AR5" s="54"/>
      <x:c r="AS5" s="54"/>
      <x:c r="AT5" s="54"/>
      <x:c r="AU5" s="54"/>
      <x:c r="AV5" s="54"/>
      <x:c r="AW5" s="54"/>
    </x:row>
    <x:row r="6">
      <x:c r="A6" s="55" t="str">
        <x:v>Deck 1 — Pure raw fixed-opportunity difficulty (-LN P)</x:v>
      </x:c>
      <x:c r="B6" s="55" t="str"/>
      <x:c r="C6" s="55" t="str"/>
      <x:c r="D6" s="55" t="str"/>
      <x:c r="E6" s="55" t="str"/>
      <x:c r="F6" s="54"/>
      <x:c r="G6" s="55" t="str">
        <x:v>Key output: Final utility-adjusted score</x:v>
      </x:c>
      <x:c r="H6" s="55" t="str"/>
      <x:c r="I6" s="55" t="str"/>
      <x:c r="J6" s="55" t="str"/>
      <x:c r="K6" s="55" t="str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54"/>
      <x:c r="AA6" s="54"/>
      <x:c r="AB6" s="54"/>
      <x:c r="AC6" s="54"/>
      <x:c r="AD6" s="54"/>
      <x:c r="AE6" s="54"/>
      <x:c r="AF6" s="54"/>
      <x:c r="AG6" s="54"/>
      <x:c r="AH6" s="54"/>
      <x:c r="AI6" s="54"/>
      <x:c r="AJ6" s="54"/>
      <x:c r="AK6" s="54"/>
      <x:c r="AL6" s="54"/>
      <x:c r="AM6" s="54"/>
      <x:c r="AN6" s="54"/>
      <x:c r="AO6" s="54"/>
      <x:c r="AP6" s="54"/>
      <x:c r="AQ6" s="54"/>
      <x:c r="AR6" s="54"/>
      <x:c r="AS6" s="54"/>
      <x:c r="AT6" s="54"/>
      <x:c r="AU6" s="54"/>
      <x:c r="AV6" s="54"/>
      <x:c r="AW6" s="54"/>
    </x:row>
    <x:row r="7">
      <x:c r="A7" s="65" t="str">
        <x:v>Size</x:v>
      </x:c>
      <x:c r="B7" s="65" t="str">
        <x:v>Conjuration</x:v>
      </x:c>
      <x:c r="C7" s="65" t="str">
        <x:v>Transfiguration</x:v>
      </x:c>
      <x:c r="D7" s="65" t="str">
        <x:v>Perfect Transmutation</x:v>
      </x:c>
      <x:c r="E7" s="65" t="str">
        <x:v>Enchantment</x:v>
      </x:c>
      <x:c r="F7" s="54"/>
      <x:c r="G7" s="65" t="str">
        <x:v>Deck/Size</x:v>
      </x:c>
      <x:c r="H7" s="65" t="str">
        <x:v>C</x:v>
      </x:c>
      <x:c r="I7" s="65" t="str">
        <x:v>T</x:v>
      </x:c>
      <x:c r="J7" s="65" t="str">
        <x:v>PT</x:v>
      </x:c>
      <x:c r="K7" s="65" t="str">
        <x:v>E</x:v>
      </x:c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  <x:c r="AA7" s="54"/>
      <x:c r="AB7" s="54"/>
      <x:c r="AC7" s="54"/>
      <x:c r="AD7" s="54"/>
      <x:c r="AE7" s="54"/>
      <x:c r="AF7" s="54"/>
      <x:c r="AG7" s="54"/>
      <x:c r="AH7" s="54"/>
      <x:c r="AI7" s="54"/>
      <x:c r="AJ7" s="54"/>
      <x:c r="AK7" s="54"/>
      <x:c r="AL7" s="54"/>
      <x:c r="AM7" s="54"/>
      <x:c r="AN7" s="54"/>
      <x:c r="AO7" s="54"/>
      <x:c r="AP7" s="54"/>
      <x:c r="AQ7" s="54"/>
      <x:c r="AR7" s="54"/>
      <x:c r="AS7" s="54"/>
      <x:c r="AT7" s="54"/>
      <x:c r="AU7" s="54"/>
      <x:c r="AV7" s="54"/>
      <x:c r="AW7" s="54"/>
    </x:row>
    <x:row r="8">
      <x:c r="A8" s="66" t="n">
        <x:v>3</x:v>
      </x:c>
      <x:c r="B8" s="67" t="n">
        <x:v>3.092992528811549e-11</x:v>
      </x:c>
      <x:c r="C8" s="67" t="n">
        <x:v>0.000015689345858865983</x:v>
      </x:c>
      <x:c r="D8" s="67" t="n">
        <x:v>0.6948888562591972</x:v>
      </x:c>
      <x:c r="E8" s="67" t="n">
        <x:v>0.5984335392365301</x:v>
      </x:c>
      <x:c r="F8" s="54"/>
      <x:c r="G8" s="67" t="str">
        <x:v>D1 size 4</x:v>
      </x:c>
      <x:c r="H8" s="67" t="n">
        <x:v>0</x:v>
      </x:c>
      <x:c r="I8" s="67" t="n">
        <x:v>3.022110461594848</x:v>
      </x:c>
      <x:c r="J8" s="67" t="n">
        <x:v>3.5478793576500767</x:v>
      </x:c>
      <x:c r="K8" s="67" t="n">
        <x:v>2.6076673136879487</x:v>
      </x:c>
      <x:c r="L8" s="54"/>
      <x:c r="M8" s="54"/>
      <x:c r="N8" s="54"/>
      <x:c r="O8" s="54"/>
      <x:c r="P8" s="54"/>
      <x:c r="Q8" s="54"/>
      <x:c r="R8" s="54"/>
      <x:c r="S8" s="54"/>
      <x:c r="T8" s="54"/>
      <x:c r="U8" s="54"/>
      <x:c r="V8" s="54"/>
      <x:c r="W8" s="54"/>
      <x:c r="X8" s="54"/>
      <x:c r="Y8" s="54"/>
      <x:c r="Z8" s="54"/>
      <x:c r="AA8" s="54"/>
      <x:c r="AB8" s="54"/>
      <x:c r="AC8" s="54"/>
      <x:c r="AD8" s="54"/>
      <x:c r="AE8" s="54"/>
      <x:c r="AF8" s="54"/>
      <x:c r="AG8" s="54"/>
      <x:c r="AH8" s="54"/>
      <x:c r="AI8" s="54"/>
      <x:c r="AJ8" s="54"/>
      <x:c r="AK8" s="54"/>
      <x:c r="AL8" s="54"/>
      <x:c r="AM8" s="54"/>
      <x:c r="AN8" s="54"/>
      <x:c r="AO8" s="54"/>
      <x:c r="AP8" s="54"/>
      <x:c r="AQ8" s="54"/>
      <x:c r="AR8" s="54"/>
      <x:c r="AS8" s="54"/>
      <x:c r="AT8" s="54"/>
      <x:c r="AU8" s="54"/>
      <x:c r="AV8" s="54"/>
      <x:c r="AW8" s="54"/>
    </x:row>
    <x:row r="9">
      <x:c r="A9" s="66" t="n">
        <x:v>4</x:v>
      </x:c>
      <x:c r="B9" s="67" t="n">
        <x:v>2.303266181022415e-7</x:v>
      </x:c>
      <x:c r="C9" s="67" t="n">
        <x:v>0.0001842666718621199</x:v>
      </x:c>
      <x:c r="D9" s="67" t="n">
        <x:v>2.073641021364272</x:v>
      </x:c>
      <x:c r="E9" s="67" t="n">
        <x:v>3.191283273434939</x:v>
      </x:c>
      <x:c r="F9" s="54"/>
      <x:c r="G9" s="67" t="str">
        <x:v>D1 size 5</x:v>
      </x:c>
      <x:c r="H9" s="67" t="n">
        <x:v>0.09483273381631396</x:v>
      </x:c>
      <x:c r="I9" s="67" t="n">
        <x:v>4.041362002007176</x:v>
      </x:c>
      <x:c r="J9" s="67" t="n">
        <x:v>7.747653458206331</x:v>
      </x:c>
      <x:c r="K9" s="67"/>
      <x:c r="L9" s="54"/>
      <x:c r="M9" s="54"/>
      <x:c r="N9" s="54"/>
      <x:c r="O9" s="54"/>
      <x:c r="P9" s="54"/>
      <x:c r="Q9" s="54"/>
      <x:c r="R9" s="54"/>
      <x:c r="S9" s="54"/>
      <x:c r="T9" s="54"/>
      <x:c r="U9" s="54"/>
      <x:c r="V9" s="54"/>
      <x:c r="W9" s="54"/>
      <x:c r="X9" s="54"/>
      <x:c r="Y9" s="54"/>
      <x:c r="Z9" s="54"/>
      <x:c r="AA9" s="54"/>
      <x:c r="AB9" s="54"/>
      <x:c r="AC9" s="54"/>
      <x:c r="AD9" s="54"/>
      <x:c r="AE9" s="54"/>
      <x:c r="AF9" s="54"/>
      <x:c r="AG9" s="54"/>
      <x:c r="AH9" s="54"/>
      <x:c r="AI9" s="54"/>
      <x:c r="AJ9" s="54"/>
      <x:c r="AK9" s="54"/>
      <x:c r="AL9" s="54"/>
      <x:c r="AM9" s="54"/>
      <x:c r="AN9" s="54"/>
      <x:c r="AO9" s="54"/>
      <x:c r="AP9" s="54"/>
      <x:c r="AQ9" s="54"/>
      <x:c r="AR9" s="54"/>
      <x:c r="AS9" s="54"/>
      <x:c r="AT9" s="54"/>
      <x:c r="AU9" s="54"/>
      <x:c r="AV9" s="54"/>
      <x:c r="AW9" s="54"/>
    </x:row>
    <x:row r="10">
      <x:c r="A10" s="66" t="n">
        <x:v>5</x:v>
      </x:c>
      <x:c r="B10" s="67" t="n">
        <x:v>0.001354810539456582</x:v>
      </x:c>
      <x:c r="C10" s="67" t="n">
        <x:v>0.0020447849317662948</x:v>
      </x:c>
      <x:c r="D10" s="67" t="n">
        <x:v>3.7337517926801636</x:v>
      </x:c>
      <x:c r="E10" s="67"/>
      <x:c r="F10" s="54"/>
      <x:c r="G10" s="67" t="str">
        <x:v>D1 size 15</x:v>
      </x:c>
      <x:c r="H10" s="67" t="n">
        <x:v>55.97036119549498</x:v>
      </x:c>
      <x:c r="I10" s="67" t="n">
        <x:v>30.657635272114277</x:v>
      </x:c>
      <x:c r="J10" s="67" t="n">
        <x:v>55.97036119549498</x:v>
      </x:c>
      <x:c r="K10" s="67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  <x:c r="AA10" s="54"/>
      <x:c r="AB10" s="54"/>
      <x:c r="AC10" s="54"/>
      <x:c r="AD10" s="54"/>
      <x:c r="AE10" s="54"/>
      <x:c r="AF10" s="54"/>
      <x:c r="AG10" s="54"/>
      <x:c r="AH10" s="54"/>
      <x:c r="AI10" s="54"/>
      <x:c r="AJ10" s="54"/>
      <x:c r="AK10" s="54"/>
      <x:c r="AL10" s="54"/>
      <x:c r="AM10" s="54"/>
      <x:c r="AN10" s="54"/>
      <x:c r="AO10" s="54"/>
      <x:c r="AP10" s="54"/>
      <x:c r="AQ10" s="54"/>
      <x:c r="AR10" s="54"/>
      <x:c r="AS10" s="54"/>
      <x:c r="AT10" s="54"/>
      <x:c r="AU10" s="54"/>
      <x:c r="AV10" s="54"/>
      <x:c r="AW10" s="54"/>
    </x:row>
    <x:row r="11">
      <x:c r="A11" s="66" t="n">
        <x:v>6</x:v>
      </x:c>
      <x:c r="B11" s="67" t="n">
        <x:v>0.1451873610014558</x:v>
      </x:c>
      <x:c r="C11" s="67" t="n">
        <x:v>0.016798282102354095</x:v>
      </x:c>
      <x:c r="D11" s="67" t="n">
        <x:v>5.523736582612727</x:v>
      </x:c>
      <x:c r="E11" s="67"/>
      <x:c r="F11" s="54"/>
      <x:c r="G11" s="67" t="str">
        <x:v>D2 size 4</x:v>
      </x:c>
      <x:c r="H11" s="67" t="n">
        <x:v>0</x:v>
      </x:c>
      <x:c r="I11" s="67" t="n">
        <x:v>3.0274003806922174</x:v>
      </x:c>
      <x:c r="J11" s="67" t="n">
        <x:v>4.821380501257878</x:v>
      </x:c>
      <x:c r="K11" s="67" t="n">
        <x:v>1.2920674472853353</x:v>
      </x:c>
      <x:c r="L11" s="54"/>
      <x:c r="M11" s="54"/>
      <x:c r="N11" s="54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  <x:c r="Z11" s="54"/>
      <x:c r="AA11" s="54"/>
      <x:c r="AB11" s="54"/>
      <x:c r="AC11" s="54"/>
      <x:c r="AD11" s="54"/>
      <x:c r="AE11" s="54"/>
      <x:c r="AF11" s="54"/>
      <x:c r="AG11" s="54"/>
      <x:c r="AH11" s="54"/>
      <x:c r="AI11" s="54"/>
      <x:c r="AJ11" s="54"/>
      <x:c r="AK11" s="54"/>
      <x:c r="AL11" s="54"/>
      <x:c r="AM11" s="54"/>
      <x:c r="AN11" s="54"/>
      <x:c r="AO11" s="54"/>
      <x:c r="AP11" s="54"/>
      <x:c r="AQ11" s="54"/>
      <x:c r="AR11" s="54"/>
      <x:c r="AS11" s="54"/>
      <x:c r="AT11" s="54"/>
      <x:c r="AU11" s="54"/>
      <x:c r="AV11" s="54"/>
      <x:c r="AW11" s="54"/>
    </x:row>
    <x:row r="12">
      <x:c r="A12" s="66" t="n">
        <x:v>7</x:v>
      </x:c>
      <x:c r="B12" s="67" t="n">
        <x:v>1.0533634451710168</x:v>
      </x:c>
      <x:c r="C12" s="67" t="n">
        <x:v>0.08959492453777018</x:v>
      </x:c>
      <x:c r="D12" s="67" t="n">
        <x:v>7.419157689443406</x:v>
      </x:c>
      <x:c r="E12" s="67"/>
      <x:c r="F12" s="54"/>
      <x:c r="G12" s="67" t="str">
        <x:v>D2 size 5</x:v>
      </x:c>
      <x:c r="H12" s="67" t="n">
        <x:v>0.4425434498310572</x:v>
      </x:c>
      <x:c r="I12" s="67" t="n">
        <x:v>4.054418035433315</x:v>
      </x:c>
      <x:c r="J12" s="67" t="n">
        <x:v>9.53426489209886</x:v>
      </x:c>
      <x:c r="K12" s="67" t="n">
        <x:v>5.573970471799566</x:v>
      </x:c>
      <x:c r="L12" s="54"/>
      <x:c r="M12" s="54"/>
      <x:c r="N12" s="54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  <x:c r="Z12" s="54"/>
      <x:c r="AA12" s="54"/>
      <x:c r="AB12" s="54"/>
      <x:c r="AC12" s="54"/>
      <x:c r="AD12" s="54"/>
      <x:c r="AE12" s="54"/>
      <x:c r="AF12" s="54"/>
      <x:c r="AG12" s="54"/>
      <x:c r="AH12" s="54"/>
      <x:c r="AI12" s="54"/>
      <x:c r="AJ12" s="54"/>
      <x:c r="AK12" s="54"/>
      <x:c r="AL12" s="54"/>
      <x:c r="AM12" s="54"/>
      <x:c r="AN12" s="54"/>
      <x:c r="AO12" s="54"/>
      <x:c r="AP12" s="54"/>
      <x:c r="AQ12" s="54"/>
      <x:c r="AR12" s="54"/>
      <x:c r="AS12" s="54"/>
      <x:c r="AT12" s="54"/>
      <x:c r="AU12" s="54"/>
      <x:c r="AV12" s="54"/>
      <x:c r="AW12" s="54"/>
    </x:row>
    <x:row r="13">
      <x:c r="A13" s="66" t="n">
        <x:v>8</x:v>
      </x:c>
      <x:c r="B13" s="67" t="n">
        <x:v>2.7696193988684192</x:v>
      </x:c>
      <x:c r="C13" s="67" t="n">
        <x:v>0.31130557489530314</x:v>
      </x:c>
      <x:c r="D13" s="67" t="n">
        <x:v>9.427531435176967</x:v>
      </x:c>
      <x:c r="E13" s="67"/>
      <x:c r="F13" s="54"/>
      <x:c r="G13" s="67" t="str">
        <x:v>D2 size 15</x:v>
      </x:c>
      <x:c r="H13" s="67" t="n">
        <x:v>62.81178016592973</x:v>
      </x:c>
      <x:c r="I13" s="67" t="n">
        <x:v>31.474174084182785</x:v>
      </x:c>
      <x:c r="J13" s="67" t="n">
        <x:v>62.81178016592973</x:v>
      </x:c>
      <x:c r="K13" s="67"/>
      <x:c r="L13" s="54"/>
      <x:c r="M13" s="54"/>
      <x:c r="N13" s="54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  <x:c r="Z13" s="54"/>
      <x:c r="AA13" s="54"/>
      <x:c r="AB13" s="54"/>
      <x:c r="AC13" s="54"/>
      <x:c r="AD13" s="54"/>
      <x:c r="AE13" s="54"/>
      <x:c r="AF13" s="54"/>
      <x:c r="AG13" s="54"/>
      <x:c r="AH13" s="54"/>
      <x:c r="AI13" s="54"/>
      <x:c r="AJ13" s="54"/>
      <x:c r="AK13" s="54"/>
      <x:c r="AL13" s="54"/>
      <x:c r="AM13" s="54"/>
      <x:c r="AN13" s="54"/>
      <x:c r="AO13" s="54"/>
      <x:c r="AP13" s="54"/>
      <x:c r="AQ13" s="54"/>
      <x:c r="AR13" s="54"/>
      <x:c r="AS13" s="54"/>
      <x:c r="AT13" s="54"/>
      <x:c r="AU13" s="54"/>
      <x:c r="AV13" s="54"/>
      <x:c r="AW13" s="54"/>
    </x:row>
    <x:row r="14">
      <x:c r="A14" s="66" t="n">
        <x:v>9</x:v>
      </x:c>
      <x:c r="B14" s="67" t="n">
        <x:v>4.997460698871354</x:v>
      </x:c>
      <x:c r="C14" s="67" t="n">
        <x:v>0.7706020544237423</x:v>
      </x:c>
      <x:c r="D14" s="67" t="n">
        <x:v>11.566360897018845</x:v>
      </x:c>
      <x:c r="E14" s="67"/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  <x:c r="Z14" s="54"/>
      <x:c r="AA14" s="54"/>
      <x:c r="AB14" s="54"/>
      <x:c r="AC14" s="54"/>
      <x:c r="AD14" s="54"/>
      <x:c r="AE14" s="54"/>
      <x:c r="AF14" s="54"/>
      <x:c r="AG14" s="54"/>
      <x:c r="AH14" s="54"/>
      <x:c r="AI14" s="54"/>
      <x:c r="AJ14" s="54"/>
      <x:c r="AK14" s="54"/>
      <x:c r="AL14" s="54"/>
      <x:c r="AM14" s="54"/>
      <x:c r="AN14" s="54"/>
      <x:c r="AO14" s="54"/>
      <x:c r="AP14" s="54"/>
      <x:c r="AQ14" s="54"/>
      <x:c r="AR14" s="54"/>
      <x:c r="AS14" s="54"/>
      <x:c r="AT14" s="54"/>
      <x:c r="AU14" s="54"/>
      <x:c r="AV14" s="54"/>
      <x:c r="AW14" s="54"/>
    </x:row>
    <x:row r="15">
      <x:c r="A15" s="66" t="n">
        <x:v>10</x:v>
      </x:c>
      <x:c r="B15" s="67" t="n">
        <x:v>7.645204615630132</x:v>
      </x:c>
      <x:c r="C15" s="67" t="n">
        <x:v>1.5066052532486618</x:v>
      </x:c>
      <x:c r="D15" s="67" t="n">
        <x:v>13.860573000491767</x:v>
      </x:c>
      <x:c r="E15" s="67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  <x:c r="Z15" s="54"/>
      <x:c r="AA15" s="54"/>
      <x:c r="AB15" s="54"/>
      <x:c r="AC15" s="54"/>
      <x:c r="AD15" s="54"/>
      <x:c r="AE15" s="54"/>
      <x:c r="AF15" s="54"/>
      <x:c r="AG15" s="54"/>
      <x:c r="AH15" s="54"/>
      <x:c r="AI15" s="54"/>
      <x:c r="AJ15" s="54"/>
      <x:c r="AK15" s="54"/>
      <x:c r="AL15" s="54"/>
      <x:c r="AM15" s="54"/>
      <x:c r="AN15" s="54"/>
      <x:c r="AO15" s="54"/>
      <x:c r="AP15" s="54"/>
      <x:c r="AQ15" s="54"/>
      <x:c r="AR15" s="54"/>
      <x:c r="AS15" s="54"/>
      <x:c r="AT15" s="54"/>
      <x:c r="AU15" s="54"/>
      <x:c r="AV15" s="54"/>
      <x:c r="AW15" s="54"/>
    </x:row>
    <x:row r="16">
      <x:c r="A16" s="66" t="n">
        <x:v>11</x:v>
      </x:c>
      <x:c r="B16" s="67" t="n">
        <x:v>10.736018728867728</x:v>
      </x:c>
      <x:c r="C16" s="67" t="n">
        <x:v>2.5240108882774694</x:v>
      </x:c>
      <x:c r="D16" s="67" t="n">
        <x:v>16.345479650279767</x:v>
      </x:c>
      <x:c r="E16" s="67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  <x:c r="Z16" s="54"/>
      <x:c r="AA16" s="54"/>
      <x:c r="AB16" s="54"/>
      <x:c r="AC16" s="54"/>
      <x:c r="AD16" s="54"/>
      <x:c r="AE16" s="54"/>
      <x:c r="AF16" s="54"/>
      <x:c r="AG16" s="54"/>
      <x:c r="AH16" s="54"/>
      <x:c r="AI16" s="54"/>
      <x:c r="AJ16" s="54"/>
      <x:c r="AK16" s="54"/>
      <x:c r="AL16" s="54"/>
      <x:c r="AM16" s="54"/>
      <x:c r="AN16" s="54"/>
      <x:c r="AO16" s="54"/>
      <x:c r="AP16" s="54"/>
      <x:c r="AQ16" s="54"/>
      <x:c r="AR16" s="54"/>
      <x:c r="AS16" s="54"/>
      <x:c r="AT16" s="54"/>
      <x:c r="AU16" s="54"/>
      <x:c r="AV16" s="54"/>
      <x:c r="AW16" s="54"/>
    </x:row>
    <x:row r="17">
      <x:c r="A17" s="66" t="n">
        <x:v>12</x:v>
      </x:c>
      <x:c r="B17" s="67" t="n">
        <x:v>14.340146080753653</x:v>
      </x:c>
      <x:c r="C17" s="67" t="n">
        <x:v>3.835801514563327</x:v>
      </x:c>
      <x:c r="D17" s="67" t="n">
        <x:v>19.074149138584716</x:v>
      </x:c>
      <x:c r="E17" s="67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  <x:c r="AA17" s="54"/>
      <x:c r="AB17" s="54"/>
      <x:c r="AC17" s="54"/>
      <x:c r="AD17" s="54"/>
      <x:c r="AE17" s="54"/>
      <x:c r="AF17" s="54"/>
      <x:c r="AG17" s="54"/>
      <x:c r="AH17" s="54"/>
      <x:c r="AI17" s="54"/>
      <x:c r="AJ17" s="54"/>
      <x:c r="AK17" s="54"/>
      <x:c r="AL17" s="54"/>
      <x:c r="AM17" s="54"/>
      <x:c r="AN17" s="54"/>
      <x:c r="AO17" s="54"/>
      <x:c r="AP17" s="54"/>
      <x:c r="AQ17" s="54"/>
      <x:c r="AR17" s="54"/>
      <x:c r="AS17" s="54"/>
      <x:c r="AT17" s="54"/>
      <x:c r="AU17" s="54"/>
      <x:c r="AV17" s="54"/>
      <x:c r="AW17" s="54"/>
    </x:row>
    <x:row r="18">
      <x:c r="A18" s="66" t="n">
        <x:v>13</x:v>
      </x:c>
      <x:c r="B18" s="67" t="n">
        <x:v>18.579071871786862</x:v>
      </x:c>
      <x:c r="C18" s="67" t="n">
        <x:v>5.500932562430093</x:v>
      </x:c>
      <x:c r="D18" s="67" t="n">
        <x:v>22.134419933276277</x:v>
      </x:c>
      <x:c r="E18" s="67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  <x:c r="AA18" s="54"/>
      <x:c r="AB18" s="54"/>
      <x:c r="AC18" s="54"/>
      <x:c r="AD18" s="54"/>
      <x:c r="AE18" s="54"/>
      <x:c r="AF18" s="54"/>
      <x:c r="AG18" s="54"/>
      <x:c r="AH18" s="54"/>
      <x:c r="AI18" s="54"/>
      <x:c r="AJ18" s="54"/>
      <x:c r="AK18" s="54"/>
      <x:c r="AL18" s="54"/>
      <x:c r="AM18" s="54"/>
      <x:c r="AN18" s="54"/>
      <x:c r="AO18" s="54"/>
      <x:c r="AP18" s="54"/>
      <x:c r="AQ18" s="54"/>
      <x:c r="AR18" s="54"/>
      <x:c r="AS18" s="54"/>
      <x:c r="AT18" s="54"/>
      <x:c r="AU18" s="54"/>
      <x:c r="AV18" s="54"/>
      <x:c r="AW18" s="54"/>
    </x:row>
    <x:row r="19">
      <x:c r="A19" s="66" t="n">
        <x:v>14</x:v>
      </x:c>
      <x:c r="B19" s="67" t="n">
        <x:v>23.68198244199229</x:v>
      </x:c>
      <x:c r="C19" s="67" t="n">
        <x:v>7.675290890631728</x:v>
      </x:c>
      <x:c r="D19" s="67" t="n">
        <x:v>25.696885462534553</x:v>
      </x:c>
      <x:c r="E19" s="67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  <x:c r="AA19" s="54"/>
      <x:c r="AB19" s="54"/>
      <x:c r="AC19" s="54"/>
      <x:c r="AD19" s="54"/>
      <x:c r="AE19" s="54"/>
      <x:c r="AF19" s="54"/>
      <x:c r="AG19" s="54"/>
      <x:c r="AH19" s="54"/>
      <x:c r="AI19" s="54"/>
      <x:c r="AJ19" s="54"/>
      <x:c r="AK19" s="54"/>
      <x:c r="AL19" s="54"/>
      <x:c r="AM19" s="54"/>
      <x:c r="AN19" s="54"/>
      <x:c r="AO19" s="54"/>
      <x:c r="AP19" s="54"/>
      <x:c r="AQ19" s="54"/>
      <x:c r="AR19" s="54"/>
      <x:c r="AS19" s="54"/>
      <x:c r="AT19" s="54"/>
      <x:c r="AU19" s="54"/>
      <x:c r="AV19" s="54"/>
      <x:c r="AW19" s="54"/>
    </x:row>
    <x:row r="20">
      <x:c r="A20" s="66" t="n">
        <x:v>15</x:v>
      </x:c>
      <x:c r="B20" s="67" t="n">
        <x:v>30.218674039583593</x:v>
      </x:c>
      <x:c r="C20" s="67" t="n">
        <x:v>10.810563076569682</x:v>
      </x:c>
      <x:c r="D20" s="67" t="n">
        <x:v>30.218674039583593</x:v>
      </x:c>
      <x:c r="E20" s="67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  <x:c r="AA20" s="54"/>
      <x:c r="AB20" s="54"/>
      <x:c r="AC20" s="54"/>
      <x:c r="AD20" s="54"/>
      <x:c r="AE20" s="54"/>
      <x:c r="AF20" s="54"/>
      <x:c r="AG20" s="54"/>
      <x:c r="AH20" s="54"/>
      <x:c r="AI20" s="54"/>
      <x:c r="AJ20" s="54"/>
      <x:c r="AK20" s="54"/>
      <x:c r="AL20" s="54"/>
      <x:c r="AM20" s="54"/>
      <x:c r="AN20" s="54"/>
      <x:c r="AO20" s="54"/>
      <x:c r="AP20" s="54"/>
      <x:c r="AQ20" s="54"/>
      <x:c r="AR20" s="54"/>
      <x:c r="AS20" s="54"/>
      <x:c r="AT20" s="54"/>
      <x:c r="AU20" s="54"/>
      <x:c r="AV20" s="54"/>
      <x:c r="AW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  <x:c r="AA21" s="54"/>
      <x:c r="AB21" s="54"/>
      <x:c r="AC21" s="54"/>
      <x:c r="AD21" s="54"/>
      <x:c r="AE21" s="54"/>
      <x:c r="AF21" s="54"/>
      <x:c r="AG21" s="54"/>
      <x:c r="AH21" s="54"/>
      <x:c r="AI21" s="54"/>
      <x:c r="AJ21" s="54"/>
      <x:c r="AK21" s="54"/>
      <x:c r="AL21" s="54"/>
      <x:c r="AM21" s="54"/>
      <x:c r="AN21" s="54"/>
      <x:c r="AO21" s="54"/>
      <x:c r="AP21" s="54"/>
      <x:c r="AQ21" s="54"/>
      <x:c r="AR21" s="54"/>
      <x:c r="AS21" s="54"/>
      <x:c r="AT21" s="54"/>
      <x:c r="AU21" s="54"/>
      <x:c r="AV21" s="54"/>
      <x:c r="AW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  <x:c r="AA22" s="54"/>
      <x:c r="AB22" s="54"/>
      <x:c r="AC22" s="54"/>
      <x:c r="AD22" s="54"/>
      <x:c r="AE22" s="54"/>
      <x:c r="AF22" s="54"/>
      <x:c r="AG22" s="54"/>
      <x:c r="AH22" s="54"/>
      <x:c r="AI22" s="54"/>
      <x:c r="AJ22" s="54"/>
      <x:c r="AK22" s="54"/>
      <x:c r="AL22" s="54"/>
      <x:c r="AM22" s="54"/>
      <x:c r="AN22" s="54"/>
      <x:c r="AO22" s="54"/>
      <x:c r="AP22" s="54"/>
      <x:c r="AQ22" s="54"/>
      <x:c r="AR22" s="54"/>
      <x:c r="AS22" s="54"/>
      <x:c r="AT22" s="54"/>
      <x:c r="AU22" s="54"/>
      <x:c r="AV22" s="54"/>
      <x:c r="AW22" s="54"/>
    </x:row>
    <x:row r="23">
      <x:c r="A23" s="55" t="str">
        <x:v>Deck 1 — Pure marginal-build difficulty (-LN P)</x:v>
      </x:c>
      <x:c r="B23" s="55" t="str"/>
      <x:c r="C23" s="55" t="str"/>
      <x:c r="D23" s="55" t="str"/>
      <x:c r="E23" s="55" t="str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  <x:c r="AA23" s="54"/>
      <x:c r="AB23" s="54"/>
      <x:c r="AC23" s="54"/>
      <x:c r="AD23" s="54"/>
      <x:c r="AE23" s="54"/>
      <x:c r="AF23" s="54"/>
      <x:c r="AG23" s="54"/>
      <x:c r="AH23" s="54"/>
      <x:c r="AI23" s="54"/>
      <x:c r="AJ23" s="54"/>
      <x:c r="AK23" s="54"/>
      <x:c r="AL23" s="54"/>
      <x:c r="AM23" s="54"/>
      <x:c r="AN23" s="54"/>
      <x:c r="AO23" s="54"/>
      <x:c r="AP23" s="54"/>
      <x:c r="AQ23" s="54"/>
      <x:c r="AR23" s="54"/>
      <x:c r="AS23" s="54"/>
      <x:c r="AT23" s="54"/>
      <x:c r="AU23" s="54"/>
      <x:c r="AV23" s="54"/>
      <x:c r="AW23" s="54"/>
    </x:row>
    <x:row r="24">
      <x:c r="A24" s="65" t="str">
        <x:v>Size</x:v>
      </x:c>
      <x:c r="B24" s="65" t="str">
        <x:v>Conjuration</x:v>
      </x:c>
      <x:c r="C24" s="65" t="str">
        <x:v>Transfiguration</x:v>
      </x:c>
      <x:c r="D24" s="65" t="str">
        <x:v>Perfect Transmutation</x:v>
      </x:c>
      <x:c r="E24" s="65" t="str">
        <x:v>Enchantment</x:v>
      </x:c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  <x:c r="AA24" s="54"/>
      <x:c r="AB24" s="54"/>
      <x:c r="AC24" s="54"/>
      <x:c r="AD24" s="54"/>
      <x:c r="AE24" s="54"/>
      <x:c r="AF24" s="54"/>
      <x:c r="AG24" s="54"/>
      <x:c r="AH24" s="54"/>
      <x:c r="AI24" s="54"/>
      <x:c r="AJ24" s="54"/>
      <x:c r="AK24" s="54"/>
      <x:c r="AL24" s="54"/>
      <x:c r="AM24" s="54"/>
      <x:c r="AN24" s="54"/>
      <x:c r="AO24" s="54"/>
      <x:c r="AP24" s="54"/>
      <x:c r="AQ24" s="54"/>
      <x:c r="AR24" s="54"/>
      <x:c r="AS24" s="54"/>
      <x:c r="AT24" s="54"/>
      <x:c r="AU24" s="54"/>
      <x:c r="AV24" s="54"/>
      <x:c r="AW24" s="54"/>
    </x:row>
    <x:row r="25">
      <x:c r="A25" s="66" t="n">
        <x:v>3</x:v>
      </x:c>
      <x:c r="B25" s="67" t="n">
        <x:v>3.092992528811549e-11</x:v>
      </x:c>
      <x:c r="C25" s="67" t="n">
        <x:v>0.000015689345858865983</x:v>
      </x:c>
      <x:c r="D25" s="67" t="n">
        <x:v>0.6948888562591972</x:v>
      </x:c>
      <x:c r="E25" s="67" t="n">
        <x:v>0.5984335392365301</x:v>
      </x:c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  <x:c r="AA25" s="54"/>
      <x:c r="AB25" s="54"/>
      <x:c r="AC25" s="54"/>
      <x:c r="AD25" s="54"/>
      <x:c r="AE25" s="54"/>
      <x:c r="AF25" s="54"/>
      <x:c r="AG25" s="54"/>
      <x:c r="AH25" s="54"/>
      <x:c r="AI25" s="54"/>
      <x:c r="AJ25" s="54"/>
      <x:c r="AK25" s="54"/>
      <x:c r="AL25" s="54"/>
      <x:c r="AM25" s="54"/>
      <x:c r="AN25" s="54"/>
      <x:c r="AO25" s="54"/>
      <x:c r="AP25" s="54"/>
      <x:c r="AQ25" s="54"/>
      <x:c r="AR25" s="54"/>
      <x:c r="AS25" s="54"/>
      <x:c r="AT25" s="54"/>
      <x:c r="AU25" s="54"/>
      <x:c r="AV25" s="54"/>
      <x:c r="AW25" s="54"/>
    </x:row>
    <x:row r="26">
      <x:c r="A26" s="66" t="n">
        <x:v>4</x:v>
      </x:c>
      <x:c r="B26" s="67" t="n">
        <x:v>1.5581446180774798</x:v>
      </x:c>
      <x:c r="C26" s="67" t="n">
        <x:v>2.0436681231741094</x:v>
      </x:c>
      <x:c r="D26" s="67" t="n">
        <x:v>4.124835651207339</x:v>
      </x:c>
      <x:c r="E26" s="67" t="n">
        <x:v>4.64148480707108</x:v>
      </x:c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  <x:c r="AA26" s="54"/>
      <x:c r="AB26" s="54"/>
      <x:c r="AC26" s="54"/>
      <x:c r="AD26" s="54"/>
      <x:c r="AE26" s="54"/>
      <x:c r="AF26" s="54"/>
      <x:c r="AG26" s="54"/>
      <x:c r="AH26" s="54"/>
      <x:c r="AI26" s="54"/>
      <x:c r="AJ26" s="54"/>
      <x:c r="AK26" s="54"/>
      <x:c r="AL26" s="54"/>
      <x:c r="AM26" s="54"/>
      <x:c r="AN26" s="54"/>
      <x:c r="AO26" s="54"/>
      <x:c r="AP26" s="54"/>
      <x:c r="AQ26" s="54"/>
      <x:c r="AR26" s="54"/>
      <x:c r="AS26" s="54"/>
      <x:c r="AT26" s="54"/>
      <x:c r="AU26" s="54"/>
      <x:c r="AV26" s="54"/>
      <x:c r="AW26" s="54"/>
    </x:row>
    <x:row r="27">
      <x:c r="A27" s="66" t="n">
        <x:v>5</x:v>
      </x:c>
      <x:c r="B27" s="67" t="n">
        <x:v>3.1856010360142584</x:v>
      </x:c>
      <x:c r="C27" s="67" t="n">
        <x:v>4.076589649219052</x:v>
      </x:c>
      <x:c r="D27" s="67" t="n">
        <x:v>7.544051538372172</x:v>
      </x:c>
      <x:c r="E27" s="67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  <x:c r="AA27" s="54"/>
      <x:c r="AB27" s="54"/>
      <x:c r="AC27" s="54"/>
      <x:c r="AD27" s="54"/>
      <x:c r="AE27" s="54"/>
      <x:c r="AF27" s="54"/>
      <x:c r="AG27" s="54"/>
      <x:c r="AH27" s="54"/>
      <x:c r="AI27" s="54"/>
      <x:c r="AJ27" s="54"/>
      <x:c r="AK27" s="54"/>
      <x:c r="AL27" s="54"/>
      <x:c r="AM27" s="54"/>
      <x:c r="AN27" s="54"/>
      <x:c r="AO27" s="54"/>
      <x:c r="AP27" s="54"/>
      <x:c r="AQ27" s="54"/>
      <x:c r="AR27" s="54"/>
      <x:c r="AS27" s="54"/>
      <x:c r="AT27" s="54"/>
      <x:c r="AU27" s="54"/>
      <x:c r="AV27" s="54"/>
      <x:c r="AW27" s="54"/>
    </x:row>
    <x:row r="28">
      <x:c r="A28" s="66" t="n">
        <x:v>6</x:v>
      </x:c>
      <x:c r="B28" s="67" t="n">
        <x:v>4.890349128252684</x:v>
      </x:c>
      <x:c r="C28" s="67" t="n">
        <x:v>6.099791472576012</x:v>
      </x:c>
      <x:c r="D28" s="67" t="n">
        <x:v>10.953547722849022</x:v>
      </x:c>
      <x:c r="E28" s="67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  <x:c r="AA28" s="54"/>
      <x:c r="AB28" s="54"/>
      <x:c r="AC28" s="54"/>
      <x:c r="AD28" s="54"/>
      <x:c r="AE28" s="54"/>
      <x:c r="AF28" s="54"/>
      <x:c r="AG28" s="54"/>
      <x:c r="AH28" s="54"/>
      <x:c r="AI28" s="54"/>
      <x:c r="AJ28" s="54"/>
      <x:c r="AK28" s="54"/>
      <x:c r="AL28" s="54"/>
      <x:c r="AM28" s="54"/>
      <x:c r="AN28" s="54"/>
      <x:c r="AO28" s="54"/>
      <x:c r="AP28" s="54"/>
      <x:c r="AQ28" s="54"/>
      <x:c r="AR28" s="54"/>
      <x:c r="AS28" s="54"/>
      <x:c r="AT28" s="54"/>
      <x:c r="AU28" s="54"/>
      <x:c r="AV28" s="54"/>
      <x:c r="AW28" s="54"/>
    </x:row>
    <x:row r="29">
      <x:c r="A29" s="66" t="n">
        <x:v>7</x:v>
      </x:c>
      <x:c r="B29" s="67" t="n">
        <x:v>6.682108597480739</x:v>
      </x:c>
      <x:c r="C29" s="67" t="n">
        <x:v>8.114694493118277</x:v>
      </x:c>
      <x:c r="D29" s="67" t="n">
        <x:v>14.354745104511178</x:v>
      </x:c>
      <x:c r="E29" s="67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  <x:c r="AA29" s="54"/>
      <x:c r="AB29" s="54"/>
      <x:c r="AC29" s="54"/>
      <x:c r="AD29" s="54"/>
      <x:c r="AE29" s="54"/>
      <x:c r="AF29" s="54"/>
      <x:c r="AG29" s="54"/>
      <x:c r="AH29" s="54"/>
      <x:c r="AI29" s="54"/>
      <x:c r="AJ29" s="54"/>
      <x:c r="AK29" s="54"/>
      <x:c r="AL29" s="54"/>
      <x:c r="AM29" s="54"/>
      <x:c r="AN29" s="54"/>
      <x:c r="AO29" s="54"/>
      <x:c r="AP29" s="54"/>
      <x:c r="AQ29" s="54"/>
      <x:c r="AR29" s="54"/>
      <x:c r="AS29" s="54"/>
      <x:c r="AT29" s="54"/>
      <x:c r="AU29" s="54"/>
      <x:c r="AV29" s="54"/>
      <x:c r="AW29" s="54"/>
    </x:row>
    <x:row r="30">
      <x:c r="A30" s="66" t="n">
        <x:v>8</x:v>
      </x:c>
      <x:c r="B30" s="67" t="n">
        <x:v>8.572958969353024</x:v>
      </x:c>
      <x:c r="C30" s="67" t="n">
        <x:v>10.123327900646947</x:v>
      </x:c>
      <x:c r="D30" s="67" t="n">
        <x:v>17.74967287315974</x:v>
      </x:c>
      <x:c r="E30" s="67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  <x:c r="AA30" s="54"/>
      <x:c r="AB30" s="54"/>
      <x:c r="AC30" s="54"/>
      <x:c r="AD30" s="54"/>
      <x:c r="AE30" s="54"/>
      <x:c r="AF30" s="54"/>
      <x:c r="AG30" s="54"/>
      <x:c r="AH30" s="54"/>
      <x:c r="AI30" s="54"/>
      <x:c r="AJ30" s="54"/>
      <x:c r="AK30" s="54"/>
      <x:c r="AL30" s="54"/>
      <x:c r="AM30" s="54"/>
      <x:c r="AN30" s="54"/>
      <x:c r="AO30" s="54"/>
      <x:c r="AP30" s="54"/>
      <x:c r="AQ30" s="54"/>
      <x:c r="AR30" s="54"/>
      <x:c r="AS30" s="54"/>
      <x:c r="AT30" s="54"/>
      <x:c r="AU30" s="54"/>
      <x:c r="AV30" s="54"/>
      <x:c r="AW30" s="54"/>
    </x:row>
    <x:row r="31">
      <x:c r="A31" s="66" t="n">
        <x:v>9</x:v>
      </x:c>
      <x:c r="B31" s="67" t="n">
        <x:v>10.578292538879138</x:v>
      </x:c>
      <x:c r="C31" s="67" t="n">
        <x:v>12.12866147017306</x:v>
      </x:c>
      <x:c r="D31" s="67" t="n">
        <x:v>21.14130080380574</x:v>
      </x:c>
      <x:c r="E31" s="67"/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  <x:c r="AA31" s="54"/>
      <x:c r="AB31" s="54"/>
      <x:c r="AC31" s="54"/>
      <x:c r="AD31" s="54"/>
      <x:c r="AE31" s="54"/>
      <x:c r="AF31" s="54"/>
      <x:c r="AG31" s="54"/>
      <x:c r="AH31" s="54"/>
      <x:c r="AI31" s="54"/>
      <x:c r="AJ31" s="54"/>
      <x:c r="AK31" s="54"/>
      <x:c r="AL31" s="54"/>
      <x:c r="AM31" s="54"/>
      <x:c r="AN31" s="54"/>
      <x:c r="AO31" s="54"/>
      <x:c r="AP31" s="54"/>
      <x:c r="AQ31" s="54"/>
      <x:c r="AR31" s="54"/>
      <x:c r="AS31" s="54"/>
      <x:c r="AT31" s="54"/>
      <x:c r="AU31" s="54"/>
      <x:c r="AV31" s="54"/>
      <x:c r="AW31" s="54"/>
    </x:row>
    <x:row r="32">
      <x:c r="A32" s="66" t="n">
        <x:v>10</x:v>
      </x:c>
      <x:c r="B32" s="67" t="n">
        <x:v>12.71835870237541</x:v>
      </x:c>
      <x:c r="C32" s="67" t="n">
        <x:v>14.13519624104481</x:v>
      </x:c>
      <x:c r="D32" s="67" t="n">
        <x:v>24.53412993579738</x:v>
      </x:c>
      <x:c r="E32" s="67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  <x:c r="AA32" s="54"/>
      <x:c r="AB32" s="54"/>
      <x:c r="AC32" s="54"/>
      <x:c r="AD32" s="54"/>
      <x:c r="AE32" s="54"/>
      <x:c r="AF32" s="54"/>
      <x:c r="AG32" s="54"/>
      <x:c r="AH32" s="54"/>
      <x:c r="AI32" s="54"/>
      <x:c r="AJ32" s="54"/>
      <x:c r="AK32" s="54"/>
      <x:c r="AL32" s="54"/>
      <x:c r="AM32" s="54"/>
      <x:c r="AN32" s="54"/>
      <x:c r="AO32" s="54"/>
      <x:c r="AP32" s="54"/>
      <x:c r="AQ32" s="54"/>
      <x:c r="AR32" s="54"/>
      <x:c r="AS32" s="54"/>
      <x:c r="AT32" s="54"/>
      <x:c r="AU32" s="54"/>
      <x:c r="AV32" s="54"/>
      <x:c r="AW32" s="54"/>
    </x:row>
    <x:row r="33">
      <x:c r="A33" s="66" t="n">
        <x:v>11</x:v>
      </x:c>
      <x:c r="B33" s="67" t="n">
        <x:v>15.020943795369455</x:v>
      </x:c>
      <x:c r="C33" s="67" t="n">
        <x:v>16.150099261587073</x:v>
      </x:c>
      <x:c r="D33" s="67" t="n">
        <x:v>27.93532731745954</x:v>
      </x:c>
      <x:c r="E33" s="67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  <x:c r="AA33" s="54"/>
      <x:c r="AB33" s="54"/>
      <x:c r="AC33" s="54"/>
      <x:c r="AD33" s="54"/>
      <x:c r="AE33" s="54"/>
      <x:c r="AF33" s="54"/>
      <x:c r="AG33" s="54"/>
      <x:c r="AH33" s="54"/>
      <x:c r="AI33" s="54"/>
      <x:c r="AJ33" s="54"/>
      <x:c r="AK33" s="54"/>
      <x:c r="AL33" s="54"/>
      <x:c r="AM33" s="54"/>
      <x:c r="AN33" s="54"/>
      <x:c r="AO33" s="54"/>
      <x:c r="AP33" s="54"/>
      <x:c r="AQ33" s="54"/>
      <x:c r="AR33" s="54"/>
      <x:c r="AS33" s="54"/>
      <x:c r="AT33" s="54"/>
      <x:c r="AU33" s="54"/>
      <x:c r="AV33" s="54"/>
      <x:c r="AW33" s="54"/>
    </x:row>
    <x:row r="34">
      <x:c r="A34" s="66" t="n">
        <x:v>12</x:v>
      </x:c>
      <x:c r="B34" s="67" t="n">
        <x:v>17.52646973236019</x:v>
      </x:c>
      <x:c r="C34" s="67" t="n">
        <x:v>18.185621569332074</x:v>
      </x:c>
      <x:c r="D34" s="67" t="n">
        <x:v>31.357143986324427</x:v>
      </x:c>
      <x:c r="E34" s="67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  <x:c r="AA34" s="54"/>
      <x:c r="AB34" s="54"/>
      <x:c r="AC34" s="54"/>
      <x:c r="AD34" s="54"/>
      <x:c r="AE34" s="54"/>
      <x:c r="AF34" s="54"/>
      <x:c r="AG34" s="54"/>
      <x:c r="AH34" s="54"/>
      <x:c r="AI34" s="54"/>
      <x:c r="AJ34" s="54"/>
      <x:c r="AK34" s="54"/>
      <x:c r="AL34" s="54"/>
      <x:c r="AM34" s="54"/>
      <x:c r="AN34" s="54"/>
      <x:c r="AO34" s="54"/>
      <x:c r="AP34" s="54"/>
      <x:c r="AQ34" s="54"/>
      <x:c r="AR34" s="54"/>
      <x:c r="AS34" s="54"/>
      <x:c r="AT34" s="54"/>
      <x:c r="AU34" s="54"/>
      <x:c r="AV34" s="54"/>
      <x:c r="AW34" s="54"/>
    </x:row>
    <x:row r="35">
      <x:c r="A35" s="66" t="n">
        <x:v>13</x:v>
      </x:c>
      <x:c r="B35" s="67" t="n">
        <x:v>20.299058454599972</x:v>
      </x:c>
      <x:c r="C35" s="67" t="n">
        <x:v>20.26506311101191</x:v>
      </x:c>
      <x:c r="D35" s="67" t="n">
        <x:v>34.82287988912415</x:v>
      </x:c>
      <x:c r="E35" s="67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  <x:c r="AA35" s="54"/>
      <x:c r="AB35" s="54"/>
      <x:c r="AC35" s="54"/>
      <x:c r="AD35" s="54"/>
      <x:c r="AE35" s="54"/>
      <x:c r="AF35" s="54"/>
      <x:c r="AG35" s="54"/>
      <x:c r="AH35" s="54"/>
      <x:c r="AI35" s="54"/>
      <x:c r="AJ35" s="54"/>
      <x:c r="AK35" s="54"/>
      <x:c r="AL35" s="54"/>
      <x:c r="AM35" s="54"/>
      <x:c r="AN35" s="54"/>
      <x:c r="AO35" s="54"/>
      <x:c r="AP35" s="54"/>
      <x:c r="AQ35" s="54"/>
      <x:c r="AR35" s="54"/>
      <x:c r="AS35" s="54"/>
      <x:c r="AT35" s="54"/>
      <x:c r="AU35" s="54"/>
      <x:c r="AV35" s="54"/>
      <x:c r="AW35" s="54"/>
    </x:row>
    <x:row r="36">
      <x:c r="A36" s="66" t="n">
        <x:v>14</x:v>
      </x:c>
      <x:c r="B36" s="67" t="n">
        <x:v>23.456058875750085</x:v>
      </x:c>
      <x:c r="C36" s="67" t="n">
        <x:v>22.441234279150297</x:v>
      </x:c>
      <x:c r="D36" s="67" t="n">
        <x:v>38.385345418382435</x:v>
      </x:c>
      <x:c r="E36" s="67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  <x:c r="AA36" s="54"/>
      <x:c r="AB36" s="54"/>
      <x:c r="AC36" s="54"/>
      <x:c r="AD36" s="54"/>
      <x:c r="AE36" s="54"/>
      <x:c r="AF36" s="54"/>
      <x:c r="AG36" s="54"/>
      <x:c r="AH36" s="54"/>
      <x:c r="AI36" s="54"/>
      <x:c r="AJ36" s="54"/>
      <x:c r="AK36" s="54"/>
      <x:c r="AL36" s="54"/>
      <x:c r="AM36" s="54"/>
      <x:c r="AN36" s="54"/>
      <x:c r="AO36" s="54"/>
      <x:c r="AP36" s="54"/>
      <x:c r="AQ36" s="54"/>
      <x:c r="AR36" s="54"/>
      <x:c r="AS36" s="54"/>
      <x:c r="AT36" s="54"/>
      <x:c r="AU36" s="54"/>
      <x:c r="AV36" s="54"/>
      <x:c r="AW36" s="54"/>
    </x:row>
    <x:row r="37">
      <x:c r="A37" s="66" t="n">
        <x:v>15</x:v>
      </x:c>
      <x:c r="B37" s="67" t="n">
        <x:v>27.28470027223918</x:v>
      </x:c>
      <x:c r="C37" s="67" t="n">
        <x:v>24.8835813145195</x:v>
      </x:c>
      <x:c r="D37" s="67" t="n">
        <x:v>42.213986814871525</x:v>
      </x:c>
      <x:c r="E37" s="67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  <x:c r="AA37" s="54"/>
      <x:c r="AB37" s="54"/>
      <x:c r="AC37" s="54"/>
      <x:c r="AD37" s="54"/>
      <x:c r="AE37" s="54"/>
      <x:c r="AF37" s="54"/>
      <x:c r="AG37" s="54"/>
      <x:c r="AH37" s="54"/>
      <x:c r="AI37" s="54"/>
      <x:c r="AJ37" s="54"/>
      <x:c r="AK37" s="54"/>
      <x:c r="AL37" s="54"/>
      <x:c r="AM37" s="54"/>
      <x:c r="AN37" s="54"/>
      <x:c r="AO37" s="54"/>
      <x:c r="AP37" s="54"/>
      <x:c r="AQ37" s="54"/>
      <x:c r="AR37" s="54"/>
      <x:c r="AS37" s="54"/>
      <x:c r="AT37" s="54"/>
      <x:c r="AU37" s="54"/>
      <x:c r="AV37" s="54"/>
      <x:c r="AW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  <x:c r="AA38" s="54"/>
      <x:c r="AB38" s="54"/>
      <x:c r="AC38" s="54"/>
      <x:c r="AD38" s="54"/>
      <x:c r="AE38" s="54"/>
      <x:c r="AF38" s="54"/>
      <x:c r="AG38" s="54"/>
      <x:c r="AH38" s="54"/>
      <x:c r="AI38" s="54"/>
      <x:c r="AJ38" s="54"/>
      <x:c r="AK38" s="54"/>
      <x:c r="AL38" s="54"/>
      <x:c r="AM38" s="54"/>
      <x:c r="AN38" s="54"/>
      <x:c r="AO38" s="54"/>
      <x:c r="AP38" s="54"/>
      <x:c r="AQ38" s="54"/>
      <x:c r="AR38" s="54"/>
      <x:c r="AS38" s="54"/>
      <x:c r="AT38" s="54"/>
      <x:c r="AU38" s="54"/>
      <x:c r="AV38" s="54"/>
      <x:c r="AW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  <x:c r="AA39" s="54"/>
      <x:c r="AB39" s="54"/>
      <x:c r="AC39" s="54"/>
      <x:c r="AD39" s="54"/>
      <x:c r="AE39" s="54"/>
      <x:c r="AF39" s="54"/>
      <x:c r="AG39" s="54"/>
      <x:c r="AH39" s="54"/>
      <x:c r="AI39" s="54"/>
      <x:c r="AJ39" s="54"/>
      <x:c r="AK39" s="54"/>
      <x:c r="AL39" s="54"/>
      <x:c r="AM39" s="54"/>
      <x:c r="AN39" s="54"/>
      <x:c r="AO39" s="54"/>
      <x:c r="AP39" s="54"/>
      <x:c r="AQ39" s="54"/>
      <x:c r="AR39" s="54"/>
      <x:c r="AS39" s="54"/>
      <x:c r="AT39" s="54"/>
      <x:c r="AU39" s="54"/>
      <x:c r="AV39" s="54"/>
      <x:c r="AW39" s="54"/>
    </x:row>
    <x:row r="40">
      <x:c r="A40" s="55" t="str">
        <x:v>Deck 1 — Combined baseline difficulty before utility</x:v>
      </x:c>
      <x:c r="B40" s="55" t="str"/>
      <x:c r="C40" s="55" t="str"/>
      <x:c r="D40" s="55" t="str"/>
      <x:c r="E40" s="55" t="str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  <x:c r="AA40" s="54"/>
      <x:c r="AB40" s="54"/>
      <x:c r="AC40" s="54"/>
      <x:c r="AD40" s="54"/>
      <x:c r="AE40" s="54"/>
      <x:c r="AF40" s="54"/>
      <x:c r="AG40" s="54"/>
      <x:c r="AH40" s="54"/>
      <x:c r="AI40" s="54"/>
      <x:c r="AJ40" s="54"/>
      <x:c r="AK40" s="54"/>
      <x:c r="AL40" s="54"/>
      <x:c r="AM40" s="54"/>
      <x:c r="AN40" s="54"/>
      <x:c r="AO40" s="54"/>
      <x:c r="AP40" s="54"/>
      <x:c r="AQ40" s="54"/>
      <x:c r="AR40" s="54"/>
      <x:c r="AS40" s="54"/>
      <x:c r="AT40" s="54"/>
      <x:c r="AU40" s="54"/>
      <x:c r="AV40" s="54"/>
      <x:c r="AW40" s="54"/>
    </x:row>
    <x:row r="41">
      <x:c r="A41" s="65" t="str">
        <x:v>Size</x:v>
      </x:c>
      <x:c r="B41" s="65" t="str">
        <x:v>Conjuration</x:v>
      </x:c>
      <x:c r="C41" s="65" t="str">
        <x:v>Transfiguration</x:v>
      </x:c>
      <x:c r="D41" s="65" t="str">
        <x:v>Perfect Transmutation</x:v>
      </x:c>
      <x:c r="E41" s="65" t="str">
        <x:v>Enchantment</x:v>
      </x:c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  <x:c r="AA41" s="54"/>
      <x:c r="AB41" s="54"/>
      <x:c r="AC41" s="54"/>
      <x:c r="AD41" s="54"/>
      <x:c r="AE41" s="54"/>
      <x:c r="AF41" s="54"/>
      <x:c r="AG41" s="54"/>
      <x:c r="AH41" s="54"/>
      <x:c r="AI41" s="54"/>
      <x:c r="AJ41" s="54"/>
      <x:c r="AK41" s="54"/>
      <x:c r="AL41" s="54"/>
      <x:c r="AM41" s="54"/>
      <x:c r="AN41" s="54"/>
      <x:c r="AO41" s="54"/>
      <x:c r="AP41" s="54"/>
      <x:c r="AQ41" s="54"/>
      <x:c r="AR41" s="54"/>
      <x:c r="AS41" s="54"/>
      <x:c r="AT41" s="54"/>
      <x:c r="AU41" s="54"/>
      <x:c r="AV41" s="54"/>
      <x:c r="AW41" s="54"/>
    </x:row>
    <x:row r="42">
      <x:c r="A42" s="66" t="n">
        <x:v>3</x:v>
      </x:c>
      <x:c r="B42" s="67" t="n">
        <x:v>3.092992528811549e-11</x:v>
      </x:c>
      <x:c r="C42" s="67" t="n">
        <x:v>0.000015689345858865983</x:v>
      </x:c>
      <x:c r="D42" s="67" t="n">
        <x:v>0.6948888562591972</x:v>
      </x:c>
      <x:c r="E42" s="67" t="n">
        <x:v>0.5984335392365301</x:v>
      </x:c>
      <x:c r="F42" s="54"/>
      <x:c r="G42" s="54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  <x:c r="AA42" s="54"/>
      <x:c r="AB42" s="54"/>
      <x:c r="AC42" s="54"/>
      <x:c r="AD42" s="54"/>
      <x:c r="AE42" s="54"/>
      <x:c r="AF42" s="54"/>
      <x:c r="AG42" s="54"/>
      <x:c r="AH42" s="54"/>
      <x:c r="AI42" s="54"/>
      <x:c r="AJ42" s="54"/>
      <x:c r="AK42" s="54"/>
      <x:c r="AL42" s="54"/>
      <x:c r="AM42" s="54"/>
      <x:c r="AN42" s="54"/>
      <x:c r="AO42" s="54"/>
      <x:c r="AP42" s="54"/>
      <x:c r="AQ42" s="54"/>
      <x:c r="AR42" s="54"/>
      <x:c r="AS42" s="54"/>
      <x:c r="AT42" s="54"/>
      <x:c r="AU42" s="54"/>
      <x:c r="AV42" s="54"/>
      <x:c r="AW42" s="54"/>
    </x:row>
    <x:row r="43">
      <x:c r="A43" s="66" t="n">
        <x:v>4</x:v>
      </x:c>
      <x:c r="B43" s="67" t="n">
        <x:v>0.3895363272643335</x:v>
      </x:c>
      <x:c r="C43" s="67" t="n">
        <x:v>0.511055230797424</x:v>
      </x:c>
      <x:c r="D43" s="67" t="n">
        <x:v>2.5864396788250383</x:v>
      </x:c>
      <x:c r="E43" s="67" t="n">
        <x:v>3.5538336568439743</x:v>
      </x:c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  <x:c r="AA43" s="54"/>
      <x:c r="AB43" s="54"/>
      <x:c r="AC43" s="54"/>
      <x:c r="AD43" s="54"/>
      <x:c r="AE43" s="54"/>
      <x:c r="AF43" s="54"/>
      <x:c r="AG43" s="54"/>
      <x:c r="AH43" s="54"/>
      <x:c r="AI43" s="54"/>
      <x:c r="AJ43" s="54"/>
      <x:c r="AK43" s="54"/>
      <x:c r="AL43" s="54"/>
      <x:c r="AM43" s="54"/>
      <x:c r="AN43" s="54"/>
      <x:c r="AO43" s="54"/>
      <x:c r="AP43" s="54"/>
      <x:c r="AQ43" s="54"/>
      <x:c r="AR43" s="54"/>
      <x:c r="AS43" s="54"/>
      <x:c r="AT43" s="54"/>
      <x:c r="AU43" s="54"/>
      <x:c r="AV43" s="54"/>
      <x:c r="AW43" s="54"/>
    </x:row>
    <x:row r="44">
      <x:c r="A44" s="66" t="n">
        <x:v>5</x:v>
      </x:c>
      <x:c r="B44" s="67" t="n">
        <x:v>0.797416366908157</x:v>
      </x:c>
      <x:c r="C44" s="67" t="n">
        <x:v>1.0206810010035878</x:v>
      </x:c>
      <x:c r="D44" s="67" t="n">
        <x:v>4.686326729103166</x:v>
      </x:c>
      <x:c r="E44" s="67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  <x:c r="AA44" s="54"/>
      <x:c r="AB44" s="54"/>
      <x:c r="AC44" s="54"/>
      <x:c r="AD44" s="54"/>
      <x:c r="AE44" s="54"/>
      <x:c r="AF44" s="54"/>
      <x:c r="AG44" s="54"/>
      <x:c r="AH44" s="54"/>
      <x:c r="AI44" s="54"/>
      <x:c r="AJ44" s="54"/>
      <x:c r="AK44" s="54"/>
      <x:c r="AL44" s="54"/>
      <x:c r="AM44" s="54"/>
      <x:c r="AN44" s="54"/>
      <x:c r="AO44" s="54"/>
      <x:c r="AP44" s="54"/>
      <x:c r="AQ44" s="54"/>
      <x:c r="AR44" s="54"/>
      <x:c r="AS44" s="54"/>
      <x:c r="AT44" s="54"/>
      <x:c r="AU44" s="54"/>
      <x:c r="AV44" s="54"/>
      <x:c r="AW44" s="54"/>
    </x:row>
    <x:row r="45">
      <x:c r="A45" s="66" t="n">
        <x:v>6</x:v>
      </x:c>
      <x:c r="B45" s="67" t="n">
        <x:v>1.3314778028142626</x:v>
      </x:c>
      <x:c r="C45" s="67" t="n">
        <x:v>1.5375465797207686</x:v>
      </x:c>
      <x:c r="D45" s="67" t="n">
        <x:v>6.8811893676718014</x:v>
      </x:c>
      <x:c r="E45" s="67"/>
      <x:c r="F45" s="54"/>
      <x:c r="G45" s="54"/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  <x:c r="AA45" s="54"/>
      <x:c r="AB45" s="54"/>
      <x:c r="AC45" s="54"/>
      <x:c r="AD45" s="54"/>
      <x:c r="AE45" s="54"/>
      <x:c r="AF45" s="54"/>
      <x:c r="AG45" s="54"/>
      <x:c r="AH45" s="54"/>
      <x:c r="AI45" s="54"/>
      <x:c r="AJ45" s="54"/>
      <x:c r="AK45" s="54"/>
      <x:c r="AL45" s="54"/>
      <x:c r="AM45" s="54"/>
      <x:c r="AN45" s="54"/>
      <x:c r="AO45" s="54"/>
      <x:c r="AP45" s="54"/>
      <x:c r="AQ45" s="54"/>
      <x:c r="AR45" s="54"/>
      <x:c r="AS45" s="54"/>
      <x:c r="AT45" s="54"/>
      <x:c r="AU45" s="54"/>
      <x:c r="AV45" s="54"/>
      <x:c r="AW45" s="54"/>
    </x:row>
    <x:row r="46">
      <x:c r="A46" s="66" t="n">
        <x:v>7</x:v>
      </x:c>
      <x:c r="B46" s="67" t="n">
        <x:v>2.460549733248447</x:v>
      </x:c>
      <x:c r="C46" s="67" t="n">
        <x:v>2.095869816682897</x:v>
      </x:c>
      <x:c r="D46" s="67" t="n">
        <x:v>9.153054543210349</x:v>
      </x:c>
      <x:c r="E46" s="67"/>
      <x:c r="F46" s="54"/>
      <x:c r="G46" s="54"/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  <x:c r="AA46" s="54"/>
      <x:c r="AB46" s="54"/>
      <x:c r="AC46" s="54"/>
      <x:c r="AD46" s="54"/>
      <x:c r="AE46" s="54"/>
      <x:c r="AF46" s="54"/>
      <x:c r="AG46" s="54"/>
      <x:c r="AH46" s="54"/>
      <x:c r="AI46" s="54"/>
      <x:c r="AJ46" s="54"/>
      <x:c r="AK46" s="54"/>
      <x:c r="AL46" s="54"/>
      <x:c r="AM46" s="54"/>
      <x:c r="AN46" s="54"/>
      <x:c r="AO46" s="54"/>
      <x:c r="AP46" s="54"/>
      <x:c r="AQ46" s="54"/>
      <x:c r="AR46" s="54"/>
      <x:c r="AS46" s="54"/>
      <x:c r="AT46" s="54"/>
      <x:c r="AU46" s="54"/>
      <x:c r="AV46" s="54"/>
      <x:c r="AW46" s="54"/>
    </x:row>
    <x:row r="47">
      <x:c r="A47" s="66" t="n">
        <x:v>8</x:v>
      </x:c>
      <x:c r="B47" s="67" t="n">
        <x:v>4.22045429148957</x:v>
      </x:c>
      <x:c r="C47" s="67" t="n">
        <x:v>2.764311156333214</x:v>
      </x:c>
      <x:c r="D47" s="67" t="n">
        <x:v>11.50806679467266</x:v>
      </x:c>
      <x:c r="E47" s="67"/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  <x:c r="AA47" s="54"/>
      <x:c r="AB47" s="54"/>
      <x:c r="AC47" s="54"/>
      <x:c r="AD47" s="54"/>
      <x:c r="AE47" s="54"/>
      <x:c r="AF47" s="54"/>
      <x:c r="AG47" s="54"/>
      <x:c r="AH47" s="54"/>
      <x:c r="AI47" s="54"/>
      <x:c r="AJ47" s="54"/>
      <x:c r="AK47" s="54"/>
      <x:c r="AL47" s="54"/>
      <x:c r="AM47" s="54"/>
      <x:c r="AN47" s="54"/>
      <x:c r="AO47" s="54"/>
      <x:c r="AP47" s="54"/>
      <x:c r="AQ47" s="54"/>
      <x:c r="AR47" s="54"/>
      <x:c r="AS47" s="54"/>
      <x:c r="AT47" s="54"/>
      <x:c r="AU47" s="54"/>
      <x:c r="AV47" s="54"/>
      <x:c r="AW47" s="54"/>
    </x:row>
    <x:row r="48">
      <x:c r="A48" s="66" t="n">
        <x:v>9</x:v>
      </x:c>
      <x:c r="B48" s="67" t="n">
        <x:v>6.3926686588732995</x:v>
      </x:c>
      <x:c r="C48" s="67" t="n">
        <x:v>3.610116908361072</x:v>
      </x:c>
      <x:c r="D48" s="67" t="n">
        <x:v>13.960095873715568</x:v>
      </x:c>
      <x:c r="E48" s="67"/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  <x:c r="AA48" s="54"/>
      <x:c r="AB48" s="54"/>
      <x:c r="AC48" s="54"/>
      <x:c r="AD48" s="54"/>
      <x:c r="AE48" s="54"/>
      <x:c r="AF48" s="54"/>
      <x:c r="AG48" s="54"/>
      <x:c r="AH48" s="54"/>
      <x:c r="AI48" s="54"/>
      <x:c r="AJ48" s="54"/>
      <x:c r="AK48" s="54"/>
      <x:c r="AL48" s="54"/>
      <x:c r="AM48" s="54"/>
      <x:c r="AN48" s="54"/>
      <x:c r="AO48" s="54"/>
      <x:c r="AP48" s="54"/>
      <x:c r="AQ48" s="54"/>
      <x:c r="AR48" s="54"/>
      <x:c r="AS48" s="54"/>
      <x:c r="AT48" s="54"/>
      <x:c r="AU48" s="54"/>
      <x:c r="AV48" s="54"/>
      <x:c r="AW48" s="54"/>
    </x:row>
    <x:row r="49">
      <x:c r="A49" s="66" t="n">
        <x:v>10</x:v>
      </x:c>
      <x:c r="B49" s="67" t="n">
        <x:v>8.913493137316452</x:v>
      </x:c>
      <x:c r="C49" s="67" t="n">
        <x:v>4.663753000197699</x:v>
      </x:c>
      <x:c r="D49" s="67" t="n">
        <x:v>16.528962234318172</x:v>
      </x:c>
      <x:c r="E49" s="67"/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  <x:c r="AA49" s="54"/>
      <x:c r="AB49" s="54"/>
      <x:c r="AC49" s="54"/>
      <x:c r="AD49" s="54"/>
      <x:c r="AE49" s="54"/>
      <x:c r="AF49" s="54"/>
      <x:c r="AG49" s="54"/>
      <x:c r="AH49" s="54"/>
      <x:c r="AI49" s="54"/>
      <x:c r="AJ49" s="54"/>
      <x:c r="AK49" s="54"/>
      <x:c r="AL49" s="54"/>
      <x:c r="AM49" s="54"/>
      <x:c r="AN49" s="54"/>
      <x:c r="AO49" s="54"/>
      <x:c r="AP49" s="54"/>
      <x:c r="AQ49" s="54"/>
      <x:c r="AR49" s="54"/>
      <x:c r="AS49" s="54"/>
      <x:c r="AT49" s="54"/>
      <x:c r="AU49" s="54"/>
      <x:c r="AV49" s="54"/>
      <x:c r="AW49" s="54"/>
    </x:row>
    <x:row r="50">
      <x:c r="A50" s="66" t="n">
        <x:v>11</x:v>
      </x:c>
      <x:c r="B50" s="67" t="n">
        <x:v>11.80724999549316</x:v>
      </x:c>
      <x:c r="C50" s="67" t="n">
        <x:v>5.93053298160487</x:v>
      </x:c>
      <x:c r="D50" s="67" t="n">
        <x:v>19.24294156707471</x:v>
      </x:c>
      <x:c r="E50" s="67"/>
      <x:c r="F50" s="54"/>
      <x:c r="G50" s="54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  <x:c r="AA50" s="54"/>
      <x:c r="AB50" s="54"/>
      <x:c r="AC50" s="54"/>
      <x:c r="AD50" s="54"/>
      <x:c r="AE50" s="54"/>
      <x:c r="AF50" s="54"/>
      <x:c r="AG50" s="54"/>
      <x:c r="AH50" s="54"/>
      <x:c r="AI50" s="54"/>
      <x:c r="AJ50" s="54"/>
      <x:c r="AK50" s="54"/>
      <x:c r="AL50" s="54"/>
      <x:c r="AM50" s="54"/>
      <x:c r="AN50" s="54"/>
      <x:c r="AO50" s="54"/>
      <x:c r="AP50" s="54"/>
      <x:c r="AQ50" s="54"/>
      <x:c r="AR50" s="54"/>
      <x:c r="AS50" s="54"/>
      <x:c r="AT50" s="54"/>
      <x:c r="AU50" s="54"/>
      <x:c r="AV50" s="54"/>
      <x:c r="AW50" s="54"/>
    </x:row>
    <x:row r="51">
      <x:c r="A51" s="66" t="n">
        <x:v>12</x:v>
      </x:c>
      <x:c r="B51" s="67" t="n">
        <x:v>15.136726993655287</x:v>
      </x:c>
      <x:c r="C51" s="67" t="n">
        <x:v>7.423256528255514</x:v>
      </x:c>
      <x:c r="D51" s="67" t="n">
        <x:v>22.144897850519644</x:v>
      </x:c>
      <x:c r="E51" s="67"/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  <x:c r="AA51" s="54"/>
      <x:c r="AB51" s="54"/>
      <x:c r="AC51" s="54"/>
      <x:c r="AD51" s="54"/>
      <x:c r="AE51" s="54"/>
      <x:c r="AF51" s="54"/>
      <x:c r="AG51" s="54"/>
      <x:c r="AH51" s="54"/>
      <x:c r="AI51" s="54"/>
      <x:c r="AJ51" s="54"/>
      <x:c r="AK51" s="54"/>
      <x:c r="AL51" s="54"/>
      <x:c r="AM51" s="54"/>
      <x:c r="AN51" s="54"/>
      <x:c r="AO51" s="54"/>
      <x:c r="AP51" s="54"/>
      <x:c r="AQ51" s="54"/>
      <x:c r="AR51" s="54"/>
      <x:c r="AS51" s="54"/>
      <x:c r="AT51" s="54"/>
      <x:c r="AU51" s="54"/>
      <x:c r="AV51" s="54"/>
      <x:c r="AW51" s="54"/>
    </x:row>
    <x:row r="52">
      <x:c r="A52" s="66" t="n">
        <x:v>13</x:v>
      </x:c>
      <x:c r="B52" s="67" t="n">
        <x:v>19.00906851749014</x:v>
      </x:c>
      <x:c r="C52" s="67" t="n">
        <x:v>9.191965199575547</x:v>
      </x:c>
      <x:c r="D52" s="67" t="n">
        <x:v>25.306534922238246</x:v>
      </x:c>
      <x:c r="E52" s="67"/>
      <x:c r="F52" s="54"/>
      <x:c r="G52" s="54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  <x:c r="AA52" s="54"/>
      <x:c r="AB52" s="54"/>
      <x:c r="AC52" s="54"/>
      <x:c r="AD52" s="54"/>
      <x:c r="AE52" s="54"/>
      <x:c r="AF52" s="54"/>
      <x:c r="AG52" s="54"/>
      <x:c r="AH52" s="54"/>
      <x:c r="AI52" s="54"/>
      <x:c r="AJ52" s="54"/>
      <x:c r="AK52" s="54"/>
      <x:c r="AL52" s="54"/>
      <x:c r="AM52" s="54"/>
      <x:c r="AN52" s="54"/>
      <x:c r="AO52" s="54"/>
      <x:c r="AP52" s="54"/>
      <x:c r="AQ52" s="54"/>
      <x:c r="AR52" s="54"/>
      <x:c r="AS52" s="54"/>
      <x:c r="AT52" s="54"/>
      <x:c r="AU52" s="54"/>
      <x:c r="AV52" s="54"/>
      <x:c r="AW52" s="54"/>
    </x:row>
    <x:row r="53">
      <x:c r="A53" s="66" t="n">
        <x:v>14</x:v>
      </x:c>
      <x:c r="B53" s="67" t="n">
        <x:v>23.62550155043174</x:v>
      </x:c>
      <x:c r="C53" s="67" t="n">
        <x:v>11.36677673776137</x:v>
      </x:c>
      <x:c r="D53" s="67" t="n">
        <x:v>28.869000451496525</x:v>
      </x:c>
      <x:c r="E53" s="67"/>
      <x:c r="F53" s="54"/>
      <x:c r="G53" s="54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  <x:c r="AA53" s="54"/>
      <x:c r="AB53" s="54"/>
      <x:c r="AC53" s="54"/>
      <x:c r="AD53" s="54"/>
      <x:c r="AE53" s="54"/>
      <x:c r="AF53" s="54"/>
      <x:c r="AG53" s="54"/>
      <x:c r="AH53" s="54"/>
      <x:c r="AI53" s="54"/>
      <x:c r="AJ53" s="54"/>
      <x:c r="AK53" s="54"/>
      <x:c r="AL53" s="54"/>
      <x:c r="AM53" s="54"/>
      <x:c r="AN53" s="54"/>
      <x:c r="AO53" s="54"/>
      <x:c r="AP53" s="54"/>
      <x:c r="AQ53" s="54"/>
      <x:c r="AR53" s="54"/>
      <x:c r="AS53" s="54"/>
      <x:c r="AT53" s="54"/>
      <x:c r="AU53" s="54"/>
      <x:c r="AV53" s="54"/>
      <x:c r="AW53" s="54"/>
    </x:row>
    <x:row r="54">
      <x:c r="A54" s="66" t="n">
        <x:v>15</x:v>
      </x:c>
      <x:c r="B54" s="67" t="n">
        <x:v>29.48518059774749</x:v>
      </x:c>
      <x:c r="C54" s="67" t="n">
        <x:v>14.328817636057138</x:v>
      </x:c>
      <x:c r="D54" s="67" t="n">
        <x:v>33.217502233405575</x:v>
      </x:c>
      <x:c r="E54" s="67"/>
      <x:c r="F54" s="54"/>
      <x:c r="G54" s="54"/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  <x:c r="AA54" s="54"/>
      <x:c r="AB54" s="54"/>
      <x:c r="AC54" s="54"/>
      <x:c r="AD54" s="54"/>
      <x:c r="AE54" s="54"/>
      <x:c r="AF54" s="54"/>
      <x:c r="AG54" s="54"/>
      <x:c r="AH54" s="54"/>
      <x:c r="AI54" s="54"/>
      <x:c r="AJ54" s="54"/>
      <x:c r="AK54" s="54"/>
      <x:c r="AL54" s="54"/>
      <x:c r="AM54" s="54"/>
      <x:c r="AN54" s="54"/>
      <x:c r="AO54" s="54"/>
      <x:c r="AP54" s="54"/>
      <x:c r="AQ54" s="54"/>
      <x:c r="AR54" s="54"/>
      <x:c r="AS54" s="54"/>
      <x:c r="AT54" s="54"/>
      <x:c r="AU54" s="54"/>
      <x:c r="AV54" s="54"/>
      <x:c r="AW54" s="54"/>
    </x:row>
    <x:row r="55">
      <x:c r="A55" s="54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  <x:c r="AA55" s="54"/>
      <x:c r="AB55" s="54"/>
      <x:c r="AC55" s="54"/>
      <x:c r="AD55" s="54"/>
      <x:c r="AE55" s="54"/>
      <x:c r="AF55" s="54"/>
      <x:c r="AG55" s="54"/>
      <x:c r="AH55" s="54"/>
      <x:c r="AI55" s="54"/>
      <x:c r="AJ55" s="54"/>
      <x:c r="AK55" s="54"/>
      <x:c r="AL55" s="54"/>
      <x:c r="AM55" s="54"/>
      <x:c r="AN55" s="54"/>
      <x:c r="AO55" s="54"/>
      <x:c r="AP55" s="54"/>
      <x:c r="AQ55" s="54"/>
      <x:c r="AR55" s="54"/>
      <x:c r="AS55" s="54"/>
      <x:c r="AT55" s="54"/>
      <x:c r="AU55" s="54"/>
      <x:c r="AV55" s="54"/>
      <x:c r="AW55" s="54"/>
    </x:row>
    <x:row r="56">
      <x:c r="A56" s="54"/>
      <x:c r="B56" s="54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  <x:c r="AA56" s="54"/>
      <x:c r="AB56" s="54"/>
      <x:c r="AC56" s="54"/>
      <x:c r="AD56" s="54"/>
      <x:c r="AE56" s="54"/>
      <x:c r="AF56" s="54"/>
      <x:c r="AG56" s="54"/>
      <x:c r="AH56" s="54"/>
      <x:c r="AI56" s="54"/>
      <x:c r="AJ56" s="54"/>
      <x:c r="AK56" s="54"/>
      <x:c r="AL56" s="54"/>
      <x:c r="AM56" s="54"/>
      <x:c r="AN56" s="54"/>
      <x:c r="AO56" s="54"/>
      <x:c r="AP56" s="54"/>
      <x:c r="AQ56" s="54"/>
      <x:c r="AR56" s="54"/>
      <x:c r="AS56" s="54"/>
      <x:c r="AT56" s="54"/>
      <x:c r="AU56" s="54"/>
      <x:c r="AV56" s="54"/>
      <x:c r="AW56" s="54"/>
    </x:row>
    <x:row r="57">
      <x:c r="A57" s="55" t="str">
        <x:v>Deck 1 — Final utility-adjusted unrounded score</x:v>
      </x:c>
      <x:c r="B57" s="55" t="str"/>
      <x:c r="C57" s="55" t="str"/>
      <x:c r="D57" s="55" t="str"/>
      <x:c r="E57" s="55" t="str"/>
      <x:c r="F57" s="54"/>
      <x:c r="G57" s="54"/>
      <x:c r="H57" s="54"/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  <x:c r="AA57" s="54"/>
      <x:c r="AB57" s="54"/>
      <x:c r="AC57" s="54"/>
      <x:c r="AD57" s="54"/>
      <x:c r="AE57" s="54"/>
      <x:c r="AF57" s="54"/>
      <x:c r="AG57" s="54"/>
      <x:c r="AH57" s="54"/>
      <x:c r="AI57" s="54"/>
      <x:c r="AJ57" s="54"/>
      <x:c r="AK57" s="54"/>
      <x:c r="AL57" s="54"/>
      <x:c r="AM57" s="54"/>
      <x:c r="AN57" s="54"/>
      <x:c r="AO57" s="54"/>
      <x:c r="AP57" s="54"/>
      <x:c r="AQ57" s="54"/>
      <x:c r="AR57" s="54"/>
      <x:c r="AS57" s="54"/>
      <x:c r="AT57" s="54"/>
      <x:c r="AU57" s="54"/>
      <x:c r="AV57" s="54"/>
      <x:c r="AW57" s="54"/>
    </x:row>
    <x:row r="58">
      <x:c r="A58" s="65" t="str">
        <x:v>Size</x:v>
      </x:c>
      <x:c r="B58" s="65" t="str">
        <x:v>Conjuration</x:v>
      </x:c>
      <x:c r="C58" s="65" t="str">
        <x:v>Transfiguration</x:v>
      </x:c>
      <x:c r="D58" s="65" t="str">
        <x:v>Perfect Transmutation</x:v>
      </x:c>
      <x:c r="E58" s="65" t="str">
        <x:v>Enchantment</x:v>
      </x:c>
      <x:c r="F58" s="54"/>
      <x:c r="G58" s="54"/>
      <x:c r="H58" s="54"/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  <x:c r="AA58" s="54"/>
      <x:c r="AB58" s="54"/>
      <x:c r="AC58" s="54"/>
      <x:c r="AD58" s="54"/>
      <x:c r="AE58" s="54"/>
      <x:c r="AF58" s="54"/>
      <x:c r="AG58" s="54"/>
      <x:c r="AH58" s="54"/>
      <x:c r="AI58" s="54"/>
      <x:c r="AJ58" s="54"/>
      <x:c r="AK58" s="54"/>
      <x:c r="AL58" s="54"/>
      <x:c r="AM58" s="54"/>
      <x:c r="AN58" s="54"/>
      <x:c r="AO58" s="54"/>
      <x:c r="AP58" s="54"/>
      <x:c r="AQ58" s="54"/>
      <x:c r="AR58" s="54"/>
      <x:c r="AS58" s="54"/>
      <x:c r="AT58" s="54"/>
      <x:c r="AU58" s="54"/>
      <x:c r="AV58" s="54"/>
      <x:c r="AW58" s="54"/>
    </x:row>
    <x:row r="59">
      <x:c r="A59" s="66" t="n">
        <x:v>3</x:v>
      </x:c>
      <x:c r="B59" s="67" t="n">
        <x:v>0</x:v>
      </x:c>
      <x:c r="C59" s="67" t="n">
        <x:v>2.000031378691718</x:v>
      </x:c>
      <x:c r="D59" s="67" t="n">
        <x:v>0</x:v>
      </x:c>
      <x:c r="E59" s="67" t="n">
        <x:v>0</x:v>
      </x:c>
      <x:c r="F59" s="54"/>
      <x:c r="G59" s="54"/>
      <x:c r="H59" s="54"/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  <x:c r="AA59" s="54"/>
      <x:c r="AB59" s="54"/>
      <x:c r="AC59" s="54"/>
      <x:c r="AD59" s="54"/>
      <x:c r="AE59" s="54"/>
      <x:c r="AF59" s="54"/>
      <x:c r="AG59" s="54"/>
      <x:c r="AH59" s="54"/>
      <x:c r="AI59" s="54"/>
      <x:c r="AJ59" s="54"/>
      <x:c r="AK59" s="54"/>
      <x:c r="AL59" s="54"/>
      <x:c r="AM59" s="54"/>
      <x:c r="AN59" s="54"/>
      <x:c r="AO59" s="54"/>
      <x:c r="AP59" s="54"/>
      <x:c r="AQ59" s="54"/>
      <x:c r="AR59" s="54"/>
      <x:c r="AS59" s="54"/>
      <x:c r="AT59" s="54"/>
      <x:c r="AU59" s="54"/>
      <x:c r="AV59" s="54"/>
      <x:c r="AW59" s="54"/>
    </x:row>
    <x:row r="60">
      <x:c r="A60" s="66" t="n">
        <x:v>4</x:v>
      </x:c>
      <x:c r="B60" s="67" t="n">
        <x:v>0</x:v>
      </x:c>
      <x:c r="C60" s="67" t="n">
        <x:v>3.022110461594848</x:v>
      </x:c>
      <x:c r="D60" s="67" t="n">
        <x:v>3.5478793576500767</x:v>
      </x:c>
      <x:c r="E60" s="67" t="n">
        <x:v>2.6076673136879487</x:v>
      </x:c>
      <x:c r="F60" s="54"/>
      <x:c r="G60" s="54"/>
      <x:c r="H60" s="54"/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  <x:c r="AA60" s="54"/>
      <x:c r="AB60" s="54"/>
      <x:c r="AC60" s="54"/>
      <x:c r="AD60" s="54"/>
      <x:c r="AE60" s="54"/>
      <x:c r="AF60" s="54"/>
      <x:c r="AG60" s="54"/>
      <x:c r="AH60" s="54"/>
      <x:c r="AI60" s="54"/>
      <x:c r="AJ60" s="54"/>
      <x:c r="AK60" s="54"/>
      <x:c r="AL60" s="54"/>
      <x:c r="AM60" s="54"/>
      <x:c r="AN60" s="54"/>
      <x:c r="AO60" s="54"/>
      <x:c r="AP60" s="54"/>
      <x:c r="AQ60" s="54"/>
      <x:c r="AR60" s="54"/>
      <x:c r="AS60" s="54"/>
      <x:c r="AT60" s="54"/>
      <x:c r="AU60" s="54"/>
      <x:c r="AV60" s="54"/>
      <x:c r="AW60" s="54"/>
    </x:row>
    <x:row r="61">
      <x:c r="A61" s="66" t="n">
        <x:v>5</x:v>
      </x:c>
      <x:c r="B61" s="67" t="n">
        <x:v>0.09483273381631396</x:v>
      </x:c>
      <x:c r="C61" s="67" t="n">
        <x:v>4.041362002007176</x:v>
      </x:c>
      <x:c r="D61" s="67" t="n">
        <x:v>7.747653458206331</x:v>
      </x:c>
      <x:c r="E61" s="67"/>
      <x:c r="F61" s="54"/>
      <x:c r="G61" s="54"/>
      <x:c r="H61" s="54"/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  <x:c r="AA61" s="54"/>
      <x:c r="AB61" s="54"/>
      <x:c r="AC61" s="54"/>
      <x:c r="AD61" s="54"/>
      <x:c r="AE61" s="54"/>
      <x:c r="AF61" s="54"/>
      <x:c r="AG61" s="54"/>
      <x:c r="AH61" s="54"/>
      <x:c r="AI61" s="54"/>
      <x:c r="AJ61" s="54"/>
      <x:c r="AK61" s="54"/>
      <x:c r="AL61" s="54"/>
      <x:c r="AM61" s="54"/>
      <x:c r="AN61" s="54"/>
      <x:c r="AO61" s="54"/>
      <x:c r="AP61" s="54"/>
      <x:c r="AQ61" s="54"/>
      <x:c r="AR61" s="54"/>
      <x:c r="AS61" s="54"/>
      <x:c r="AT61" s="54"/>
      <x:c r="AU61" s="54"/>
      <x:c r="AV61" s="54"/>
      <x:c r="AW61" s="54"/>
    </x:row>
    <x:row r="62">
      <x:c r="A62" s="66" t="n">
        <x:v>6</x:v>
      </x:c>
      <x:c r="B62" s="67" t="n">
        <x:v>0</x:v>
      </x:c>
      <x:c r="C62" s="67" t="n">
        <x:v>5.075093159441537</x:v>
      </x:c>
      <x:c r="D62" s="67" t="n">
        <x:v>11.162378735343603</x:v>
      </x:c>
      <x:c r="E62" s="67"/>
      <x:c r="F62" s="54"/>
      <x:c r="G62" s="54"/>
      <x:c r="H62" s="54"/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  <x:c r="AA62" s="54"/>
      <x:c r="AB62" s="54"/>
      <x:c r="AC62" s="54"/>
      <x:c r="AD62" s="54"/>
      <x:c r="AE62" s="54"/>
      <x:c r="AF62" s="54"/>
      <x:c r="AG62" s="54"/>
      <x:c r="AH62" s="54"/>
      <x:c r="AI62" s="54"/>
      <x:c r="AJ62" s="54"/>
      <x:c r="AK62" s="54"/>
      <x:c r="AL62" s="54"/>
      <x:c r="AM62" s="54"/>
      <x:c r="AN62" s="54"/>
      <x:c r="AO62" s="54"/>
      <x:c r="AP62" s="54"/>
      <x:c r="AQ62" s="54"/>
      <x:c r="AR62" s="54"/>
      <x:c r="AS62" s="54"/>
      <x:c r="AT62" s="54"/>
      <x:c r="AU62" s="54"/>
      <x:c r="AV62" s="54"/>
      <x:c r="AW62" s="54"/>
    </x:row>
    <x:row r="63">
      <x:c r="A63" s="66" t="n">
        <x:v>7</x:v>
      </x:c>
      <x:c r="B63" s="67" t="n">
        <x:v>1.9210994664968943</x:v>
      </x:c>
      <x:c r="C63" s="67" t="n">
        <x:v>6.191739633365794</x:v>
      </x:c>
      <x:c r="D63" s="67" t="n">
        <x:v>15.706109086420698</x:v>
      </x:c>
      <x:c r="E63" s="67"/>
      <x:c r="F63" s="54"/>
      <x:c r="G63" s="54"/>
      <x:c r="H63" s="54"/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  <x:c r="AA63" s="54"/>
      <x:c r="AB63" s="54"/>
      <x:c r="AC63" s="54"/>
      <x:c r="AD63" s="54"/>
      <x:c r="AE63" s="54"/>
      <x:c r="AF63" s="54"/>
      <x:c r="AG63" s="54"/>
      <x:c r="AH63" s="54"/>
      <x:c r="AI63" s="54"/>
      <x:c r="AJ63" s="54"/>
      <x:c r="AK63" s="54"/>
      <x:c r="AL63" s="54"/>
      <x:c r="AM63" s="54"/>
      <x:c r="AN63" s="54"/>
      <x:c r="AO63" s="54"/>
      <x:c r="AP63" s="54"/>
      <x:c r="AQ63" s="54"/>
      <x:c r="AR63" s="54"/>
      <x:c r="AS63" s="54"/>
      <x:c r="AT63" s="54"/>
      <x:c r="AU63" s="54"/>
      <x:c r="AV63" s="54"/>
      <x:c r="AW63" s="54"/>
    </x:row>
    <x:row r="64">
      <x:c r="A64" s="66" t="n">
        <x:v>8</x:v>
      </x:c>
      <x:c r="B64" s="67" t="n">
        <x:v>5.440908582979141</x:v>
      </x:c>
      <x:c r="C64" s="67" t="n">
        <x:v>7.528622312666428</x:v>
      </x:c>
      <x:c r="D64" s="67" t="n">
        <x:v>20.416133589345318</x:v>
      </x:c>
      <x:c r="E64" s="67"/>
      <x:c r="F64" s="54"/>
      <x:c r="G64" s="54"/>
      <x:c r="H64" s="54"/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  <x:c r="AA64" s="54"/>
      <x:c r="AB64" s="54"/>
      <x:c r="AC64" s="54"/>
      <x:c r="AD64" s="54"/>
      <x:c r="AE64" s="54"/>
      <x:c r="AF64" s="54"/>
      <x:c r="AG64" s="54"/>
      <x:c r="AH64" s="54"/>
      <x:c r="AI64" s="54"/>
      <x:c r="AJ64" s="54"/>
      <x:c r="AK64" s="54"/>
      <x:c r="AL64" s="54"/>
      <x:c r="AM64" s="54"/>
      <x:c r="AN64" s="54"/>
      <x:c r="AO64" s="54"/>
      <x:c r="AP64" s="54"/>
      <x:c r="AQ64" s="54"/>
      <x:c r="AR64" s="54"/>
      <x:c r="AS64" s="54"/>
      <x:c r="AT64" s="54"/>
      <x:c r="AU64" s="54"/>
      <x:c r="AV64" s="54"/>
      <x:c r="AW64" s="54"/>
    </x:row>
    <x:row r="65">
      <x:c r="A65" s="66" t="n">
        <x:v>9</x:v>
      </x:c>
      <x:c r="B65" s="67" t="n">
        <x:v>9.785337317746599</x:v>
      </x:c>
      <x:c r="C65" s="67" t="n">
        <x:v>9.220233816722143</x:v>
      </x:c>
      <x:c r="D65" s="67" t="n">
        <x:v>25.320191747431135</x:v>
      </x:c>
      <x:c r="E65" s="67"/>
      <x:c r="F65" s="54"/>
      <x:c r="G65" s="54"/>
      <x:c r="H65" s="54"/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  <x:c r="AA65" s="54"/>
      <x:c r="AB65" s="54"/>
      <x:c r="AC65" s="54"/>
      <x:c r="AD65" s="54"/>
      <x:c r="AE65" s="54"/>
      <x:c r="AF65" s="54"/>
      <x:c r="AG65" s="54"/>
      <x:c r="AH65" s="54"/>
      <x:c r="AI65" s="54"/>
      <x:c r="AJ65" s="54"/>
      <x:c r="AK65" s="54"/>
      <x:c r="AL65" s="54"/>
      <x:c r="AM65" s="54"/>
      <x:c r="AN65" s="54"/>
      <x:c r="AO65" s="54"/>
      <x:c r="AP65" s="54"/>
      <x:c r="AQ65" s="54"/>
      <x:c r="AR65" s="54"/>
      <x:c r="AS65" s="54"/>
      <x:c r="AT65" s="54"/>
      <x:c r="AU65" s="54"/>
      <x:c r="AV65" s="54"/>
      <x:c r="AW65" s="54"/>
    </x:row>
    <x:row r="66">
      <x:c r="A66" s="66" t="n">
        <x:v>10</x:v>
      </x:c>
      <x:c r="B66" s="67" t="n">
        <x:v>14.826986274632905</x:v>
      </x:c>
      <x:c r="C66" s="67" t="n">
        <x:v>11.327506000395397</x:v>
      </x:c>
      <x:c r="D66" s="67" t="n">
        <x:v>30.457924468636342</x:v>
      </x:c>
      <x:c r="E66" s="67"/>
      <x:c r="F66" s="54"/>
      <x:c r="G66" s="54"/>
      <x:c r="H66" s="54"/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  <x:c r="AA66" s="54"/>
      <x:c r="AB66" s="54"/>
      <x:c r="AC66" s="54"/>
      <x:c r="AD66" s="54"/>
      <x:c r="AE66" s="54"/>
      <x:c r="AF66" s="54"/>
      <x:c r="AG66" s="54"/>
      <x:c r="AH66" s="54"/>
      <x:c r="AI66" s="54"/>
      <x:c r="AJ66" s="54"/>
      <x:c r="AK66" s="54"/>
      <x:c r="AL66" s="54"/>
      <x:c r="AM66" s="54"/>
      <x:c r="AN66" s="54"/>
      <x:c r="AO66" s="54"/>
      <x:c r="AP66" s="54"/>
      <x:c r="AQ66" s="54"/>
      <x:c r="AR66" s="54"/>
      <x:c r="AS66" s="54"/>
      <x:c r="AT66" s="54"/>
      <x:c r="AU66" s="54"/>
      <x:c r="AV66" s="54"/>
      <x:c r="AW66" s="54"/>
    </x:row>
    <x:row r="67">
      <x:c r="A67" s="66" t="n">
        <x:v>11</x:v>
      </x:c>
      <x:c r="B67" s="67" t="n">
        <x:v>20.61449999098632</x:v>
      </x:c>
      <x:c r="C67" s="67" t="n">
        <x:v>13.86106596320974</x:v>
      </x:c>
      <x:c r="D67" s="67" t="n">
        <x:v>35.88588313414942</x:v>
      </x:c>
      <x:c r="E67" s="67"/>
      <x:c r="F67" s="54"/>
      <x:c r="G67" s="54"/>
      <x:c r="H67" s="54"/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  <x:c r="AA67" s="54"/>
      <x:c r="AB67" s="54"/>
      <x:c r="AC67" s="54"/>
      <x:c r="AD67" s="54"/>
      <x:c r="AE67" s="54"/>
      <x:c r="AF67" s="54"/>
      <x:c r="AG67" s="54"/>
      <x:c r="AH67" s="54"/>
      <x:c r="AI67" s="54"/>
      <x:c r="AJ67" s="54"/>
      <x:c r="AK67" s="54"/>
      <x:c r="AL67" s="54"/>
      <x:c r="AM67" s="54"/>
      <x:c r="AN67" s="54"/>
      <x:c r="AO67" s="54"/>
      <x:c r="AP67" s="54"/>
      <x:c r="AQ67" s="54"/>
      <x:c r="AR67" s="54"/>
      <x:c r="AS67" s="54"/>
      <x:c r="AT67" s="54"/>
      <x:c r="AU67" s="54"/>
      <x:c r="AV67" s="54"/>
      <x:c r="AW67" s="54"/>
    </x:row>
    <x:row r="68">
      <x:c r="A68" s="66" t="n">
        <x:v>12</x:v>
      </x:c>
      <x:c r="B68" s="67" t="n">
        <x:v>27.273453987310575</x:v>
      </x:c>
      <x:c r="C68" s="67" t="n">
        <x:v>16.84651305651103</x:v>
      </x:c>
      <x:c r="D68" s="67" t="n">
        <x:v>41.68979570103929</x:v>
      </x:c>
      <x:c r="E68" s="67"/>
      <x:c r="F68" s="54"/>
      <x:c r="G68" s="54"/>
      <x:c r="H68" s="54"/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  <x:c r="AA68" s="54"/>
      <x:c r="AB68" s="54"/>
      <x:c r="AC68" s="54"/>
      <x:c r="AD68" s="54"/>
      <x:c r="AE68" s="54"/>
      <x:c r="AF68" s="54"/>
      <x:c r="AG68" s="54"/>
      <x:c r="AH68" s="54"/>
      <x:c r="AI68" s="54"/>
      <x:c r="AJ68" s="54"/>
      <x:c r="AK68" s="54"/>
      <x:c r="AL68" s="54"/>
      <x:c r="AM68" s="54"/>
      <x:c r="AN68" s="54"/>
      <x:c r="AO68" s="54"/>
      <x:c r="AP68" s="54"/>
      <x:c r="AQ68" s="54"/>
      <x:c r="AR68" s="54"/>
      <x:c r="AS68" s="54"/>
      <x:c r="AT68" s="54"/>
      <x:c r="AU68" s="54"/>
      <x:c r="AV68" s="54"/>
      <x:c r="AW68" s="54"/>
    </x:row>
    <x:row r="69">
      <x:c r="A69" s="66" t="n">
        <x:v>13</x:v>
      </x:c>
      <x:c r="B69" s="67" t="n">
        <x:v>35.01813703498028</x:v>
      </x:c>
      <x:c r="C69" s="67" t="n">
        <x:v>20.383930399151094</x:v>
      </x:c>
      <x:c r="D69" s="67" t="n">
        <x:v>48.01306984447649</x:v>
      </x:c>
      <x:c r="E69" s="67"/>
      <x:c r="F69" s="54"/>
      <x:c r="G69" s="54"/>
      <x:c r="H69" s="54"/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  <x:c r="AA69" s="54"/>
      <x:c r="AB69" s="54"/>
      <x:c r="AC69" s="54"/>
      <x:c r="AD69" s="54"/>
      <x:c r="AE69" s="54"/>
      <x:c r="AF69" s="54"/>
      <x:c r="AG69" s="54"/>
      <x:c r="AH69" s="54"/>
      <x:c r="AI69" s="54"/>
      <x:c r="AJ69" s="54"/>
      <x:c r="AK69" s="54"/>
      <x:c r="AL69" s="54"/>
      <x:c r="AM69" s="54"/>
      <x:c r="AN69" s="54"/>
      <x:c r="AO69" s="54"/>
      <x:c r="AP69" s="54"/>
      <x:c r="AQ69" s="54"/>
      <x:c r="AR69" s="54"/>
      <x:c r="AS69" s="54"/>
      <x:c r="AT69" s="54"/>
      <x:c r="AU69" s="54"/>
      <x:c r="AV69" s="54"/>
      <x:c r="AW69" s="54"/>
    </x:row>
    <x:row r="70">
      <x:c r="A70" s="66" t="n">
        <x:v>14</x:v>
      </x:c>
      <x:c r="B70" s="67" t="n">
        <x:v>44.25100310086348</x:v>
      </x:c>
      <x:c r="C70" s="67" t="n">
        <x:v>24.73355347552274</x:v>
      </x:c>
      <x:c r="D70" s="67" t="n">
        <x:v>55.13800090299305</x:v>
      </x:c>
      <x:c r="E70" s="67"/>
      <x:c r="F70" s="54"/>
      <x:c r="G70" s="54"/>
      <x:c r="H70" s="54"/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  <x:c r="AA70" s="54"/>
      <x:c r="AB70" s="54"/>
      <x:c r="AC70" s="54"/>
      <x:c r="AD70" s="54"/>
      <x:c r="AE70" s="54"/>
      <x:c r="AF70" s="54"/>
      <x:c r="AG70" s="54"/>
      <x:c r="AH70" s="54"/>
      <x:c r="AI70" s="54"/>
      <x:c r="AJ70" s="54"/>
      <x:c r="AK70" s="54"/>
      <x:c r="AL70" s="54"/>
      <x:c r="AM70" s="54"/>
      <x:c r="AN70" s="54"/>
      <x:c r="AO70" s="54"/>
      <x:c r="AP70" s="54"/>
      <x:c r="AQ70" s="54"/>
      <x:c r="AR70" s="54"/>
      <x:c r="AS70" s="54"/>
      <x:c r="AT70" s="54"/>
      <x:c r="AU70" s="54"/>
      <x:c r="AV70" s="54"/>
      <x:c r="AW70" s="54"/>
    </x:row>
    <x:row r="71">
      <x:c r="A71" s="66" t="n">
        <x:v>15</x:v>
      </x:c>
      <x:c r="B71" s="67" t="n">
        <x:v>55.97036119549498</x:v>
      </x:c>
      <x:c r="C71" s="67" t="n">
        <x:v>30.657635272114277</x:v>
      </x:c>
      <x:c r="D71" s="67" t="n">
        <x:v>55.97036119549498</x:v>
      </x:c>
      <x:c r="E71" s="67"/>
      <x:c r="F71" s="54"/>
      <x:c r="G71" s="54"/>
      <x:c r="H71" s="54"/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  <x:c r="AA71" s="54"/>
      <x:c r="AB71" s="54"/>
      <x:c r="AC71" s="54"/>
      <x:c r="AD71" s="54"/>
      <x:c r="AE71" s="54"/>
      <x:c r="AF71" s="54"/>
      <x:c r="AG71" s="54"/>
      <x:c r="AH71" s="54"/>
      <x:c r="AI71" s="54"/>
      <x:c r="AJ71" s="54"/>
      <x:c r="AK71" s="54"/>
      <x:c r="AL71" s="54"/>
      <x:c r="AM71" s="54"/>
      <x:c r="AN71" s="54"/>
      <x:c r="AO71" s="54"/>
      <x:c r="AP71" s="54"/>
      <x:c r="AQ71" s="54"/>
      <x:c r="AR71" s="54"/>
      <x:c r="AS71" s="54"/>
      <x:c r="AT71" s="54"/>
      <x:c r="AU71" s="54"/>
      <x:c r="AV71" s="54"/>
      <x:c r="AW71" s="54"/>
    </x:row>
    <x:row r="72">
      <x:c r="A72" s="54"/>
      <x:c r="B72" s="54"/>
      <x:c r="C72" s="54"/>
      <x:c r="D72" s="54"/>
      <x:c r="E72" s="54"/>
      <x:c r="F72" s="54"/>
      <x:c r="G72" s="54"/>
      <x:c r="H72" s="54"/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  <x:c r="AA72" s="54"/>
      <x:c r="AB72" s="54"/>
      <x:c r="AC72" s="54"/>
      <x:c r="AD72" s="54"/>
      <x:c r="AE72" s="54"/>
      <x:c r="AF72" s="54"/>
      <x:c r="AG72" s="54"/>
      <x:c r="AH72" s="54"/>
      <x:c r="AI72" s="54"/>
      <x:c r="AJ72" s="54"/>
      <x:c r="AK72" s="54"/>
      <x:c r="AL72" s="54"/>
      <x:c r="AM72" s="54"/>
      <x:c r="AN72" s="54"/>
      <x:c r="AO72" s="54"/>
      <x:c r="AP72" s="54"/>
      <x:c r="AQ72" s="54"/>
      <x:c r="AR72" s="54"/>
      <x:c r="AS72" s="54"/>
      <x:c r="AT72" s="54"/>
      <x:c r="AU72" s="54"/>
      <x:c r="AV72" s="54"/>
      <x:c r="AW72" s="54"/>
    </x:row>
    <x:row r="73">
      <x:c r="A73" s="54"/>
      <x:c r="B73" s="54"/>
      <x:c r="C73" s="54"/>
      <x:c r="D73" s="54"/>
      <x:c r="E73" s="54"/>
      <x:c r="F73" s="54"/>
      <x:c r="G73" s="54"/>
      <x:c r="H73" s="54"/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  <x:c r="AA73" s="54"/>
      <x:c r="AB73" s="54"/>
      <x:c r="AC73" s="54"/>
      <x:c r="AD73" s="54"/>
      <x:c r="AE73" s="54"/>
      <x:c r="AF73" s="54"/>
      <x:c r="AG73" s="54"/>
      <x:c r="AH73" s="54"/>
      <x:c r="AI73" s="54"/>
      <x:c r="AJ73" s="54"/>
      <x:c r="AK73" s="54"/>
      <x:c r="AL73" s="54"/>
      <x:c r="AM73" s="54"/>
      <x:c r="AN73" s="54"/>
      <x:c r="AO73" s="54"/>
      <x:c r="AP73" s="54"/>
      <x:c r="AQ73" s="54"/>
      <x:c r="AR73" s="54"/>
      <x:c r="AS73" s="54"/>
      <x:c r="AT73" s="54"/>
      <x:c r="AU73" s="54"/>
      <x:c r="AV73" s="54"/>
      <x:c r="AW73" s="54"/>
    </x:row>
    <x:row r="74">
      <x:c r="A74" s="54"/>
      <x:c r="B74" s="54"/>
      <x:c r="C74" s="54"/>
      <x:c r="D74" s="54"/>
      <x:c r="E74" s="54"/>
      <x:c r="F74" s="54"/>
      <x:c r="G74" s="54"/>
      <x:c r="H74" s="54"/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  <x:c r="AA74" s="54"/>
      <x:c r="AB74" s="54"/>
      <x:c r="AC74" s="54"/>
      <x:c r="AD74" s="54"/>
      <x:c r="AE74" s="54"/>
      <x:c r="AF74" s="54"/>
      <x:c r="AG74" s="54"/>
      <x:c r="AH74" s="54"/>
      <x:c r="AI74" s="54"/>
      <x:c r="AJ74" s="54"/>
      <x:c r="AK74" s="54"/>
      <x:c r="AL74" s="54"/>
      <x:c r="AM74" s="54"/>
      <x:c r="AN74" s="54"/>
      <x:c r="AO74" s="54"/>
      <x:c r="AP74" s="54"/>
      <x:c r="AQ74" s="54"/>
      <x:c r="AR74" s="54"/>
      <x:c r="AS74" s="54"/>
      <x:c r="AT74" s="54"/>
      <x:c r="AU74" s="54"/>
      <x:c r="AV74" s="54"/>
      <x:c r="AW74" s="54"/>
    </x:row>
    <x:row r="75">
      <x:c r="A75" s="55" t="str">
        <x:v>Deck 2 — Pure raw fixed-opportunity difficulty (-LN P)</x:v>
      </x:c>
      <x:c r="B75" s="55" t="str"/>
      <x:c r="C75" s="55" t="str"/>
      <x:c r="D75" s="55" t="str"/>
      <x:c r="E75" s="55" t="str"/>
      <x:c r="F75" s="54"/>
      <x:c r="G75" s="54"/>
      <x:c r="H75" s="54"/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  <x:c r="AA75" s="54"/>
      <x:c r="AB75" s="54"/>
      <x:c r="AC75" s="54"/>
      <x:c r="AD75" s="54"/>
      <x:c r="AE75" s="54"/>
      <x:c r="AF75" s="54"/>
      <x:c r="AG75" s="54"/>
      <x:c r="AH75" s="54"/>
      <x:c r="AI75" s="54"/>
      <x:c r="AJ75" s="54"/>
      <x:c r="AK75" s="54"/>
      <x:c r="AL75" s="54"/>
      <x:c r="AM75" s="54"/>
      <x:c r="AN75" s="54"/>
      <x:c r="AO75" s="54"/>
      <x:c r="AP75" s="54"/>
      <x:c r="AQ75" s="54"/>
      <x:c r="AR75" s="54"/>
      <x:c r="AS75" s="54"/>
      <x:c r="AT75" s="54"/>
      <x:c r="AU75" s="54"/>
      <x:c r="AV75" s="54"/>
      <x:c r="AW75" s="54"/>
    </x:row>
    <x:row r="76">
      <x:c r="A76" s="65" t="str">
        <x:v>Size</x:v>
      </x:c>
      <x:c r="B76" s="65" t="str">
        <x:v>Conjuration</x:v>
      </x:c>
      <x:c r="C76" s="65" t="str">
        <x:v>Transfiguration</x:v>
      </x:c>
      <x:c r="D76" s="65" t="str">
        <x:v>Perfect Transmutation</x:v>
      </x:c>
      <x:c r="E76" s="65" t="str">
        <x:v>Enchantment</x:v>
      </x:c>
      <x:c r="F76" s="54"/>
      <x:c r="G76" s="54"/>
      <x:c r="H76" s="54"/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  <x:c r="AA76" s="54"/>
      <x:c r="AB76" s="54"/>
      <x:c r="AC76" s="54"/>
      <x:c r="AD76" s="54"/>
      <x:c r="AE76" s="54"/>
      <x:c r="AF76" s="54"/>
      <x:c r="AG76" s="54"/>
      <x:c r="AH76" s="54"/>
      <x:c r="AI76" s="54"/>
      <x:c r="AJ76" s="54"/>
      <x:c r="AK76" s="54"/>
      <x:c r="AL76" s="54"/>
      <x:c r="AM76" s="54"/>
      <x:c r="AN76" s="54"/>
      <x:c r="AO76" s="54"/>
      <x:c r="AP76" s="54"/>
      <x:c r="AQ76" s="54"/>
      <x:c r="AR76" s="54"/>
      <x:c r="AS76" s="54"/>
      <x:c r="AT76" s="54"/>
      <x:c r="AU76" s="54"/>
      <x:c r="AV76" s="54"/>
      <x:c r="AW76" s="54"/>
    </x:row>
    <x:row r="77">
      <x:c r="A77" s="66" t="n">
        <x:v>3</x:v>
      </x:c>
      <x:c r="B77" s="67" t="n">
        <x:v>2.2002878031015974e-7</x:v>
      </x:c>
      <x:c r="C77" s="67" t="n">
        <x:v>0.00001756434617245252</x:v>
      </x:c>
      <x:c r="D77" s="67" t="n">
        <x:v>1.0365812076868104</x:v>
      </x:c>
      <x:c r="E77" s="67" t="n">
        <x:v>0.4524792578072436</x:v>
      </x:c>
      <x:c r="F77" s="54"/>
      <x:c r="G77" s="54"/>
      <x:c r="H77" s="54"/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  <x:c r="AA77" s="54"/>
      <x:c r="AB77" s="54"/>
      <x:c r="AC77" s="54"/>
      <x:c r="AD77" s="54"/>
      <x:c r="AE77" s="54"/>
      <x:c r="AF77" s="54"/>
      <x:c r="AG77" s="54"/>
      <x:c r="AH77" s="54"/>
      <x:c r="AI77" s="54"/>
      <x:c r="AJ77" s="54"/>
      <x:c r="AK77" s="54"/>
      <x:c r="AL77" s="54"/>
      <x:c r="AM77" s="54"/>
      <x:c r="AN77" s="54"/>
      <x:c r="AO77" s="54"/>
      <x:c r="AP77" s="54"/>
      <x:c r="AQ77" s="54"/>
      <x:c r="AR77" s="54"/>
      <x:c r="AS77" s="54"/>
      <x:c r="AT77" s="54"/>
      <x:c r="AU77" s="54"/>
      <x:c r="AV77" s="54"/>
      <x:c r="AW77" s="54"/>
    </x:row>
    <x:row r="78">
      <x:c r="A78" s="66" t="n">
        <x:v>4</x:v>
      </x:c>
      <x:c r="B78" s="67" t="n">
        <x:v>0.00046918227783473033</x:v>
      </x:c>
      <x:c r="C78" s="67" t="n">
        <x:v>0.00021982111423857285</x:v>
      </x:c>
      <x:c r="D78" s="67" t="n">
        <x:v>2.7308727162330997</x:v>
      </x:c>
      <x:c r="E78" s="67" t="n">
        <x:v>2.516045566102439</x:v>
      </x:c>
      <x:c r="F78" s="54"/>
      <x:c r="G78" s="54"/>
      <x:c r="H78" s="54"/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  <x:c r="AA78" s="54"/>
      <x:c r="AB78" s="54"/>
      <x:c r="AC78" s="54"/>
      <x:c r="AD78" s="54"/>
      <x:c r="AE78" s="54"/>
      <x:c r="AF78" s="54"/>
      <x:c r="AG78" s="54"/>
      <x:c r="AH78" s="54"/>
      <x:c r="AI78" s="54"/>
      <x:c r="AJ78" s="54"/>
      <x:c r="AK78" s="54"/>
      <x:c r="AL78" s="54"/>
      <x:c r="AM78" s="54"/>
      <x:c r="AN78" s="54"/>
      <x:c r="AO78" s="54"/>
      <x:c r="AP78" s="54"/>
      <x:c r="AQ78" s="54"/>
      <x:c r="AR78" s="54"/>
      <x:c r="AS78" s="54"/>
      <x:c r="AT78" s="54"/>
      <x:c r="AU78" s="54"/>
      <x:c r="AV78" s="54"/>
      <x:c r="AW78" s="54"/>
    </x:row>
    <x:row r="79">
      <x:c r="A79" s="66" t="n">
        <x:v>5</x:v>
      </x:c>
      <x:c r="B79" s="67" t="n">
        <x:v>0.0761808687207781</x:v>
      </x:c>
      <x:c r="C79" s="67" t="n">
        <x:v>0.0025295372626708825</x:v>
      </x:c>
      <x:c r="D79" s="67" t="n">
        <x:v>4.653947618970088</x:v>
      </x:c>
      <x:c r="E79" s="67" t="n">
        <x:v>5.949754290098155</x:v>
      </x:c>
      <x:c r="F79" s="54"/>
      <x:c r="G79" s="54"/>
      <x:c r="H79" s="54"/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  <x:c r="AA79" s="54"/>
      <x:c r="AB79" s="54"/>
      <x:c r="AC79" s="54"/>
      <x:c r="AD79" s="54"/>
      <x:c r="AE79" s="54"/>
      <x:c r="AF79" s="54"/>
      <x:c r="AG79" s="54"/>
      <x:c r="AH79" s="54"/>
      <x:c r="AI79" s="54"/>
      <x:c r="AJ79" s="54"/>
      <x:c r="AK79" s="54"/>
      <x:c r="AL79" s="54"/>
      <x:c r="AM79" s="54"/>
      <x:c r="AN79" s="54"/>
      <x:c r="AO79" s="54"/>
      <x:c r="AP79" s="54"/>
      <x:c r="AQ79" s="54"/>
      <x:c r="AR79" s="54"/>
      <x:c r="AS79" s="54"/>
      <x:c r="AT79" s="54"/>
      <x:c r="AU79" s="54"/>
      <x:c r="AV79" s="54"/>
      <x:c r="AW79" s="54"/>
    </x:row>
    <x:row r="80">
      <x:c r="A80" s="66" t="n">
        <x:v>6</x:v>
      </x:c>
      <x:c r="B80" s="67" t="n">
        <x:v>0.7697208558913408</x:v>
      </x:c>
      <x:c r="C80" s="67" t="n">
        <x:v>0.020787998417182398</x:v>
      </x:c>
      <x:c r="D80" s="67" t="n">
        <x:v>6.691008313323787</x:v>
      </x:c>
      <x:c r="E80" s="67"/>
      <x:c r="F80" s="54"/>
      <x:c r="G80" s="54"/>
      <x:c r="H80" s="54"/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  <x:c r="AA80" s="54"/>
      <x:c r="AB80" s="54"/>
      <x:c r="AC80" s="54"/>
      <x:c r="AD80" s="54"/>
      <x:c r="AE80" s="54"/>
      <x:c r="AF80" s="54"/>
      <x:c r="AG80" s="54"/>
      <x:c r="AH80" s="54"/>
      <x:c r="AI80" s="54"/>
      <x:c r="AJ80" s="54"/>
      <x:c r="AK80" s="54"/>
      <x:c r="AL80" s="54"/>
      <x:c r="AM80" s="54"/>
      <x:c r="AN80" s="54"/>
      <x:c r="AO80" s="54"/>
      <x:c r="AP80" s="54"/>
      <x:c r="AQ80" s="54"/>
      <x:c r="AR80" s="54"/>
      <x:c r="AS80" s="54"/>
      <x:c r="AT80" s="54"/>
      <x:c r="AU80" s="54"/>
      <x:c r="AV80" s="54"/>
      <x:c r="AW80" s="54"/>
    </x:row>
    <x:row r="81">
      <x:c r="A81" s="66" t="n">
        <x:v>7</x:v>
      </x:c>
      <x:c r="B81" s="67" t="n">
        <x:v>2.3120506705958523</x:v>
      </x:c>
      <x:c r="C81" s="67" t="n">
        <x:v>0.10794783736950327</x:v>
      </x:c>
      <x:c r="D81" s="67" t="n">
        <x:v>8.832702365899145</x:v>
      </x:c>
      <x:c r="E81" s="67"/>
      <x:c r="F81" s="54"/>
      <x:c r="G81" s="54"/>
      <x:c r="H81" s="54"/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  <x:c r="AA81" s="54"/>
      <x:c r="AB81" s="54"/>
      <x:c r="AC81" s="54"/>
      <x:c r="AD81" s="54"/>
      <x:c r="AE81" s="54"/>
      <x:c r="AF81" s="54"/>
      <x:c r="AG81" s="54"/>
      <x:c r="AH81" s="54"/>
      <x:c r="AI81" s="54"/>
      <x:c r="AJ81" s="54"/>
      <x:c r="AK81" s="54"/>
      <x:c r="AL81" s="54"/>
      <x:c r="AM81" s="54"/>
      <x:c r="AN81" s="54"/>
      <x:c r="AO81" s="54"/>
      <x:c r="AP81" s="54"/>
      <x:c r="AQ81" s="54"/>
      <x:c r="AR81" s="54"/>
      <x:c r="AS81" s="54"/>
      <x:c r="AT81" s="54"/>
      <x:c r="AU81" s="54"/>
      <x:c r="AV81" s="54"/>
      <x:c r="AW81" s="54"/>
    </x:row>
    <x:row r="82">
      <x:c r="A82" s="66" t="n">
        <x:v>8</x:v>
      </x:c>
      <x:c r="B82" s="67" t="n">
        <x:v>4.406542900133957</x:v>
      </x:c>
      <x:c r="C82" s="67" t="n">
        <x:v>0.3618741581361553</x:v>
      </x:c>
      <x:c r="D82" s="67" t="n">
        <x:v>11.090486247320404</x:v>
      </x:c>
      <x:c r="E82" s="67"/>
      <x:c r="F82" s="54"/>
      <x:c r="G82" s="54"/>
      <x:c r="H82" s="54"/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  <x:c r="AA82" s="54"/>
      <x:c r="AB82" s="54"/>
      <x:c r="AC82" s="54"/>
      <x:c r="AD82" s="54"/>
      <x:c r="AE82" s="54"/>
      <x:c r="AF82" s="54"/>
      <x:c r="AG82" s="54"/>
      <x:c r="AH82" s="54"/>
      <x:c r="AI82" s="54"/>
      <x:c r="AJ82" s="54"/>
      <x:c r="AK82" s="54"/>
      <x:c r="AL82" s="54"/>
      <x:c r="AM82" s="54"/>
      <x:c r="AN82" s="54"/>
      <x:c r="AO82" s="54"/>
      <x:c r="AP82" s="54"/>
      <x:c r="AQ82" s="54"/>
      <x:c r="AR82" s="54"/>
      <x:c r="AS82" s="54"/>
      <x:c r="AT82" s="54"/>
      <x:c r="AU82" s="54"/>
      <x:c r="AV82" s="54"/>
      <x:c r="AW82" s="54"/>
    </x:row>
    <x:row r="83">
      <x:c r="A83" s="66" t="n">
        <x:v>9</x:v>
      </x:c>
      <x:c r="B83" s="67" t="n">
        <x:v>6.911008522273202</x:v>
      </x:c>
      <x:c r="C83" s="67" t="n">
        <x:v>0.8673643983507837</x:v>
      </x:c>
      <x:c r="D83" s="67" t="n">
        <x:v>13.482793179193358</x:v>
      </x:c>
      <x:c r="E83" s="67"/>
      <x:c r="F83" s="54"/>
      <x:c r="G83" s="54"/>
      <x:c r="H83" s="54"/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  <x:c r="AA83" s="54"/>
      <x:c r="AB83" s="54"/>
      <x:c r="AC83" s="54"/>
      <x:c r="AD83" s="54"/>
      <x:c r="AE83" s="54"/>
      <x:c r="AF83" s="54"/>
      <x:c r="AG83" s="54"/>
      <x:c r="AH83" s="54"/>
      <x:c r="AI83" s="54"/>
      <x:c r="AJ83" s="54"/>
      <x:c r="AK83" s="54"/>
      <x:c r="AL83" s="54"/>
      <x:c r="AM83" s="54"/>
      <x:c r="AN83" s="54"/>
      <x:c r="AO83" s="54"/>
      <x:c r="AP83" s="54"/>
      <x:c r="AQ83" s="54"/>
      <x:c r="AR83" s="54"/>
      <x:c r="AS83" s="54"/>
      <x:c r="AT83" s="54"/>
      <x:c r="AU83" s="54"/>
      <x:c r="AV83" s="54"/>
      <x:c r="AW83" s="54"/>
    </x:row>
    <x:row r="84">
      <x:c r="A84" s="66" t="n">
        <x:v>10</x:v>
      </x:c>
      <x:c r="B84" s="67" t="n">
        <x:v>9.819258033290108</x:v>
      </x:c>
      <x:c r="C84" s="67" t="n">
        <x:v>1.6541553856574103</x:v>
      </x:c>
      <x:c r="D84" s="67" t="n">
        <x:v>16.034838434465357</x:v>
      </x:c>
      <x:c r="E84" s="67"/>
      <x:c r="F84" s="54"/>
      <x:c r="G84" s="54"/>
      <x:c r="H84" s="54"/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  <x:c r="AA84" s="54"/>
      <x:c r="AB84" s="54"/>
      <x:c r="AC84" s="54"/>
      <x:c r="AD84" s="54"/>
      <x:c r="AE84" s="54"/>
      <x:c r="AF84" s="54"/>
      <x:c r="AG84" s="54"/>
      <x:c r="AH84" s="54"/>
      <x:c r="AI84" s="54"/>
      <x:c r="AJ84" s="54"/>
      <x:c r="AK84" s="54"/>
      <x:c r="AL84" s="54"/>
      <x:c r="AM84" s="54"/>
      <x:c r="AN84" s="54"/>
      <x:c r="AO84" s="54"/>
      <x:c r="AP84" s="54"/>
      <x:c r="AQ84" s="54"/>
      <x:c r="AR84" s="54"/>
      <x:c r="AS84" s="54"/>
      <x:c r="AT84" s="54"/>
      <x:c r="AU84" s="54"/>
      <x:c r="AV84" s="54"/>
      <x:c r="AW84" s="54"/>
    </x:row>
    <x:row r="85">
      <x:c r="A85" s="66" t="n">
        <x:v>11</x:v>
      </x:c>
      <x:c r="B85" s="67" t="n">
        <x:v>13.172638504521592</x:v>
      </x:c>
      <x:c r="C85" s="67" t="n">
        <x:v>2.721554960128284</x:v>
      </x:c>
      <x:c r="D85" s="67" t="n">
        <x:v>18.782109348720848</x:v>
      </x:c>
      <x:c r="E85" s="67"/>
      <x:c r="F85" s="54"/>
      <x:c r="G85" s="54"/>
      <x:c r="H85" s="54"/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  <x:c r="AA85" s="54"/>
      <x:c r="AB85" s="54"/>
      <x:c r="AC85" s="54"/>
      <x:c r="AD85" s="54"/>
      <x:c r="AE85" s="54"/>
      <x:c r="AF85" s="54"/>
      <x:c r="AG85" s="54"/>
      <x:c r="AH85" s="54"/>
      <x:c r="AI85" s="54"/>
      <x:c r="AJ85" s="54"/>
      <x:c r="AK85" s="54"/>
      <x:c r="AL85" s="54"/>
      <x:c r="AM85" s="54"/>
      <x:c r="AN85" s="54"/>
      <x:c r="AO85" s="54"/>
      <x:c r="AP85" s="54"/>
      <x:c r="AQ85" s="54"/>
      <x:c r="AR85" s="54"/>
      <x:c r="AS85" s="54"/>
      <x:c r="AT85" s="54"/>
      <x:c r="AU85" s="54"/>
      <x:c r="AV85" s="54"/>
      <x:c r="AW85" s="54"/>
    </x:row>
    <x:row r="86">
      <x:c r="A86" s="66" t="n">
        <x:v>12</x:v>
      </x:c>
      <x:c r="B86" s="67" t="n">
        <x:v>17.04383856444378</x:v>
      </x:c>
      <x:c r="C86" s="67" t="n">
        <x:v>4.082516930004016</x:v>
      </x:c>
      <x:c r="D86" s="67" t="n">
        <x:v>21.77784162227484</x:v>
      </x:c>
      <x:c r="E86" s="67"/>
      <x:c r="F86" s="54"/>
      <x:c r="G86" s="54"/>
      <x:c r="H86" s="54"/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  <x:c r="AA86" s="54"/>
      <x:c r="AB86" s="54"/>
      <x:c r="AC86" s="54"/>
      <x:c r="AD86" s="54"/>
      <x:c r="AE86" s="54"/>
      <x:c r="AF86" s="54"/>
      <x:c r="AG86" s="54"/>
      <x:c r="AH86" s="54"/>
      <x:c r="AI86" s="54"/>
      <x:c r="AJ86" s="54"/>
      <x:c r="AK86" s="54"/>
      <x:c r="AL86" s="54"/>
      <x:c r="AM86" s="54"/>
      <x:c r="AN86" s="54"/>
      <x:c r="AO86" s="54"/>
      <x:c r="AP86" s="54"/>
      <x:c r="AQ86" s="54"/>
      <x:c r="AR86" s="54"/>
      <x:c r="AS86" s="54"/>
      <x:c r="AT86" s="54"/>
      <x:c r="AU86" s="54"/>
      <x:c r="AV86" s="54"/>
      <x:c r="AW86" s="54"/>
    </x:row>
    <x:row r="87">
      <x:c r="A87" s="66" t="n">
        <x:v>13</x:v>
      </x:c>
      <x:c r="B87" s="67" t="n">
        <x:v>21.55469807096063</x:v>
      </x:c>
      <x:c r="C87" s="67" t="n">
        <x:v>5.798309441470191</x:v>
      </x:c>
      <x:c r="D87" s="67" t="n">
        <x:v>25.110046132450044</x:v>
      </x:c>
      <x:c r="E87" s="67"/>
      <x:c r="F87" s="54"/>
      <x:c r="G87" s="54"/>
      <x:c r="H87" s="54"/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  <x:c r="AA87" s="54"/>
      <x:c r="AB87" s="54"/>
      <x:c r="AC87" s="54"/>
      <x:c r="AD87" s="54"/>
      <x:c r="AE87" s="54"/>
      <x:c r="AF87" s="54"/>
      <x:c r="AG87" s="54"/>
      <x:c r="AH87" s="54"/>
      <x:c r="AI87" s="54"/>
      <x:c r="AJ87" s="54"/>
      <x:c r="AK87" s="54"/>
      <x:c r="AL87" s="54"/>
      <x:c r="AM87" s="54"/>
      <x:c r="AN87" s="54"/>
      <x:c r="AO87" s="54"/>
      <x:c r="AP87" s="54"/>
      <x:c r="AQ87" s="54"/>
      <x:c r="AR87" s="54"/>
      <x:c r="AS87" s="54"/>
      <x:c r="AT87" s="54"/>
      <x:c r="AU87" s="54"/>
      <x:c r="AV87" s="54"/>
      <x:c r="AW87" s="54"/>
    </x:row>
    <x:row r="88">
      <x:c r="A88" s="66" t="n">
        <x:v>14</x:v>
      </x:c>
      <x:c r="B88" s="67" t="n">
        <x:v>26.93459542450109</x:v>
      </x:c>
      <x:c r="C88" s="67" t="n">
        <x:v>8.026968873859985</x:v>
      </x:c>
      <x:c r="D88" s="67" t="n">
        <x:v>28.949498445043353</x:v>
      </x:c>
      <x:c r="E88" s="67"/>
      <x:c r="F88" s="54"/>
      <x:c r="G88" s="54"/>
      <x:c r="H88" s="54"/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  <x:c r="AA88" s="54"/>
      <x:c r="AB88" s="54"/>
      <x:c r="AC88" s="54"/>
      <x:c r="AD88" s="54"/>
      <x:c r="AE88" s="54"/>
      <x:c r="AF88" s="54"/>
      <x:c r="AG88" s="54"/>
      <x:c r="AH88" s="54"/>
      <x:c r="AI88" s="54"/>
      <x:c r="AJ88" s="54"/>
      <x:c r="AK88" s="54"/>
      <x:c r="AL88" s="54"/>
      <x:c r="AM88" s="54"/>
      <x:c r="AN88" s="54"/>
      <x:c r="AO88" s="54"/>
      <x:c r="AP88" s="54"/>
      <x:c r="AQ88" s="54"/>
      <x:c r="AR88" s="54"/>
      <x:c r="AS88" s="54"/>
      <x:c r="AT88" s="54"/>
      <x:c r="AU88" s="54"/>
      <x:c r="AV88" s="54"/>
      <x:c r="AW88" s="54"/>
    </x:row>
    <x:row r="89">
      <x:c r="A89" s="66" t="n">
        <x:v>15</x:v>
      </x:c>
      <x:c r="B89" s="67" t="n">
        <x:v>33.753519489776615</x:v>
      </x:c>
      <x:c r="C89" s="67" t="n">
        <x:v>11.221395408107893</x:v>
      </x:c>
      <x:c r="D89" s="67" t="n">
        <x:v>33.753519489776615</x:v>
      </x:c>
      <x:c r="E89" s="67"/>
      <x:c r="F89" s="54"/>
      <x:c r="G89" s="54"/>
      <x:c r="H89" s="54"/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  <x:c r="AA89" s="54"/>
      <x:c r="AB89" s="54"/>
      <x:c r="AC89" s="54"/>
      <x:c r="AD89" s="54"/>
      <x:c r="AE89" s="54"/>
      <x:c r="AF89" s="54"/>
      <x:c r="AG89" s="54"/>
      <x:c r="AH89" s="54"/>
      <x:c r="AI89" s="54"/>
      <x:c r="AJ89" s="54"/>
      <x:c r="AK89" s="54"/>
      <x:c r="AL89" s="54"/>
      <x:c r="AM89" s="54"/>
      <x:c r="AN89" s="54"/>
      <x:c r="AO89" s="54"/>
      <x:c r="AP89" s="54"/>
      <x:c r="AQ89" s="54"/>
      <x:c r="AR89" s="54"/>
      <x:c r="AS89" s="54"/>
      <x:c r="AT89" s="54"/>
      <x:c r="AU89" s="54"/>
      <x:c r="AV89" s="54"/>
      <x:c r="AW89" s="54"/>
    </x:row>
    <x:row r="90">
      <x:c r="A90" s="54"/>
      <x:c r="B90" s="54"/>
      <x:c r="C90" s="54"/>
      <x:c r="D90" s="54"/>
      <x:c r="E90" s="54"/>
      <x:c r="F90" s="54"/>
      <x:c r="G90" s="54"/>
      <x:c r="H90" s="54"/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  <x:c r="AA90" s="54"/>
      <x:c r="AB90" s="54"/>
      <x:c r="AC90" s="54"/>
      <x:c r="AD90" s="54"/>
      <x:c r="AE90" s="54"/>
      <x:c r="AF90" s="54"/>
      <x:c r="AG90" s="54"/>
      <x:c r="AH90" s="54"/>
      <x:c r="AI90" s="54"/>
      <x:c r="AJ90" s="54"/>
      <x:c r="AK90" s="54"/>
      <x:c r="AL90" s="54"/>
      <x:c r="AM90" s="54"/>
      <x:c r="AN90" s="54"/>
      <x:c r="AO90" s="54"/>
      <x:c r="AP90" s="54"/>
      <x:c r="AQ90" s="54"/>
      <x:c r="AR90" s="54"/>
      <x:c r="AS90" s="54"/>
      <x:c r="AT90" s="54"/>
      <x:c r="AU90" s="54"/>
      <x:c r="AV90" s="54"/>
      <x:c r="AW90" s="54"/>
    </x:row>
    <x:row r="91">
      <x:c r="A91" s="54"/>
      <x:c r="B91" s="54"/>
      <x:c r="C91" s="54"/>
      <x:c r="D91" s="54"/>
      <x:c r="E91" s="54"/>
      <x:c r="F91" s="54"/>
      <x:c r="G91" s="54"/>
      <x:c r="H91" s="54"/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  <x:c r="AA91" s="54"/>
      <x:c r="AB91" s="54"/>
      <x:c r="AC91" s="54"/>
      <x:c r="AD91" s="54"/>
      <x:c r="AE91" s="54"/>
      <x:c r="AF91" s="54"/>
      <x:c r="AG91" s="54"/>
      <x:c r="AH91" s="54"/>
      <x:c r="AI91" s="54"/>
      <x:c r="AJ91" s="54"/>
      <x:c r="AK91" s="54"/>
      <x:c r="AL91" s="54"/>
      <x:c r="AM91" s="54"/>
      <x:c r="AN91" s="54"/>
      <x:c r="AO91" s="54"/>
      <x:c r="AP91" s="54"/>
      <x:c r="AQ91" s="54"/>
      <x:c r="AR91" s="54"/>
      <x:c r="AS91" s="54"/>
      <x:c r="AT91" s="54"/>
      <x:c r="AU91" s="54"/>
      <x:c r="AV91" s="54"/>
      <x:c r="AW91" s="54"/>
    </x:row>
    <x:row r="92">
      <x:c r="A92" s="55" t="str">
        <x:v>Deck 2 — Pure marginal-build difficulty (-LN P)</x:v>
      </x:c>
      <x:c r="B92" s="55" t="str"/>
      <x:c r="C92" s="55" t="str"/>
      <x:c r="D92" s="55" t="str"/>
      <x:c r="E92" s="55" t="str"/>
      <x:c r="F92" s="54"/>
      <x:c r="G92" s="54"/>
      <x:c r="H92" s="54"/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  <x:c r="AA92" s="54"/>
      <x:c r="AB92" s="54"/>
      <x:c r="AC92" s="54"/>
      <x:c r="AD92" s="54"/>
      <x:c r="AE92" s="54"/>
      <x:c r="AF92" s="54"/>
      <x:c r="AG92" s="54"/>
      <x:c r="AH92" s="54"/>
      <x:c r="AI92" s="54"/>
      <x:c r="AJ92" s="54"/>
      <x:c r="AK92" s="54"/>
      <x:c r="AL92" s="54"/>
      <x:c r="AM92" s="54"/>
      <x:c r="AN92" s="54"/>
      <x:c r="AO92" s="54"/>
      <x:c r="AP92" s="54"/>
      <x:c r="AQ92" s="54"/>
      <x:c r="AR92" s="54"/>
      <x:c r="AS92" s="54"/>
      <x:c r="AT92" s="54"/>
      <x:c r="AU92" s="54"/>
      <x:c r="AV92" s="54"/>
      <x:c r="AW92" s="54"/>
    </x:row>
    <x:row r="93">
      <x:c r="A93" s="65" t="str">
        <x:v>Size</x:v>
      </x:c>
      <x:c r="B93" s="65" t="str">
        <x:v>Conjuration</x:v>
      </x:c>
      <x:c r="C93" s="65" t="str">
        <x:v>Transfiguration</x:v>
      </x:c>
      <x:c r="D93" s="65" t="str">
        <x:v>Perfect Transmutation</x:v>
      </x:c>
      <x:c r="E93" s="65" t="str">
        <x:v>Enchantment</x:v>
      </x:c>
      <x:c r="F93" s="54"/>
      <x:c r="G93" s="54"/>
      <x:c r="H93" s="54"/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  <x:c r="AA93" s="54"/>
      <x:c r="AB93" s="54"/>
      <x:c r="AC93" s="54"/>
      <x:c r="AD93" s="54"/>
      <x:c r="AE93" s="54"/>
      <x:c r="AF93" s="54"/>
      <x:c r="AG93" s="54"/>
      <x:c r="AH93" s="54"/>
      <x:c r="AI93" s="54"/>
      <x:c r="AJ93" s="54"/>
      <x:c r="AK93" s="54"/>
      <x:c r="AL93" s="54"/>
      <x:c r="AM93" s="54"/>
      <x:c r="AN93" s="54"/>
      <x:c r="AO93" s="54"/>
      <x:c r="AP93" s="54"/>
      <x:c r="AQ93" s="54"/>
      <x:c r="AR93" s="54"/>
      <x:c r="AS93" s="54"/>
      <x:c r="AT93" s="54"/>
      <x:c r="AU93" s="54"/>
      <x:c r="AV93" s="54"/>
      <x:c r="AW93" s="54"/>
    </x:row>
    <x:row r="94">
      <x:c r="A94" s="66" t="n">
        <x:v>3</x:v>
      </x:c>
      <x:c r="B94" s="67" t="n">
        <x:v>2.2002878031015974e-7</x:v>
      </x:c>
      <x:c r="C94" s="67" t="n">
        <x:v>0.00001756434617245252</x:v>
      </x:c>
      <x:c r="D94" s="67" t="n">
        <x:v>1.0365812076868104</x:v>
      </x:c>
      <x:c r="E94" s="67" t="n">
        <x:v>0.4524792578072436</x:v>
      </x:c>
      <x:c r="F94" s="54"/>
      <x:c r="G94" s="54"/>
      <x:c r="H94" s="54"/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  <x:c r="AA94" s="54"/>
      <x:c r="AB94" s="54"/>
      <x:c r="AC94" s="54"/>
      <x:c r="AD94" s="54"/>
      <x:c r="AE94" s="54"/>
      <x:c r="AF94" s="54"/>
      <x:c r="AG94" s="54"/>
      <x:c r="AH94" s="54"/>
      <x:c r="AI94" s="54"/>
      <x:c r="AJ94" s="54"/>
      <x:c r="AK94" s="54"/>
      <x:c r="AL94" s="54"/>
      <x:c r="AM94" s="54"/>
      <x:c r="AN94" s="54"/>
      <x:c r="AO94" s="54"/>
      <x:c r="AP94" s="54"/>
      <x:c r="AQ94" s="54"/>
      <x:c r="AR94" s="54"/>
      <x:c r="AS94" s="54"/>
      <x:c r="AT94" s="54"/>
      <x:c r="AU94" s="54"/>
      <x:c r="AV94" s="54"/>
      <x:c r="AW94" s="54"/>
    </x:row>
    <x:row r="95">
      <x:c r="A95" s="66" t="n">
        <x:v>4</x:v>
      </x:c>
      <x:c r="B95" s="67" t="n">
        <x:v>1.7917596892568353</x:v>
      </x:c>
      <x:c r="C95" s="67" t="n">
        <x:v>2.0541412980417184</x:v>
      </x:c>
      <x:c r="D95" s="67" t="n">
        <x:v>4.700142853816457</x:v>
      </x:c>
      <x:c r="E95" s="67" t="n">
        <x:v>4.035998196263353</x:v>
      </x:c>
      <x:c r="F95" s="54"/>
      <x:c r="G95" s="54"/>
      <x:c r="H95" s="54"/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  <x:c r="AA95" s="54"/>
      <x:c r="AB95" s="54"/>
      <x:c r="AC95" s="54"/>
      <x:c r="AD95" s="54"/>
      <x:c r="AE95" s="54"/>
      <x:c r="AF95" s="54"/>
      <x:c r="AG95" s="54"/>
      <x:c r="AH95" s="54"/>
      <x:c r="AI95" s="54"/>
      <x:c r="AJ95" s="54"/>
      <x:c r="AK95" s="54"/>
      <x:c r="AL95" s="54"/>
      <x:c r="AM95" s="54"/>
      <x:c r="AN95" s="54"/>
      <x:c r="AO95" s="54"/>
      <x:c r="AP95" s="54"/>
      <x:c r="AQ95" s="54"/>
      <x:c r="AR95" s="54"/>
      <x:c r="AS95" s="54"/>
      <x:c r="AT95" s="54"/>
      <x:c r="AU95" s="54"/>
      <x:c r="AV95" s="54"/>
      <x:c r="AW95" s="54"/>
    </x:row>
    <x:row r="96">
      <x:c r="A96" s="66" t="n">
        <x:v>5</x:v>
      </x:c>
      <x:c r="B96" s="67" t="n">
        <x:v>3.6565442934997803</x:v>
      </x:c>
      <x:c r="C96" s="67" t="n">
        <x:v>4.101247459078618</x:v>
      </x:c>
      <x:c r="D96" s="67" t="n">
        <x:v>8.356686927287457</x:v>
      </x:c>
      <x:c r="E96" s="67" t="n">
        <x:v>8.29867807330467</x:v>
      </x:c>
      <x:c r="F96" s="54"/>
      <x:c r="G96" s="54"/>
      <x:c r="H96" s="54"/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  <x:c r="AA96" s="54"/>
      <x:c r="AB96" s="54"/>
      <x:c r="AC96" s="54"/>
      <x:c r="AD96" s="54"/>
      <x:c r="AE96" s="54"/>
      <x:c r="AF96" s="54"/>
      <x:c r="AG96" s="54"/>
      <x:c r="AH96" s="54"/>
      <x:c r="AI96" s="54"/>
      <x:c r="AJ96" s="54"/>
      <x:c r="AK96" s="54"/>
      <x:c r="AL96" s="54"/>
      <x:c r="AM96" s="54"/>
      <x:c r="AN96" s="54"/>
      <x:c r="AO96" s="54"/>
      <x:c r="AP96" s="54"/>
      <x:c r="AQ96" s="54"/>
      <x:c r="AR96" s="54"/>
      <x:c r="AS96" s="54"/>
      <x:c r="AT96" s="54"/>
      <x:c r="AU96" s="54"/>
      <x:c r="AV96" s="54"/>
      <x:c r="AW96" s="54"/>
    </x:row>
    <x:row r="97">
      <x:c r="A97" s="66" t="n">
        <x:v>6</x:v>
      </x:c>
      <x:c r="B97" s="67" t="n">
        <x:v>5.602454442555094</x:v>
      </x:c>
      <x:c r="C97" s="67" t="n">
        <x:v>6.142467787938256</x:v>
      </x:c>
      <x:c r="D97" s="67" t="n">
        <x:v>12.007345168581196</x:v>
      </x:c>
      <x:c r="E97" s="67"/>
      <x:c r="F97" s="54"/>
      <x:c r="G97" s="54"/>
      <x:c r="H97" s="54"/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  <x:c r="AA97" s="54"/>
      <x:c r="AB97" s="54"/>
      <x:c r="AC97" s="54"/>
      <x:c r="AD97" s="54"/>
      <x:c r="AE97" s="54"/>
      <x:c r="AF97" s="54"/>
      <x:c r="AG97" s="54"/>
      <x:c r="AH97" s="54"/>
      <x:c r="AI97" s="54"/>
      <x:c r="AJ97" s="54"/>
      <x:c r="AK97" s="54"/>
      <x:c r="AL97" s="54"/>
      <x:c r="AM97" s="54"/>
      <x:c r="AN97" s="54"/>
      <x:c r="AO97" s="54"/>
      <x:c r="AP97" s="54"/>
      <x:c r="AQ97" s="54"/>
      <x:c r="AR97" s="54"/>
      <x:c r="AS97" s="54"/>
      <x:c r="AT97" s="54"/>
      <x:c r="AU97" s="54"/>
      <x:c r="AV97" s="54"/>
      <x:c r="AW97" s="54"/>
    </x:row>
    <x:row r="98">
      <x:c r="A98" s="66" t="n">
        <x:v>7</x:v>
      </x:c>
      <x:c r="B98" s="67" t="n">
        <x:v>7.639336369816133</x:v>
      </x:c>
      <x:c r="C98" s="67" t="n">
        <x:v>8.179349715199296</x:v>
      </x:c>
      <x:c r="D98" s="67" t="n">
        <x:v>15.653665008276336</x:v>
      </x:c>
      <x:c r="E98" s="67"/>
      <x:c r="F98" s="54"/>
      <x:c r="G98" s="54"/>
      <x:c r="H98" s="54"/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  <x:c r="AA98" s="54"/>
      <x:c r="AB98" s="54"/>
      <x:c r="AC98" s="54"/>
      <x:c r="AD98" s="54"/>
      <x:c r="AE98" s="54"/>
      <x:c r="AF98" s="54"/>
      <x:c r="AG98" s="54"/>
      <x:c r="AH98" s="54"/>
      <x:c r="AI98" s="54"/>
      <x:c r="AJ98" s="54"/>
      <x:c r="AK98" s="54"/>
      <x:c r="AL98" s="54"/>
      <x:c r="AM98" s="54"/>
      <x:c r="AN98" s="54"/>
      <x:c r="AO98" s="54"/>
      <x:c r="AP98" s="54"/>
      <x:c r="AQ98" s="54"/>
      <x:c r="AR98" s="54"/>
      <x:c r="AS98" s="54"/>
      <x:c r="AT98" s="54"/>
      <x:c r="AU98" s="54"/>
      <x:c r="AV98" s="54"/>
      <x:c r="AW98" s="54"/>
    </x:row>
    <x:row r="99">
      <x:c r="A99" s="66" t="n">
        <x:v>8</x:v>
      </x:c>
      <x:c r="B99" s="67" t="n">
        <x:v>9.779402533312405</x:v>
      </x:c>
      <x:c r="C99" s="67" t="n">
        <x:v>10.21405536303774</x:v>
      </x:c>
      <x:c r="D99" s="67" t="n">
        <x:v>19.29780856854888</x:v>
      </x:c>
      <x:c r="E99" s="67"/>
      <x:c r="F99" s="54"/>
      <x:c r="G99" s="54"/>
      <x:c r="H99" s="54"/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  <x:c r="AA99" s="54"/>
      <x:c r="AB99" s="54"/>
      <x:c r="AC99" s="54"/>
      <x:c r="AD99" s="54"/>
      <x:c r="AE99" s="54"/>
      <x:c r="AF99" s="54"/>
      <x:c r="AG99" s="54"/>
      <x:c r="AH99" s="54"/>
      <x:c r="AI99" s="54"/>
      <x:c r="AJ99" s="54"/>
      <x:c r="AK99" s="54"/>
      <x:c r="AL99" s="54"/>
      <x:c r="AM99" s="54"/>
      <x:c r="AN99" s="54"/>
      <x:c r="AO99" s="54"/>
      <x:c r="AP99" s="54"/>
      <x:c r="AQ99" s="54"/>
      <x:c r="AR99" s="54"/>
      <x:c r="AS99" s="54"/>
      <x:c r="AT99" s="54"/>
      <x:c r="AU99" s="54"/>
      <x:c r="AV99" s="54"/>
      <x:c r="AW99" s="54"/>
    </x:row>
    <x:row r="100">
      <x:c r="A100" s="66" t="n">
        <x:v>9</x:v>
      </x:c>
      <x:c r="B100" s="67" t="n">
        <x:v>12.038185003648058</x:v>
      </x:c>
      <x:c r="C100" s="67" t="n">
        <x:v>12.249694282059183</x:v>
      </x:c>
      <x:c r="D100" s="67" t="n">
        <x:v>22.942885400004425</x:v>
      </x:c>
      <x:c r="E100" s="67"/>
      <x:c r="F100" s="54"/>
      <x:c r="G100" s="54"/>
      <x:c r="H100" s="54"/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  <x:c r="AA100" s="54"/>
      <x:c r="AB100" s="54"/>
      <x:c r="AC100" s="54"/>
      <x:c r="AD100" s="54"/>
      <x:c r="AE100" s="54"/>
      <x:c r="AF100" s="54"/>
      <x:c r="AG100" s="54"/>
      <x:c r="AH100" s="54"/>
      <x:c r="AI100" s="54"/>
      <x:c r="AJ100" s="54"/>
      <x:c r="AK100" s="54"/>
      <x:c r="AL100" s="54"/>
      <x:c r="AM100" s="54"/>
      <x:c r="AN100" s="54"/>
      <x:c r="AO100" s="54"/>
      <x:c r="AP100" s="54"/>
      <x:c r="AQ100" s="54"/>
      <x:c r="AR100" s="54"/>
      <x:c r="AS100" s="54"/>
      <x:c r="AT100" s="54"/>
      <x:c r="AU100" s="54"/>
      <x:c r="AV100" s="54"/>
      <x:c r="AW100" s="54"/>
    </x:row>
    <x:row r="101">
      <x:c r="A101" s="66" t="n">
        <x:v>10</x:v>
      </x:c>
      <x:c r="B101" s="67" t="n">
        <x:v>14.436080276446427</x:v>
      </x:c>
      <x:c r="C101" s="67" t="n">
        <x:v>14.290914610918822</x:v>
      </x:c>
      <x:c r="D101" s="67" t="n">
        <x:v>26.59354364129816</x:v>
      </x:c>
      <x:c r="E101" s="67"/>
      <x:c r="F101" s="54"/>
      <x:c r="G101" s="54"/>
      <x:c r="H101" s="54"/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  <x:c r="AA101" s="54"/>
      <x:c r="AB101" s="54"/>
      <x:c r="AC101" s="54"/>
      <x:c r="AD101" s="54"/>
      <x:c r="AE101" s="54"/>
      <x:c r="AF101" s="54"/>
      <x:c r="AG101" s="54"/>
      <x:c r="AH101" s="54"/>
      <x:c r="AI101" s="54"/>
      <x:c r="AJ101" s="54"/>
      <x:c r="AK101" s="54"/>
      <x:c r="AL101" s="54"/>
      <x:c r="AM101" s="54"/>
      <x:c r="AN101" s="54"/>
      <x:c r="AO101" s="54"/>
      <x:c r="AP101" s="54"/>
      <x:c r="AQ101" s="54"/>
      <x:c r="AR101" s="54"/>
      <x:c r="AS101" s="54"/>
      <x:c r="AT101" s="54"/>
      <x:c r="AU101" s="54"/>
      <x:c r="AV101" s="54"/>
      <x:c r="AW101" s="54"/>
    </x:row>
    <x:row r="102">
      <x:c r="A102" s="66" t="n">
        <x:v>11</x:v>
      </x:c>
      <x:c r="B102" s="67" t="n">
        <x:v>17.001029633907965</x:v>
      </x:c>
      <x:c r="C102" s="67" t="n">
        <x:v>16.345038344614366</x:v>
      </x:c>
      <x:c r="D102" s="67" t="n">
        <x:v>30.25710528742781</x:v>
      </x:c>
      <x:c r="E102" s="67"/>
      <x:c r="F102" s="54"/>
      <x:c r="G102" s="54"/>
      <x:c r="H102" s="54"/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  <x:c r="AA102" s="54"/>
      <x:c r="AB102" s="54"/>
      <x:c r="AC102" s="54"/>
      <x:c r="AD102" s="54"/>
      <x:c r="AE102" s="54"/>
      <x:c r="AF102" s="54"/>
      <x:c r="AG102" s="54"/>
      <x:c r="AH102" s="54"/>
      <x:c r="AI102" s="54"/>
      <x:c r="AJ102" s="54"/>
      <x:c r="AK102" s="54"/>
      <x:c r="AL102" s="54"/>
      <x:c r="AM102" s="54"/>
      <x:c r="AN102" s="54"/>
      <x:c r="AO102" s="54"/>
      <x:c r="AP102" s="54"/>
      <x:c r="AQ102" s="54"/>
      <x:c r="AR102" s="54"/>
      <x:c r="AS102" s="54"/>
      <x:c r="AT102" s="54"/>
      <x:c r="AU102" s="54"/>
      <x:c r="AV102" s="54"/>
      <x:c r="AW102" s="54"/>
    </x:row>
    <x:row r="103">
      <x:c r="A103" s="66" t="n">
        <x:v>12</x:v>
      </x:c>
      <x:c r="B103" s="67" t="n">
        <x:v>19.773618356147747</x:v>
      </x:c>
      <x:c r="C103" s="67" t="n">
        <x:v>18.424479886294204</x:v>
      </x:c>
      <x:c r="D103" s="67" t="n">
        <x:v>33.94598474154174</x:v>
      </x:c>
      <x:c r="E103" s="67"/>
      <x:c r="F103" s="54"/>
      <x:c r="G103" s="54"/>
      <x:c r="H103" s="54"/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  <x:c r="AA103" s="54"/>
      <x:c r="AB103" s="54"/>
      <x:c r="AC103" s="54"/>
      <x:c r="AD103" s="54"/>
      <x:c r="AE103" s="54"/>
      <x:c r="AF103" s="54"/>
      <x:c r="AG103" s="54"/>
      <x:c r="AH103" s="54"/>
      <x:c r="AI103" s="54"/>
      <x:c r="AJ103" s="54"/>
      <x:c r="AK103" s="54"/>
      <x:c r="AL103" s="54"/>
      <x:c r="AM103" s="54"/>
      <x:c r="AN103" s="54"/>
      <x:c r="AO103" s="54"/>
      <x:c r="AP103" s="54"/>
      <x:c r="AQ103" s="54"/>
      <x:c r="AR103" s="54"/>
      <x:c r="AS103" s="54"/>
      <x:c r="AT103" s="54"/>
      <x:c r="AU103" s="54"/>
      <x:c r="AV103" s="54"/>
      <x:c r="AW103" s="54"/>
    </x:row>
    <x:row r="104">
      <x:c r="A104" s="66" t="n">
        <x:v>13</x:v>
      </x:c>
      <x:c r="B104" s="67" t="n">
        <x:v>22.81814079387117</x:v>
      </x:c>
      <x:c r="C104" s="67" t="n">
        <x:v>20.55271159214347</x:v>
      </x:c>
      <x:c r="D104" s="67" t="n">
        <x:v>37.68365435982511</x:v>
      </x:c>
      <x:c r="E104" s="67"/>
      <x:c r="F104" s="54"/>
      <x:c r="G104" s="54"/>
      <x:c r="H104" s="54"/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  <x:c r="AA104" s="54"/>
      <x:c r="AB104" s="54"/>
      <x:c r="AC104" s="54"/>
      <x:c r="AD104" s="54"/>
      <x:c r="AE104" s="54"/>
      <x:c r="AF104" s="54"/>
      <x:c r="AG104" s="54"/>
      <x:c r="AH104" s="54"/>
      <x:c r="AI104" s="54"/>
      <x:c r="AJ104" s="54"/>
      <x:c r="AK104" s="54"/>
      <x:c r="AL104" s="54"/>
      <x:c r="AM104" s="54"/>
      <x:c r="AN104" s="54"/>
      <x:c r="AO104" s="54"/>
      <x:c r="AP104" s="54"/>
      <x:c r="AQ104" s="54"/>
      <x:c r="AR104" s="54"/>
      <x:c r="AS104" s="54"/>
      <x:c r="AT104" s="54"/>
      <x:c r="AU104" s="54"/>
      <x:c r="AV104" s="54"/>
      <x:c r="AW104" s="54"/>
    </x:row>
    <x:row r="105">
      <x:c r="A105" s="66" t="n">
        <x:v>14</x:v>
      </x:c>
      <x:c r="B105" s="67" t="n">
        <x:v>26.252127998356315</x:v>
      </x:c>
      <x:c r="C105" s="67" t="n">
        <x:v>22.78272599230268</x:v>
      </x:c>
      <x:c r="D105" s="67" t="n">
        <x:v>41.52310667241842</x:v>
      </x:c>
      <x:c r="E105" s="67"/>
      <x:c r="F105" s="54"/>
      <x:c r="G105" s="54"/>
      <x:c r="H105" s="54"/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  <x:c r="AA105" s="54"/>
      <x:c r="AB105" s="54"/>
      <x:c r="AC105" s="54"/>
      <x:c r="AD105" s="54"/>
      <x:c r="AE105" s="54"/>
      <x:c r="AF105" s="54"/>
      <x:c r="AG105" s="54"/>
      <x:c r="AH105" s="54"/>
      <x:c r="AI105" s="54"/>
      <x:c r="AJ105" s="54"/>
      <x:c r="AK105" s="54"/>
      <x:c r="AL105" s="54"/>
      <x:c r="AM105" s="54"/>
      <x:c r="AN105" s="54"/>
      <x:c r="AO105" s="54"/>
      <x:c r="AP105" s="54"/>
      <x:c r="AQ105" s="54"/>
      <x:c r="AR105" s="54"/>
      <x:c r="AS105" s="54"/>
      <x:c r="AT105" s="54"/>
      <x:c r="AU105" s="54"/>
      <x:c r="AV105" s="54"/>
      <x:c r="AW105" s="54"/>
    </x:row>
    <x:row r="106">
      <x:c r="A106" s="66" t="n">
        <x:v>15</x:v>
      </x:c>
      <x:c r="B106" s="67" t="n">
        <x:v>30.363001862529625</x:v>
      </x:c>
      <x:c r="C106" s="67" t="n">
        <x:v>25.28416194404189</x:v>
      </x:c>
      <x:c r="D106" s="67" t="n">
        <x:v>45.633980536591736</x:v>
      </x:c>
      <x:c r="E106" s="67"/>
      <x:c r="F106" s="54"/>
      <x:c r="G106" s="54"/>
      <x:c r="H106" s="54"/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  <x:c r="AA106" s="54"/>
      <x:c r="AB106" s="54"/>
      <x:c r="AC106" s="54"/>
      <x:c r="AD106" s="54"/>
      <x:c r="AE106" s="54"/>
      <x:c r="AF106" s="54"/>
      <x:c r="AG106" s="54"/>
      <x:c r="AH106" s="54"/>
      <x:c r="AI106" s="54"/>
      <x:c r="AJ106" s="54"/>
      <x:c r="AK106" s="54"/>
      <x:c r="AL106" s="54"/>
      <x:c r="AM106" s="54"/>
      <x:c r="AN106" s="54"/>
      <x:c r="AO106" s="54"/>
      <x:c r="AP106" s="54"/>
      <x:c r="AQ106" s="54"/>
      <x:c r="AR106" s="54"/>
      <x:c r="AS106" s="54"/>
      <x:c r="AT106" s="54"/>
      <x:c r="AU106" s="54"/>
      <x:c r="AV106" s="54"/>
      <x:c r="AW106" s="54"/>
    </x:row>
    <x:row r="107">
      <x:c r="A107" s="54"/>
      <x:c r="B107" s="54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  <x:c r="AA107" s="54"/>
      <x:c r="AB107" s="54"/>
      <x:c r="AC107" s="54"/>
      <x:c r="AD107" s="54"/>
      <x:c r="AE107" s="54"/>
      <x:c r="AF107" s="54"/>
      <x:c r="AG107" s="54"/>
      <x:c r="AH107" s="54"/>
      <x:c r="AI107" s="54"/>
      <x:c r="AJ107" s="54"/>
      <x:c r="AK107" s="54"/>
      <x:c r="AL107" s="54"/>
      <x:c r="AM107" s="54"/>
      <x:c r="AN107" s="54"/>
      <x:c r="AO107" s="54"/>
      <x:c r="AP107" s="54"/>
      <x:c r="AQ107" s="54"/>
      <x:c r="AR107" s="54"/>
      <x:c r="AS107" s="54"/>
      <x:c r="AT107" s="54"/>
      <x:c r="AU107" s="54"/>
      <x:c r="AV107" s="54"/>
      <x:c r="AW107" s="54"/>
    </x:row>
    <x:row r="108">
      <x:c r="A108" s="54"/>
      <x:c r="B108" s="54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  <x:c r="AA108" s="54"/>
      <x:c r="AB108" s="54"/>
      <x:c r="AC108" s="54"/>
      <x:c r="AD108" s="54"/>
      <x:c r="AE108" s="54"/>
      <x:c r="AF108" s="54"/>
      <x:c r="AG108" s="54"/>
      <x:c r="AH108" s="54"/>
      <x:c r="AI108" s="54"/>
      <x:c r="AJ108" s="54"/>
      <x:c r="AK108" s="54"/>
      <x:c r="AL108" s="54"/>
      <x:c r="AM108" s="54"/>
      <x:c r="AN108" s="54"/>
      <x:c r="AO108" s="54"/>
      <x:c r="AP108" s="54"/>
      <x:c r="AQ108" s="54"/>
      <x:c r="AR108" s="54"/>
      <x:c r="AS108" s="54"/>
      <x:c r="AT108" s="54"/>
      <x:c r="AU108" s="54"/>
      <x:c r="AV108" s="54"/>
      <x:c r="AW108" s="54"/>
    </x:row>
    <x:row r="109">
      <x:c r="A109" s="55" t="str">
        <x:v>Deck 2 — Combined baseline difficulty before utility</x:v>
      </x:c>
      <x:c r="B109" s="55" t="str"/>
      <x:c r="C109" s="55" t="str"/>
      <x:c r="D109" s="55" t="str"/>
      <x:c r="E109" s="55" t="str"/>
      <x:c r="F109" s="54"/>
      <x:c r="G109" s="54"/>
      <x:c r="H109" s="54"/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  <x:c r="AA109" s="54"/>
      <x:c r="AB109" s="54"/>
      <x:c r="AC109" s="54"/>
      <x:c r="AD109" s="54"/>
      <x:c r="AE109" s="54"/>
      <x:c r="AF109" s="54"/>
      <x:c r="AG109" s="54"/>
      <x:c r="AH109" s="54"/>
      <x:c r="AI109" s="54"/>
      <x:c r="AJ109" s="54"/>
      <x:c r="AK109" s="54"/>
      <x:c r="AL109" s="54"/>
      <x:c r="AM109" s="54"/>
      <x:c r="AN109" s="54"/>
      <x:c r="AO109" s="54"/>
      <x:c r="AP109" s="54"/>
      <x:c r="AQ109" s="54"/>
      <x:c r="AR109" s="54"/>
      <x:c r="AS109" s="54"/>
      <x:c r="AT109" s="54"/>
      <x:c r="AU109" s="54"/>
      <x:c r="AV109" s="54"/>
      <x:c r="AW109" s="54"/>
    </x:row>
    <x:row r="110">
      <x:c r="A110" s="65" t="str">
        <x:v>Size</x:v>
      </x:c>
      <x:c r="B110" s="65" t="str">
        <x:v>Conjuration</x:v>
      </x:c>
      <x:c r="C110" s="65" t="str">
        <x:v>Transfiguration</x:v>
      </x:c>
      <x:c r="D110" s="65" t="str">
        <x:v>Perfect Transmutation</x:v>
      </x:c>
      <x:c r="E110" s="65" t="str">
        <x:v>Enchantment</x:v>
      </x:c>
      <x:c r="F110" s="54"/>
      <x:c r="G110" s="54"/>
      <x:c r="H110" s="54"/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  <x:c r="AA110" s="54"/>
      <x:c r="AB110" s="54"/>
      <x:c r="AC110" s="54"/>
      <x:c r="AD110" s="54"/>
      <x:c r="AE110" s="54"/>
      <x:c r="AF110" s="54"/>
      <x:c r="AG110" s="54"/>
      <x:c r="AH110" s="54"/>
      <x:c r="AI110" s="54"/>
      <x:c r="AJ110" s="54"/>
      <x:c r="AK110" s="54"/>
      <x:c r="AL110" s="54"/>
      <x:c r="AM110" s="54"/>
      <x:c r="AN110" s="54"/>
      <x:c r="AO110" s="54"/>
      <x:c r="AP110" s="54"/>
      <x:c r="AQ110" s="54"/>
      <x:c r="AR110" s="54"/>
      <x:c r="AS110" s="54"/>
      <x:c r="AT110" s="54"/>
      <x:c r="AU110" s="54"/>
      <x:c r="AV110" s="54"/>
      <x:c r="AW110" s="54"/>
    </x:row>
    <x:row r="111">
      <x:c r="A111" s="66" t="n">
        <x:v>3</x:v>
      </x:c>
      <x:c r="B111" s="67" t="n">
        <x:v>2.2002878031015974e-7</x:v>
      </x:c>
      <x:c r="C111" s="67" t="n">
        <x:v>0.00001756434617245252</x:v>
      </x:c>
      <x:c r="D111" s="67" t="n">
        <x:v>1.0365812076868104</x:v>
      </x:c>
      <x:c r="E111" s="67" t="n">
        <x:v>0.4524792578072436</x:v>
      </x:c>
      <x:c r="F111" s="54"/>
      <x:c r="G111" s="54"/>
      <x:c r="H111" s="54"/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  <x:c r="AA111" s="54"/>
      <x:c r="AB111" s="54"/>
      <x:c r="AC111" s="54"/>
      <x:c r="AD111" s="54"/>
      <x:c r="AE111" s="54"/>
      <x:c r="AF111" s="54"/>
      <x:c r="AG111" s="54"/>
      <x:c r="AH111" s="54"/>
      <x:c r="AI111" s="54"/>
      <x:c r="AJ111" s="54"/>
      <x:c r="AK111" s="54"/>
      <x:c r="AL111" s="54"/>
      <x:c r="AM111" s="54"/>
      <x:c r="AN111" s="54"/>
      <x:c r="AO111" s="54"/>
      <x:c r="AP111" s="54"/>
      <x:c r="AQ111" s="54"/>
      <x:c r="AR111" s="54"/>
      <x:c r="AS111" s="54"/>
      <x:c r="AT111" s="54"/>
      <x:c r="AU111" s="54"/>
      <x:c r="AV111" s="54"/>
      <x:c r="AW111" s="54"/>
    </x:row>
    <x:row r="112">
      <x:c r="A112" s="66" t="n">
        <x:v>4</x:v>
      </x:c>
      <x:c r="B112" s="67" t="n">
        <x:v>0.44829180902258486</x:v>
      </x:c>
      <x:c r="C112" s="67" t="n">
        <x:v>0.5137001903461086</x:v>
      </x:c>
      <x:c r="D112" s="67" t="n">
        <x:v>3.223190250628939</x:v>
      </x:c>
      <x:c r="E112" s="67" t="n">
        <x:v>2.8960337236426676</x:v>
      </x:c>
      <x:c r="F112" s="54"/>
      <x:c r="G112" s="54"/>
      <x:c r="H112" s="54"/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  <x:c r="AA112" s="54"/>
      <x:c r="AB112" s="54"/>
      <x:c r="AC112" s="54"/>
      <x:c r="AD112" s="54"/>
      <x:c r="AE112" s="54"/>
      <x:c r="AF112" s="54"/>
      <x:c r="AG112" s="54"/>
      <x:c r="AH112" s="54"/>
      <x:c r="AI112" s="54"/>
      <x:c r="AJ112" s="54"/>
      <x:c r="AK112" s="54"/>
      <x:c r="AL112" s="54"/>
      <x:c r="AM112" s="54"/>
      <x:c r="AN112" s="54"/>
      <x:c r="AO112" s="54"/>
      <x:c r="AP112" s="54"/>
      <x:c r="AQ112" s="54"/>
      <x:c r="AR112" s="54"/>
      <x:c r="AS112" s="54"/>
      <x:c r="AT112" s="54"/>
      <x:c r="AU112" s="54"/>
      <x:c r="AV112" s="54"/>
      <x:c r="AW112" s="54"/>
    </x:row>
    <x:row r="113">
      <x:c r="A113" s="66" t="n">
        <x:v>5</x:v>
      </x:c>
      <x:c r="B113" s="67" t="n">
        <x:v>0.9712717249155286</x:v>
      </x:c>
      <x:c r="C113" s="67" t="n">
        <x:v>1.0272090177166575</x:v>
      </x:c>
      <x:c r="D113" s="67" t="n">
        <x:v>5.57963244604943</x:v>
      </x:c>
      <x:c r="E113" s="67" t="n">
        <x:v>6.536985235899783</x:v>
      </x:c>
      <x:c r="F113" s="54"/>
      <x:c r="G113" s="54"/>
      <x:c r="H113" s="54"/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  <x:c r="AA113" s="54"/>
      <x:c r="AB113" s="54"/>
      <x:c r="AC113" s="54"/>
      <x:c r="AD113" s="54"/>
      <x:c r="AE113" s="54"/>
      <x:c r="AF113" s="54"/>
      <x:c r="AG113" s="54"/>
      <x:c r="AH113" s="54"/>
      <x:c r="AI113" s="54"/>
      <x:c r="AJ113" s="54"/>
      <x:c r="AK113" s="54"/>
      <x:c r="AL113" s="54"/>
      <x:c r="AM113" s="54"/>
      <x:c r="AN113" s="54"/>
      <x:c r="AO113" s="54"/>
      <x:c r="AP113" s="54"/>
      <x:c r="AQ113" s="54"/>
      <x:c r="AR113" s="54"/>
      <x:c r="AS113" s="54"/>
      <x:c r="AT113" s="54"/>
      <x:c r="AU113" s="54"/>
      <x:c r="AV113" s="54"/>
      <x:c r="AW113" s="54"/>
    </x:row>
    <x:row r="114">
      <x:c r="A114" s="66" t="n">
        <x:v>6</x:v>
      </x:c>
      <x:c r="B114" s="67" t="n">
        <x:v>1.977904252557279</x:v>
      </x:c>
      <x:c r="C114" s="67" t="n">
        <x:v>1.5512079457974508</x:v>
      </x:c>
      <x:c r="D114" s="67" t="n">
        <x:v>8.02009252713814</x:v>
      </x:c>
      <x:c r="E114" s="67"/>
      <x:c r="F114" s="54"/>
      <x:c r="G114" s="54"/>
      <x:c r="H114" s="54"/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  <x:c r="AA114" s="54"/>
      <x:c r="AB114" s="54"/>
      <x:c r="AC114" s="54"/>
      <x:c r="AD114" s="54"/>
      <x:c r="AE114" s="54"/>
      <x:c r="AF114" s="54"/>
      <x:c r="AG114" s="54"/>
      <x:c r="AH114" s="54"/>
      <x:c r="AI114" s="54"/>
      <x:c r="AJ114" s="54"/>
      <x:c r="AK114" s="54"/>
      <x:c r="AL114" s="54"/>
      <x:c r="AM114" s="54"/>
      <x:c r="AN114" s="54"/>
      <x:c r="AO114" s="54"/>
      <x:c r="AP114" s="54"/>
      <x:c r="AQ114" s="54"/>
      <x:c r="AR114" s="54"/>
      <x:c r="AS114" s="54"/>
      <x:c r="AT114" s="54"/>
      <x:c r="AU114" s="54"/>
      <x:c r="AV114" s="54"/>
      <x:c r="AW114" s="54"/>
    </x:row>
    <x:row r="115">
      <x:c r="A115" s="66" t="n">
        <x:v>7</x:v>
      </x:c>
      <x:c r="B115" s="67" t="n">
        <x:v>3.6438720954009227</x:v>
      </x:c>
      <x:c r="C115" s="67" t="n">
        <x:v>2.1257983068269515</x:v>
      </x:c>
      <x:c r="D115" s="67" t="n">
        <x:v>10.537943026493442</x:v>
      </x:c>
      <x:c r="E115" s="67"/>
      <x:c r="F115" s="54"/>
      <x:c r="G115" s="54"/>
      <x:c r="H115" s="54"/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  <x:c r="AA115" s="54"/>
      <x:c r="AB115" s="54"/>
      <x:c r="AC115" s="54"/>
      <x:c r="AD115" s="54"/>
      <x:c r="AE115" s="54"/>
      <x:c r="AF115" s="54"/>
      <x:c r="AG115" s="54"/>
      <x:c r="AH115" s="54"/>
      <x:c r="AI115" s="54"/>
      <x:c r="AJ115" s="54"/>
      <x:c r="AK115" s="54"/>
      <x:c r="AL115" s="54"/>
      <x:c r="AM115" s="54"/>
      <x:c r="AN115" s="54"/>
      <x:c r="AO115" s="54"/>
      <x:c r="AP115" s="54"/>
      <x:c r="AQ115" s="54"/>
      <x:c r="AR115" s="54"/>
      <x:c r="AS115" s="54"/>
      <x:c r="AT115" s="54"/>
      <x:c r="AU115" s="54"/>
      <x:c r="AV115" s="54"/>
      <x:c r="AW115" s="54"/>
    </x:row>
    <x:row r="116">
      <x:c r="A116" s="66" t="n">
        <x:v>8</x:v>
      </x:c>
      <x:c r="B116" s="67" t="n">
        <x:v>5.749757808428569</x:v>
      </x:c>
      <x:c r="C116" s="67" t="n">
        <x:v>2.8249194593615514</x:v>
      </x:c>
      <x:c r="D116" s="67" t="n">
        <x:v>13.142316827627523</x:v>
      </x:c>
      <x:c r="E116" s="67"/>
      <x:c r="F116" s="54"/>
      <x:c r="G116" s="54"/>
      <x:c r="H116" s="54"/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  <x:c r="AA116" s="54"/>
      <x:c r="AB116" s="54"/>
      <x:c r="AC116" s="54"/>
      <x:c r="AD116" s="54"/>
      <x:c r="AE116" s="54"/>
      <x:c r="AF116" s="54"/>
      <x:c r="AG116" s="54"/>
      <x:c r="AH116" s="54"/>
      <x:c r="AI116" s="54"/>
      <x:c r="AJ116" s="54"/>
      <x:c r="AK116" s="54"/>
      <x:c r="AL116" s="54"/>
      <x:c r="AM116" s="54"/>
      <x:c r="AN116" s="54"/>
      <x:c r="AO116" s="54"/>
      <x:c r="AP116" s="54"/>
      <x:c r="AQ116" s="54"/>
      <x:c r="AR116" s="54"/>
      <x:c r="AS116" s="54"/>
      <x:c r="AT116" s="54"/>
      <x:c r="AU116" s="54"/>
      <x:c r="AV116" s="54"/>
      <x:c r="AW116" s="54"/>
    </x:row>
    <x:row r="117">
      <x:c r="A117" s="66" t="n">
        <x:v>9</x:v>
      </x:c>
      <x:c r="B117" s="67" t="n">
        <x:v>8.192802642616916</x:v>
      </x:c>
      <x:c r="C117" s="67" t="n">
        <x:v>3.7129468692778835</x:v>
      </x:c>
      <x:c r="D117" s="67" t="n">
        <x:v>15.847816234396124</x:v>
      </x:c>
      <x:c r="E117" s="67"/>
      <x:c r="F117" s="54"/>
      <x:c r="G117" s="54"/>
      <x:c r="H117" s="54"/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  <x:c r="AA117" s="54"/>
      <x:c r="AB117" s="54"/>
      <x:c r="AC117" s="54"/>
      <x:c r="AD117" s="54"/>
      <x:c r="AE117" s="54"/>
      <x:c r="AF117" s="54"/>
      <x:c r="AG117" s="54"/>
      <x:c r="AH117" s="54"/>
      <x:c r="AI117" s="54"/>
      <x:c r="AJ117" s="54"/>
      <x:c r="AK117" s="54"/>
      <x:c r="AL117" s="54"/>
      <x:c r="AM117" s="54"/>
      <x:c r="AN117" s="54"/>
      <x:c r="AO117" s="54"/>
      <x:c r="AP117" s="54"/>
      <x:c r="AQ117" s="54"/>
      <x:c r="AR117" s="54"/>
      <x:c r="AS117" s="54"/>
      <x:c r="AT117" s="54"/>
      <x:c r="AU117" s="54"/>
      <x:c r="AV117" s="54"/>
      <x:c r="AW117" s="54"/>
    </x:row>
    <x:row r="118">
      <x:c r="A118" s="66" t="n">
        <x:v>10</x:v>
      </x:c>
      <x:c r="B118" s="67" t="n">
        <x:v>10.973463594079188</x:v>
      </x:c>
      <x:c r="C118" s="67" t="n">
        <x:v>4.813345191972763</x:v>
      </x:c>
      <x:c r="D118" s="67" t="n">
        <x:v>18.674514736173556</x:v>
      </x:c>
      <x:c r="E118" s="67"/>
      <x:c r="F118" s="54"/>
      <x:c r="G118" s="54"/>
      <x:c r="H118" s="54"/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  <x:c r="AA118" s="54"/>
      <x:c r="AB118" s="54"/>
      <x:c r="AC118" s="54"/>
      <x:c r="AD118" s="54"/>
      <x:c r="AE118" s="54"/>
      <x:c r="AF118" s="54"/>
      <x:c r="AG118" s="54"/>
      <x:c r="AH118" s="54"/>
      <x:c r="AI118" s="54"/>
      <x:c r="AJ118" s="54"/>
      <x:c r="AK118" s="54"/>
      <x:c r="AL118" s="54"/>
      <x:c r="AM118" s="54"/>
      <x:c r="AN118" s="54"/>
      <x:c r="AO118" s="54"/>
      <x:c r="AP118" s="54"/>
      <x:c r="AQ118" s="54"/>
      <x:c r="AR118" s="54"/>
      <x:c r="AS118" s="54"/>
      <x:c r="AT118" s="54"/>
      <x:c r="AU118" s="54"/>
      <x:c r="AV118" s="54"/>
      <x:c r="AW118" s="54"/>
    </x:row>
    <x:row r="119">
      <x:c r="A119" s="66" t="n">
        <x:v>11</x:v>
      </x:c>
      <x:c r="B119" s="67" t="n">
        <x:v>14.129736286868184</x:v>
      </x:c>
      <x:c r="C119" s="67" t="n">
        <x:v>6.127425806249804</x:v>
      </x:c>
      <x:c r="D119" s="67" t="n">
        <x:v>21.650858333397586</x:v>
      </x:c>
      <x:c r="E119" s="67"/>
      <x:c r="F119" s="54"/>
      <x:c r="G119" s="54"/>
      <x:c r="H119" s="54"/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  <x:c r="AA119" s="54"/>
      <x:c r="AB119" s="54"/>
      <x:c r="AC119" s="54"/>
      <x:c r="AD119" s="54"/>
      <x:c r="AE119" s="54"/>
      <x:c r="AF119" s="54"/>
      <x:c r="AG119" s="54"/>
      <x:c r="AH119" s="54"/>
      <x:c r="AI119" s="54"/>
      <x:c r="AJ119" s="54"/>
      <x:c r="AK119" s="54"/>
      <x:c r="AL119" s="54"/>
      <x:c r="AM119" s="54"/>
      <x:c r="AN119" s="54"/>
      <x:c r="AO119" s="54"/>
      <x:c r="AP119" s="54"/>
      <x:c r="AQ119" s="54"/>
      <x:c r="AR119" s="54"/>
      <x:c r="AS119" s="54"/>
      <x:c r="AT119" s="54"/>
      <x:c r="AU119" s="54"/>
      <x:c r="AV119" s="54"/>
      <x:c r="AW119" s="54"/>
    </x:row>
    <x:row r="120">
      <x:c r="A120" s="66" t="n">
        <x:v>12</x:v>
      </x:c>
      <x:c r="B120" s="67" t="n">
        <x:v>17.726283512369772</x:v>
      </x:c>
      <x:c r="C120" s="67" t="n">
        <x:v>7.668007669076563</x:v>
      </x:c>
      <x:c r="D120" s="67" t="n">
        <x:v>24.819877402091564</x:v>
      </x:c>
      <x:c r="E120" s="67"/>
      <x:c r="F120" s="54"/>
      <x:c r="G120" s="54"/>
      <x:c r="H120" s="54"/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  <x:c r="AA120" s="54"/>
      <x:c r="AB120" s="54"/>
      <x:c r="AC120" s="54"/>
      <x:c r="AD120" s="54"/>
      <x:c r="AE120" s="54"/>
      <x:c r="AF120" s="54"/>
      <x:c r="AG120" s="54"/>
      <x:c r="AH120" s="54"/>
      <x:c r="AI120" s="54"/>
      <x:c r="AJ120" s="54"/>
      <x:c r="AK120" s="54"/>
      <x:c r="AL120" s="54"/>
      <x:c r="AM120" s="54"/>
      <x:c r="AN120" s="54"/>
      <x:c r="AO120" s="54"/>
      <x:c r="AP120" s="54"/>
      <x:c r="AQ120" s="54"/>
      <x:c r="AR120" s="54"/>
      <x:c r="AS120" s="54"/>
      <x:c r="AT120" s="54"/>
      <x:c r="AU120" s="54"/>
      <x:c r="AV120" s="54"/>
      <x:c r="AW120" s="54"/>
    </x:row>
    <x:row r="121">
      <x:c r="A121" s="66" t="n">
        <x:v>13</x:v>
      </x:c>
      <x:c r="B121" s="67" t="n">
        <x:v>21.870558751688264</x:v>
      </x:c>
      <x:c r="C121" s="67" t="n">
        <x:v>9.48690997913851</x:v>
      </x:c>
      <x:c r="D121" s="67" t="n">
        <x:v>28.253448189293813</x:v>
      </x:c>
      <x:c r="E121" s="67"/>
      <x:c r="F121" s="54"/>
      <x:c r="G121" s="54"/>
      <x:c r="H121" s="54"/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  <x:c r="AA121" s="54"/>
      <x:c r="AB121" s="54"/>
      <x:c r="AC121" s="54"/>
      <x:c r="AD121" s="54"/>
      <x:c r="AE121" s="54"/>
      <x:c r="AF121" s="54"/>
      <x:c r="AG121" s="54"/>
      <x:c r="AH121" s="54"/>
      <x:c r="AI121" s="54"/>
      <x:c r="AJ121" s="54"/>
      <x:c r="AK121" s="54"/>
      <x:c r="AL121" s="54"/>
      <x:c r="AM121" s="54"/>
      <x:c r="AN121" s="54"/>
      <x:c r="AO121" s="54"/>
      <x:c r="AP121" s="54"/>
      <x:c r="AQ121" s="54"/>
      <x:c r="AR121" s="54"/>
      <x:c r="AS121" s="54"/>
      <x:c r="AT121" s="54"/>
      <x:c r="AU121" s="54"/>
      <x:c r="AV121" s="54"/>
      <x:c r="AW121" s="54"/>
    </x:row>
    <x:row r="122">
      <x:c r="A122" s="66" t="n">
        <x:v>14</x:v>
      </x:c>
      <x:c r="B122" s="67" t="n">
        <x:v>26.763978567964898</x:v>
      </x:c>
      <x:c r="C122" s="67" t="n">
        <x:v>11.715908153470659</x:v>
      </x:c>
      <x:c r="D122" s="67" t="n">
        <x:v>32.092900501887115</x:v>
      </x:c>
      <x:c r="E122" s="67"/>
      <x:c r="F122" s="54"/>
      <x:c r="G122" s="54"/>
      <x:c r="H122" s="54"/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  <x:c r="AA122" s="54"/>
      <x:c r="AB122" s="54"/>
      <x:c r="AC122" s="54"/>
      <x:c r="AD122" s="54"/>
      <x:c r="AE122" s="54"/>
      <x:c r="AF122" s="54"/>
      <x:c r="AG122" s="54"/>
      <x:c r="AH122" s="54"/>
      <x:c r="AI122" s="54"/>
      <x:c r="AJ122" s="54"/>
      <x:c r="AK122" s="54"/>
      <x:c r="AL122" s="54"/>
      <x:c r="AM122" s="54"/>
      <x:c r="AN122" s="54"/>
      <x:c r="AO122" s="54"/>
      <x:c r="AP122" s="54"/>
      <x:c r="AQ122" s="54"/>
      <x:c r="AR122" s="54"/>
      <x:c r="AS122" s="54"/>
      <x:c r="AT122" s="54"/>
      <x:c r="AU122" s="54"/>
      <x:c r="AV122" s="54"/>
      <x:c r="AW122" s="54"/>
    </x:row>
    <x:row r="123">
      <x:c r="A123" s="66" t="n">
        <x:v>15</x:v>
      </x:c>
      <x:c r="B123" s="67" t="n">
        <x:v>32.905890082964866</x:v>
      </x:c>
      <x:c r="C123" s="67" t="n">
        <x:v>14.737087042091392</x:v>
      </x:c>
      <x:c r="D123" s="67" t="n">
        <x:v>36.7236347514804</x:v>
      </x:c>
      <x:c r="E123" s="67"/>
      <x:c r="F123" s="54"/>
      <x:c r="G123" s="54"/>
      <x:c r="H123" s="54"/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  <x:c r="AA123" s="54"/>
      <x:c r="AB123" s="54"/>
      <x:c r="AC123" s="54"/>
      <x:c r="AD123" s="54"/>
      <x:c r="AE123" s="54"/>
      <x:c r="AF123" s="54"/>
      <x:c r="AG123" s="54"/>
      <x:c r="AH123" s="54"/>
      <x:c r="AI123" s="54"/>
      <x:c r="AJ123" s="54"/>
      <x:c r="AK123" s="54"/>
      <x:c r="AL123" s="54"/>
      <x:c r="AM123" s="54"/>
      <x:c r="AN123" s="54"/>
      <x:c r="AO123" s="54"/>
      <x:c r="AP123" s="54"/>
      <x:c r="AQ123" s="54"/>
      <x:c r="AR123" s="54"/>
      <x:c r="AS123" s="54"/>
      <x:c r="AT123" s="54"/>
      <x:c r="AU123" s="54"/>
      <x:c r="AV123" s="54"/>
      <x:c r="AW123" s="54"/>
    </x:row>
    <x:row r="124">
      <x:c r="A124" s="54"/>
      <x:c r="B124" s="54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  <x:c r="AA124" s="54"/>
      <x:c r="AB124" s="54"/>
      <x:c r="AC124" s="54"/>
      <x:c r="AD124" s="54"/>
      <x:c r="AE124" s="54"/>
      <x:c r="AF124" s="54"/>
      <x:c r="AG124" s="54"/>
      <x:c r="AH124" s="54"/>
      <x:c r="AI124" s="54"/>
      <x:c r="AJ124" s="54"/>
      <x:c r="AK124" s="54"/>
      <x:c r="AL124" s="54"/>
      <x:c r="AM124" s="54"/>
      <x:c r="AN124" s="54"/>
      <x:c r="AO124" s="54"/>
      <x:c r="AP124" s="54"/>
      <x:c r="AQ124" s="54"/>
      <x:c r="AR124" s="54"/>
      <x:c r="AS124" s="54"/>
      <x:c r="AT124" s="54"/>
      <x:c r="AU124" s="54"/>
      <x:c r="AV124" s="54"/>
      <x:c r="AW124" s="54"/>
    </x:row>
    <x:row r="125">
      <x:c r="A125" s="54"/>
      <x:c r="B125" s="54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  <x:c r="AA125" s="54"/>
      <x:c r="AB125" s="54"/>
      <x:c r="AC125" s="54"/>
      <x:c r="AD125" s="54"/>
      <x:c r="AE125" s="54"/>
      <x:c r="AF125" s="54"/>
      <x:c r="AG125" s="54"/>
      <x:c r="AH125" s="54"/>
      <x:c r="AI125" s="54"/>
      <x:c r="AJ125" s="54"/>
      <x:c r="AK125" s="54"/>
      <x:c r="AL125" s="54"/>
      <x:c r="AM125" s="54"/>
      <x:c r="AN125" s="54"/>
      <x:c r="AO125" s="54"/>
      <x:c r="AP125" s="54"/>
      <x:c r="AQ125" s="54"/>
      <x:c r="AR125" s="54"/>
      <x:c r="AS125" s="54"/>
      <x:c r="AT125" s="54"/>
      <x:c r="AU125" s="54"/>
      <x:c r="AV125" s="54"/>
      <x:c r="AW125" s="54"/>
    </x:row>
    <x:row r="126">
      <x:c r="A126" s="55" t="str">
        <x:v>Deck 2 — Final utility-adjusted unrounded score</x:v>
      </x:c>
      <x:c r="B126" s="55" t="str"/>
      <x:c r="C126" s="55" t="str"/>
      <x:c r="D126" s="55" t="str"/>
      <x:c r="E126" s="55" t="str"/>
      <x:c r="F126" s="54"/>
      <x:c r="G126" s="54"/>
      <x:c r="H126" s="54"/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  <x:c r="AA126" s="54"/>
      <x:c r="AB126" s="54"/>
      <x:c r="AC126" s="54"/>
      <x:c r="AD126" s="54"/>
      <x:c r="AE126" s="54"/>
      <x:c r="AF126" s="54"/>
      <x:c r="AG126" s="54"/>
      <x:c r="AH126" s="54"/>
      <x:c r="AI126" s="54"/>
      <x:c r="AJ126" s="54"/>
      <x:c r="AK126" s="54"/>
      <x:c r="AL126" s="54"/>
      <x:c r="AM126" s="54"/>
      <x:c r="AN126" s="54"/>
      <x:c r="AO126" s="54"/>
      <x:c r="AP126" s="54"/>
      <x:c r="AQ126" s="54"/>
      <x:c r="AR126" s="54"/>
      <x:c r="AS126" s="54"/>
      <x:c r="AT126" s="54"/>
      <x:c r="AU126" s="54"/>
      <x:c r="AV126" s="54"/>
      <x:c r="AW126" s="54"/>
    </x:row>
    <x:row r="127">
      <x:c r="A127" s="65" t="str">
        <x:v>Size</x:v>
      </x:c>
      <x:c r="B127" s="65" t="str">
        <x:v>Conjuration</x:v>
      </x:c>
      <x:c r="C127" s="65" t="str">
        <x:v>Transfiguration</x:v>
      </x:c>
      <x:c r="D127" s="65" t="str">
        <x:v>Perfect Transmutation</x:v>
      </x:c>
      <x:c r="E127" s="65" t="str">
        <x:v>Enchantment</x:v>
      </x:c>
      <x:c r="F127" s="54"/>
      <x:c r="G127" s="54"/>
      <x:c r="H127" s="54"/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  <x:c r="AA127" s="54"/>
      <x:c r="AB127" s="54"/>
      <x:c r="AC127" s="54"/>
      <x:c r="AD127" s="54"/>
      <x:c r="AE127" s="54"/>
      <x:c r="AF127" s="54"/>
      <x:c r="AG127" s="54"/>
      <x:c r="AH127" s="54"/>
      <x:c r="AI127" s="54"/>
      <x:c r="AJ127" s="54"/>
      <x:c r="AK127" s="54"/>
      <x:c r="AL127" s="54"/>
      <x:c r="AM127" s="54"/>
      <x:c r="AN127" s="54"/>
      <x:c r="AO127" s="54"/>
      <x:c r="AP127" s="54"/>
      <x:c r="AQ127" s="54"/>
      <x:c r="AR127" s="54"/>
      <x:c r="AS127" s="54"/>
      <x:c r="AT127" s="54"/>
      <x:c r="AU127" s="54"/>
      <x:c r="AV127" s="54"/>
      <x:c r="AW127" s="54"/>
    </x:row>
    <x:row r="128">
      <x:c r="A128" s="66" t="n">
        <x:v>3</x:v>
      </x:c>
      <x:c r="B128" s="67" t="n">
        <x:v>0</x:v>
      </x:c>
      <x:c r="C128" s="67" t="n">
        <x:v>2.000035128692345</x:v>
      </x:c>
      <x:c r="D128" s="67" t="n">
        <x:v>0.4481624153736208</x:v>
      </x:c>
      <x:c r="E128" s="67" t="n">
        <x:v>0</x:v>
      </x:c>
      <x:c r="F128" s="54"/>
      <x:c r="G128" s="54"/>
      <x:c r="H128" s="54"/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  <x:c r="AA128" s="54"/>
      <x:c r="AB128" s="54"/>
      <x:c r="AC128" s="54"/>
      <x:c r="AD128" s="54"/>
      <x:c r="AE128" s="54"/>
      <x:c r="AF128" s="54"/>
      <x:c r="AG128" s="54"/>
      <x:c r="AH128" s="54"/>
      <x:c r="AI128" s="54"/>
      <x:c r="AJ128" s="54"/>
      <x:c r="AK128" s="54"/>
      <x:c r="AL128" s="54"/>
      <x:c r="AM128" s="54"/>
      <x:c r="AN128" s="54"/>
      <x:c r="AO128" s="54"/>
      <x:c r="AP128" s="54"/>
      <x:c r="AQ128" s="54"/>
      <x:c r="AR128" s="54"/>
      <x:c r="AS128" s="54"/>
      <x:c r="AT128" s="54"/>
      <x:c r="AU128" s="54"/>
      <x:c r="AV128" s="54"/>
      <x:c r="AW128" s="54"/>
    </x:row>
    <x:row r="129">
      <x:c r="A129" s="66" t="n">
        <x:v>4</x:v>
      </x:c>
      <x:c r="B129" s="67" t="n">
        <x:v>0</x:v>
      </x:c>
      <x:c r="C129" s="67" t="n">
        <x:v>3.0274003806922174</x:v>
      </x:c>
      <x:c r="D129" s="67" t="n">
        <x:v>4.821380501257878</x:v>
      </x:c>
      <x:c r="E129" s="67" t="n">
        <x:v>1.2920674472853353</x:v>
      </x:c>
      <x:c r="F129" s="54"/>
      <x:c r="G129" s="54"/>
      <x:c r="H129" s="54"/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  <x:c r="AA129" s="54"/>
      <x:c r="AB129" s="54"/>
      <x:c r="AC129" s="54"/>
      <x:c r="AD129" s="54"/>
      <x:c r="AE129" s="54"/>
      <x:c r="AF129" s="54"/>
      <x:c r="AG129" s="54"/>
      <x:c r="AH129" s="54"/>
      <x:c r="AI129" s="54"/>
      <x:c r="AJ129" s="54"/>
      <x:c r="AK129" s="54"/>
      <x:c r="AL129" s="54"/>
      <x:c r="AM129" s="54"/>
      <x:c r="AN129" s="54"/>
      <x:c r="AO129" s="54"/>
      <x:c r="AP129" s="54"/>
      <x:c r="AQ129" s="54"/>
      <x:c r="AR129" s="54"/>
      <x:c r="AS129" s="54"/>
      <x:c r="AT129" s="54"/>
      <x:c r="AU129" s="54"/>
      <x:c r="AV129" s="54"/>
      <x:c r="AW129" s="54"/>
    </x:row>
    <x:row r="130">
      <x:c r="A130" s="66" t="n">
        <x:v>5</x:v>
      </x:c>
      <x:c r="B130" s="67" t="n">
        <x:v>0.4425434498310572</x:v>
      </x:c>
      <x:c r="C130" s="67" t="n">
        <x:v>4.054418035433315</x:v>
      </x:c>
      <x:c r="D130" s="67" t="n">
        <x:v>9.53426489209886</x:v>
      </x:c>
      <x:c r="E130" s="67" t="n">
        <x:v>5.573970471799566</x:v>
      </x:c>
      <x:c r="F130" s="54"/>
      <x:c r="G130" s="54"/>
      <x:c r="H130" s="54"/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  <x:c r="AA130" s="54"/>
      <x:c r="AB130" s="54"/>
      <x:c r="AC130" s="54"/>
      <x:c r="AD130" s="54"/>
      <x:c r="AE130" s="54"/>
      <x:c r="AF130" s="54"/>
      <x:c r="AG130" s="54"/>
      <x:c r="AH130" s="54"/>
      <x:c r="AI130" s="54"/>
      <x:c r="AJ130" s="54"/>
      <x:c r="AK130" s="54"/>
      <x:c r="AL130" s="54"/>
      <x:c r="AM130" s="54"/>
      <x:c r="AN130" s="54"/>
      <x:c r="AO130" s="54"/>
      <x:c r="AP130" s="54"/>
      <x:c r="AQ130" s="54"/>
      <x:c r="AR130" s="54"/>
      <x:c r="AS130" s="54"/>
      <x:c r="AT130" s="54"/>
      <x:c r="AU130" s="54"/>
      <x:c r="AV130" s="54"/>
      <x:c r="AW130" s="54"/>
    </x:row>
    <x:row r="131">
      <x:c r="A131" s="66" t="n">
        <x:v>6</x:v>
      </x:c>
      <x:c r="B131" s="67" t="n">
        <x:v>0.955808505114558</x:v>
      </x:c>
      <x:c r="C131" s="67" t="n">
        <x:v>5.102415891594902</x:v>
      </x:c>
      <x:c r="D131" s="67" t="n">
        <x:v>13.440185054276279</x:v>
      </x:c>
      <x:c r="E131" s="67"/>
      <x:c r="F131" s="54"/>
      <x:c r="G131" s="54"/>
      <x:c r="H131" s="54"/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  <x:c r="AA131" s="54"/>
      <x:c r="AB131" s="54"/>
      <x:c r="AC131" s="54"/>
      <x:c r="AD131" s="54"/>
      <x:c r="AE131" s="54"/>
      <x:c r="AF131" s="54"/>
      <x:c r="AG131" s="54"/>
      <x:c r="AH131" s="54"/>
      <x:c r="AI131" s="54"/>
      <x:c r="AJ131" s="54"/>
      <x:c r="AK131" s="54"/>
      <x:c r="AL131" s="54"/>
      <x:c r="AM131" s="54"/>
      <x:c r="AN131" s="54"/>
      <x:c r="AO131" s="54"/>
      <x:c r="AP131" s="54"/>
      <x:c r="AQ131" s="54"/>
      <x:c r="AR131" s="54"/>
      <x:c r="AS131" s="54"/>
      <x:c r="AT131" s="54"/>
      <x:c r="AU131" s="54"/>
      <x:c r="AV131" s="54"/>
      <x:c r="AW131" s="54"/>
    </x:row>
    <x:row r="132">
      <x:c r="A132" s="66" t="n">
        <x:v>7</x:v>
      </x:c>
      <x:c r="B132" s="67" t="n">
        <x:v>4.287744190801845</x:v>
      </x:c>
      <x:c r="C132" s="67" t="n">
        <x:v>6.251596613653903</x:v>
      </x:c>
      <x:c r="D132" s="67" t="n">
        <x:v>18.475886052986883</x:v>
      </x:c>
      <x:c r="E132" s="67"/>
      <x:c r="F132" s="54"/>
      <x:c r="G132" s="54"/>
      <x:c r="H132" s="54"/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  <x:c r="AA132" s="54"/>
      <x:c r="AB132" s="54"/>
      <x:c r="AC132" s="54"/>
      <x:c r="AD132" s="54"/>
      <x:c r="AE132" s="54"/>
      <x:c r="AF132" s="54"/>
      <x:c r="AG132" s="54"/>
      <x:c r="AH132" s="54"/>
      <x:c r="AI132" s="54"/>
      <x:c r="AJ132" s="54"/>
      <x:c r="AK132" s="54"/>
      <x:c r="AL132" s="54"/>
      <x:c r="AM132" s="54"/>
      <x:c r="AN132" s="54"/>
      <x:c r="AO132" s="54"/>
      <x:c r="AP132" s="54"/>
      <x:c r="AQ132" s="54"/>
      <x:c r="AR132" s="54"/>
      <x:c r="AS132" s="54"/>
      <x:c r="AT132" s="54"/>
      <x:c r="AU132" s="54"/>
      <x:c r="AV132" s="54"/>
      <x:c r="AW132" s="54"/>
    </x:row>
    <x:row r="133">
      <x:c r="A133" s="66" t="n">
        <x:v>8</x:v>
      </x:c>
      <x:c r="B133" s="67" t="n">
        <x:v>8.499515616857138</x:v>
      </x:c>
      <x:c r="C133" s="67" t="n">
        <x:v>7.649838918723103</x:v>
      </x:c>
      <x:c r="D133" s="67" t="n">
        <x:v>23.684633655255045</x:v>
      </x:c>
      <x:c r="E133" s="67"/>
      <x:c r="F133" s="54"/>
      <x:c r="G133" s="54"/>
      <x:c r="H133" s="54"/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  <x:c r="AA133" s="54"/>
      <x:c r="AB133" s="54"/>
      <x:c r="AC133" s="54"/>
      <x:c r="AD133" s="54"/>
      <x:c r="AE133" s="54"/>
      <x:c r="AF133" s="54"/>
      <x:c r="AG133" s="54"/>
      <x:c r="AH133" s="54"/>
      <x:c r="AI133" s="54"/>
      <x:c r="AJ133" s="54"/>
      <x:c r="AK133" s="54"/>
      <x:c r="AL133" s="54"/>
      <x:c r="AM133" s="54"/>
      <x:c r="AN133" s="54"/>
      <x:c r="AO133" s="54"/>
      <x:c r="AP133" s="54"/>
      <x:c r="AQ133" s="54"/>
      <x:c r="AR133" s="54"/>
      <x:c r="AS133" s="54"/>
      <x:c r="AT133" s="54"/>
      <x:c r="AU133" s="54"/>
      <x:c r="AV133" s="54"/>
      <x:c r="AW133" s="54"/>
    </x:row>
    <x:row r="134">
      <x:c r="A134" s="66" t="n">
        <x:v>9</x:v>
      </x:c>
      <x:c r="B134" s="67" t="n">
        <x:v>13.385605285233833</x:v>
      </x:c>
      <x:c r="C134" s="67" t="n">
        <x:v>9.425893738555768</x:v>
      </x:c>
      <x:c r="D134" s="67" t="n">
        <x:v>29.095632468792246</x:v>
      </x:c>
      <x:c r="E134" s="67"/>
      <x:c r="F134" s="54"/>
      <x:c r="G134" s="54"/>
      <x:c r="H134" s="54"/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  <x:c r="AA134" s="54"/>
      <x:c r="AB134" s="54"/>
      <x:c r="AC134" s="54"/>
      <x:c r="AD134" s="54"/>
      <x:c r="AE134" s="54"/>
      <x:c r="AF134" s="54"/>
      <x:c r="AG134" s="54"/>
      <x:c r="AH134" s="54"/>
      <x:c r="AI134" s="54"/>
      <x:c r="AJ134" s="54"/>
      <x:c r="AK134" s="54"/>
      <x:c r="AL134" s="54"/>
      <x:c r="AM134" s="54"/>
      <x:c r="AN134" s="54"/>
      <x:c r="AO134" s="54"/>
      <x:c r="AP134" s="54"/>
      <x:c r="AQ134" s="54"/>
      <x:c r="AR134" s="54"/>
      <x:c r="AS134" s="54"/>
      <x:c r="AT134" s="54"/>
      <x:c r="AU134" s="54"/>
      <x:c r="AV134" s="54"/>
      <x:c r="AW134" s="54"/>
    </x:row>
    <x:row r="135">
      <x:c r="A135" s="66" t="n">
        <x:v>10</x:v>
      </x:c>
      <x:c r="B135" s="67" t="n">
        <x:v>18.946927188158377</x:v>
      </x:c>
      <x:c r="C135" s="67" t="n">
        <x:v>11.626690383945526</x:v>
      </x:c>
      <x:c r="D135" s="67" t="n">
        <x:v>34.74902947234711</x:v>
      </x:c>
      <x:c r="E135" s="67"/>
      <x:c r="F135" s="54"/>
      <x:c r="G135" s="54"/>
      <x:c r="H135" s="54"/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  <x:c r="AA135" s="54"/>
      <x:c r="AB135" s="54"/>
      <x:c r="AC135" s="54"/>
      <x:c r="AD135" s="54"/>
      <x:c r="AE135" s="54"/>
      <x:c r="AF135" s="54"/>
      <x:c r="AG135" s="54"/>
      <x:c r="AH135" s="54"/>
      <x:c r="AI135" s="54"/>
      <x:c r="AJ135" s="54"/>
      <x:c r="AK135" s="54"/>
      <x:c r="AL135" s="54"/>
      <x:c r="AM135" s="54"/>
      <x:c r="AN135" s="54"/>
      <x:c r="AO135" s="54"/>
      <x:c r="AP135" s="54"/>
      <x:c r="AQ135" s="54"/>
      <x:c r="AR135" s="54"/>
      <x:c r="AS135" s="54"/>
      <x:c r="AT135" s="54"/>
      <x:c r="AU135" s="54"/>
      <x:c r="AV135" s="54"/>
      <x:c r="AW135" s="54"/>
    </x:row>
    <x:row r="136">
      <x:c r="A136" s="66" t="n">
        <x:v>11</x:v>
      </x:c>
      <x:c r="B136" s="67" t="n">
        <x:v>25.259472573736367</x:v>
      </x:c>
      <x:c r="C136" s="67" t="n">
        <x:v>14.254851612499609</x:v>
      </x:c>
      <x:c r="D136" s="67" t="n">
        <x:v>40.70171666679517</x:v>
      </x:c>
      <x:c r="E136" s="67"/>
      <x:c r="F136" s="54"/>
      <x:c r="G136" s="54"/>
      <x:c r="H136" s="54"/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  <x:c r="AA136" s="54"/>
      <x:c r="AB136" s="54"/>
      <x:c r="AC136" s="54"/>
      <x:c r="AD136" s="54"/>
      <x:c r="AE136" s="54"/>
      <x:c r="AF136" s="54"/>
      <x:c r="AG136" s="54"/>
      <x:c r="AH136" s="54"/>
      <x:c r="AI136" s="54"/>
      <x:c r="AJ136" s="54"/>
      <x:c r="AK136" s="54"/>
      <x:c r="AL136" s="54"/>
      <x:c r="AM136" s="54"/>
      <x:c r="AN136" s="54"/>
      <x:c r="AO136" s="54"/>
      <x:c r="AP136" s="54"/>
      <x:c r="AQ136" s="54"/>
      <x:c r="AR136" s="54"/>
      <x:c r="AS136" s="54"/>
      <x:c r="AT136" s="54"/>
      <x:c r="AU136" s="54"/>
      <x:c r="AV136" s="54"/>
      <x:c r="AW136" s="54"/>
    </x:row>
    <x:row r="137">
      <x:c r="A137" s="66" t="n">
        <x:v>12</x:v>
      </x:c>
      <x:c r="B137" s="67" t="n">
        <x:v>32.452567024739544</x:v>
      </x:c>
      <x:c r="C137" s="67" t="n">
        <x:v>17.336015338153125</x:v>
      </x:c>
      <x:c r="D137" s="67" t="n">
        <x:v>47.039754804183126</x:v>
      </x:c>
      <x:c r="E137" s="67"/>
      <x:c r="F137" s="54"/>
      <x:c r="G137" s="54"/>
      <x:c r="H137" s="54"/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  <x:c r="AA137" s="54"/>
      <x:c r="AB137" s="54"/>
      <x:c r="AC137" s="54"/>
      <x:c r="AD137" s="54"/>
      <x:c r="AE137" s="54"/>
      <x:c r="AF137" s="54"/>
      <x:c r="AG137" s="54"/>
      <x:c r="AH137" s="54"/>
      <x:c r="AI137" s="54"/>
      <x:c r="AJ137" s="54"/>
      <x:c r="AK137" s="54"/>
      <x:c r="AL137" s="54"/>
      <x:c r="AM137" s="54"/>
      <x:c r="AN137" s="54"/>
      <x:c r="AO137" s="54"/>
      <x:c r="AP137" s="54"/>
      <x:c r="AQ137" s="54"/>
      <x:c r="AR137" s="54"/>
      <x:c r="AS137" s="54"/>
      <x:c r="AT137" s="54"/>
      <x:c r="AU137" s="54"/>
      <x:c r="AV137" s="54"/>
      <x:c r="AW137" s="54"/>
    </x:row>
    <x:row r="138">
      <x:c r="A138" s="66" t="n">
        <x:v>13</x:v>
      </x:c>
      <x:c r="B138" s="67" t="n">
        <x:v>40.74111750337653</x:v>
      </x:c>
      <x:c r="C138" s="67" t="n">
        <x:v>20.97381995827702</x:v>
      </x:c>
      <x:c r="D138" s="67" t="n">
        <x:v>53.906896378587625</x:v>
      </x:c>
      <x:c r="E138" s="67"/>
      <x:c r="F138" s="54"/>
      <x:c r="G138" s="54"/>
      <x:c r="H138" s="54"/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  <x:c r="AA138" s="54"/>
      <x:c r="AB138" s="54"/>
      <x:c r="AC138" s="54"/>
      <x:c r="AD138" s="54"/>
      <x:c r="AE138" s="54"/>
      <x:c r="AF138" s="54"/>
      <x:c r="AG138" s="54"/>
      <x:c r="AH138" s="54"/>
      <x:c r="AI138" s="54"/>
      <x:c r="AJ138" s="54"/>
      <x:c r="AK138" s="54"/>
      <x:c r="AL138" s="54"/>
      <x:c r="AM138" s="54"/>
      <x:c r="AN138" s="54"/>
      <x:c r="AO138" s="54"/>
      <x:c r="AP138" s="54"/>
      <x:c r="AQ138" s="54"/>
      <x:c r="AR138" s="54"/>
      <x:c r="AS138" s="54"/>
      <x:c r="AT138" s="54"/>
      <x:c r="AU138" s="54"/>
      <x:c r="AV138" s="54"/>
      <x:c r="AW138" s="54"/>
    </x:row>
    <x:row r="139">
      <x:c r="A139" s="66" t="n">
        <x:v>14</x:v>
      </x:c>
      <x:c r="B139" s="67" t="n">
        <x:v>50.527957135929796</x:v>
      </x:c>
      <x:c r="C139" s="67" t="n">
        <x:v>25.431816306941318</x:v>
      </x:c>
      <x:c r="D139" s="67" t="n">
        <x:v>61.58580100377423</x:v>
      </x:c>
      <x:c r="E139" s="67"/>
      <x:c r="F139" s="54"/>
      <x:c r="G139" s="54"/>
      <x:c r="H139" s="54"/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  <x:c r="AA139" s="54"/>
      <x:c r="AB139" s="54"/>
      <x:c r="AC139" s="54"/>
      <x:c r="AD139" s="54"/>
      <x:c r="AE139" s="54"/>
      <x:c r="AF139" s="54"/>
      <x:c r="AG139" s="54"/>
      <x:c r="AH139" s="54"/>
      <x:c r="AI139" s="54"/>
      <x:c r="AJ139" s="54"/>
      <x:c r="AK139" s="54"/>
      <x:c r="AL139" s="54"/>
      <x:c r="AM139" s="54"/>
      <x:c r="AN139" s="54"/>
      <x:c r="AO139" s="54"/>
      <x:c r="AP139" s="54"/>
      <x:c r="AQ139" s="54"/>
      <x:c r="AR139" s="54"/>
      <x:c r="AS139" s="54"/>
      <x:c r="AT139" s="54"/>
      <x:c r="AU139" s="54"/>
      <x:c r="AV139" s="54"/>
      <x:c r="AW139" s="54"/>
    </x:row>
    <x:row r="140">
      <x:c r="A140" s="66" t="n">
        <x:v>15</x:v>
      </x:c>
      <x:c r="B140" s="67" t="n">
        <x:v>62.81178016592973</x:v>
      </x:c>
      <x:c r="C140" s="67" t="n">
        <x:v>31.474174084182785</x:v>
      </x:c>
      <x:c r="D140" s="67" t="n">
        <x:v>62.81178016592973</x:v>
      </x:c>
      <x:c r="E140" s="67"/>
      <x:c r="F140" s="54"/>
      <x:c r="G140" s="54"/>
      <x:c r="H140" s="54"/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  <x:c r="AA140" s="54"/>
      <x:c r="AB140" s="54"/>
      <x:c r="AC140" s="54"/>
      <x:c r="AD140" s="54"/>
      <x:c r="AE140" s="54"/>
      <x:c r="AF140" s="54"/>
      <x:c r="AG140" s="54"/>
      <x:c r="AH140" s="54"/>
      <x:c r="AI140" s="54"/>
      <x:c r="AJ140" s="54"/>
      <x:c r="AK140" s="54"/>
      <x:c r="AL140" s="54"/>
      <x:c r="AM140" s="54"/>
      <x:c r="AN140" s="54"/>
      <x:c r="AO140" s="54"/>
      <x:c r="AP140" s="54"/>
      <x:c r="AQ140" s="54"/>
      <x:c r="AR140" s="54"/>
      <x:c r="AS140" s="54"/>
      <x:c r="AT140" s="54"/>
      <x:c r="AU140" s="54"/>
      <x:c r="AV140" s="54"/>
      <x:c r="AW140" s="54"/>
    </x:row>
    <x:row r="141">
      <x:c r="A141" s="54"/>
      <x:c r="B141" s="54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  <x:c r="AA141" s="54"/>
      <x:c r="AB141" s="54"/>
      <x:c r="AC141" s="54"/>
      <x:c r="AD141" s="54"/>
      <x:c r="AE141" s="54"/>
      <x:c r="AF141" s="54"/>
      <x:c r="AG141" s="54"/>
      <x:c r="AH141" s="54"/>
      <x:c r="AI141" s="54"/>
      <x:c r="AJ141" s="54"/>
      <x:c r="AK141" s="54"/>
      <x:c r="AL141" s="54"/>
      <x:c r="AM141" s="54"/>
      <x:c r="AN141" s="54"/>
      <x:c r="AO141" s="54"/>
      <x:c r="AP141" s="54"/>
      <x:c r="AQ141" s="54"/>
      <x:c r="AR141" s="54"/>
      <x:c r="AS141" s="54"/>
      <x:c r="AT141" s="54"/>
      <x:c r="AU141" s="54"/>
      <x:c r="AV141" s="54"/>
      <x:c r="AW141" s="54"/>
    </x:row>
    <x:row r="142">
      <x:c r="A142" s="54"/>
      <x:c r="B142" s="54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  <x:c r="AA142" s="54"/>
      <x:c r="AB142" s="54"/>
      <x:c r="AC142" s="54"/>
      <x:c r="AD142" s="54"/>
      <x:c r="AE142" s="54"/>
      <x:c r="AF142" s="54"/>
      <x:c r="AG142" s="54"/>
      <x:c r="AH142" s="54"/>
      <x:c r="AI142" s="54"/>
      <x:c r="AJ142" s="54"/>
      <x:c r="AK142" s="54"/>
      <x:c r="AL142" s="54"/>
      <x:c r="AM142" s="54"/>
      <x:c r="AN142" s="54"/>
      <x:c r="AO142" s="54"/>
      <x:c r="AP142" s="54"/>
      <x:c r="AQ142" s="54"/>
      <x:c r="AR142" s="54"/>
      <x:c r="AS142" s="54"/>
      <x:c r="AT142" s="54"/>
      <x:c r="AU142" s="54"/>
      <x:c r="AV142" s="54"/>
      <x:c r="AW142" s="54"/>
    </x:row>
    <x:row r="143">
      <x:c r="A143" s="54"/>
      <x:c r="B143" s="54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  <x:c r="AA143" s="54"/>
      <x:c r="AB143" s="54"/>
      <x:c r="AC143" s="54"/>
      <x:c r="AD143" s="54"/>
      <x:c r="AE143" s="54"/>
      <x:c r="AF143" s="54"/>
      <x:c r="AG143" s="54"/>
      <x:c r="AH143" s="54"/>
      <x:c r="AI143" s="54"/>
      <x:c r="AJ143" s="54"/>
      <x:c r="AK143" s="54"/>
      <x:c r="AL143" s="54"/>
      <x:c r="AM143" s="54"/>
      <x:c r="AN143" s="54"/>
      <x:c r="AO143" s="54"/>
      <x:c r="AP143" s="54"/>
      <x:c r="AQ143" s="54"/>
      <x:c r="AR143" s="54"/>
      <x:c r="AS143" s="54"/>
      <x:c r="AT143" s="54"/>
      <x:c r="AU143" s="54"/>
      <x:c r="AV143" s="54"/>
      <x:c r="AW143" s="54"/>
    </x:row>
    <x:row r="144">
      <x:c r="A144" s="54"/>
      <x:c r="B144" s="54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  <x:c r="AA144" s="54"/>
      <x:c r="AB144" s="54"/>
      <x:c r="AC144" s="54"/>
      <x:c r="AD144" s="54"/>
      <x:c r="AE144" s="54"/>
      <x:c r="AF144" s="54"/>
      <x:c r="AG144" s="54"/>
      <x:c r="AH144" s="54"/>
      <x:c r="AI144" s="54"/>
      <x:c r="AJ144" s="54"/>
      <x:c r="AK144" s="54"/>
      <x:c r="AL144" s="54"/>
      <x:c r="AM144" s="54"/>
      <x:c r="AN144" s="54"/>
      <x:c r="AO144" s="54"/>
      <x:c r="AP144" s="54"/>
      <x:c r="AQ144" s="54"/>
      <x:c r="AR144" s="54"/>
      <x:c r="AS144" s="54"/>
      <x:c r="AT144" s="54"/>
      <x:c r="AU144" s="54"/>
      <x:c r="AV144" s="54"/>
      <x:c r="AW144" s="54"/>
    </x:row>
    <x:row r="145">
      <x:c r="A145" s="54"/>
      <x:c r="B145" s="54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  <x:c r="AA145" s="54"/>
      <x:c r="AB145" s="54"/>
      <x:c r="AC145" s="54"/>
      <x:c r="AD145" s="54"/>
      <x:c r="AE145" s="54"/>
      <x:c r="AF145" s="54"/>
      <x:c r="AG145" s="54"/>
      <x:c r="AH145" s="54"/>
      <x:c r="AI145" s="54"/>
      <x:c r="AJ145" s="54"/>
      <x:c r="AK145" s="54"/>
      <x:c r="AL145" s="54"/>
      <x:c r="AM145" s="54"/>
      <x:c r="AN145" s="54"/>
      <x:c r="AO145" s="54"/>
      <x:c r="AP145" s="54"/>
      <x:c r="AQ145" s="54"/>
      <x:c r="AR145" s="54"/>
      <x:c r="AS145" s="54"/>
      <x:c r="AT145" s="54"/>
      <x:c r="AU145" s="54"/>
      <x:c r="AV145" s="54"/>
      <x:c r="AW145" s="54"/>
    </x:row>
    <x:row r="146">
      <x:c r="A146" s="54"/>
      <x:c r="B146" s="54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  <x:c r="AA146" s="54"/>
      <x:c r="AB146" s="54"/>
      <x:c r="AC146" s="54"/>
      <x:c r="AD146" s="54"/>
      <x:c r="AE146" s="54"/>
      <x:c r="AF146" s="54"/>
      <x:c r="AG146" s="54"/>
      <x:c r="AH146" s="54"/>
      <x:c r="AI146" s="54"/>
      <x:c r="AJ146" s="54"/>
      <x:c r="AK146" s="54"/>
      <x:c r="AL146" s="54"/>
      <x:c r="AM146" s="54"/>
      <x:c r="AN146" s="54"/>
      <x:c r="AO146" s="54"/>
      <x:c r="AP146" s="54"/>
      <x:c r="AQ146" s="54"/>
      <x:c r="AR146" s="54"/>
      <x:c r="AS146" s="54"/>
      <x:c r="AT146" s="54"/>
      <x:c r="AU146" s="54"/>
      <x:c r="AV146" s="54"/>
      <x:c r="AW146" s="54"/>
    </x:row>
    <x:row r="147">
      <x:c r="A147" s="54"/>
      <x:c r="B147" s="54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  <x:c r="AA147" s="54"/>
      <x:c r="AB147" s="54"/>
      <x:c r="AC147" s="54"/>
      <x:c r="AD147" s="54"/>
      <x:c r="AE147" s="54"/>
      <x:c r="AF147" s="54"/>
      <x:c r="AG147" s="54"/>
      <x:c r="AH147" s="54"/>
      <x:c r="AI147" s="54"/>
      <x:c r="AJ147" s="54"/>
      <x:c r="AK147" s="54"/>
      <x:c r="AL147" s="54"/>
      <x:c r="AM147" s="54"/>
      <x:c r="AN147" s="54"/>
      <x:c r="AO147" s="54"/>
      <x:c r="AP147" s="54"/>
      <x:c r="AQ147" s="54"/>
      <x:c r="AR147" s="54"/>
      <x:c r="AS147" s="54"/>
      <x:c r="AT147" s="54"/>
      <x:c r="AU147" s="54"/>
      <x:c r="AV147" s="54"/>
      <x:c r="AW147" s="54"/>
    </x:row>
    <x:row r="148">
      <x:c r="A148" s="54"/>
      <x:c r="B148" s="54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  <x:c r="AA148" s="54"/>
      <x:c r="AB148" s="54"/>
      <x:c r="AC148" s="54"/>
      <x:c r="AD148" s="54"/>
      <x:c r="AE148" s="54"/>
      <x:c r="AF148" s="54"/>
      <x:c r="AG148" s="54"/>
      <x:c r="AH148" s="54"/>
      <x:c r="AI148" s="54"/>
      <x:c r="AJ148" s="54"/>
      <x:c r="AK148" s="54"/>
      <x:c r="AL148" s="54"/>
      <x:c r="AM148" s="54"/>
      <x:c r="AN148" s="54"/>
      <x:c r="AO148" s="54"/>
      <x:c r="AP148" s="54"/>
      <x:c r="AQ148" s="54"/>
      <x:c r="AR148" s="54"/>
      <x:c r="AS148" s="54"/>
      <x:c r="AT148" s="54"/>
      <x:c r="AU148" s="54"/>
      <x:c r="AV148" s="54"/>
      <x:c r="AW148" s="54"/>
    </x:row>
    <x:row r="149">
      <x:c r="A149" s="54"/>
      <x:c r="B149" s="54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  <x:c r="AA149" s="54"/>
      <x:c r="AB149" s="54"/>
      <x:c r="AC149" s="54"/>
      <x:c r="AD149" s="54"/>
      <x:c r="AE149" s="54"/>
      <x:c r="AF149" s="54"/>
      <x:c r="AG149" s="54"/>
      <x:c r="AH149" s="54"/>
      <x:c r="AI149" s="54"/>
      <x:c r="AJ149" s="54"/>
      <x:c r="AK149" s="54"/>
      <x:c r="AL149" s="54"/>
      <x:c r="AM149" s="54"/>
      <x:c r="AN149" s="54"/>
      <x:c r="AO149" s="54"/>
      <x:c r="AP149" s="54"/>
      <x:c r="AQ149" s="54"/>
      <x:c r="AR149" s="54"/>
      <x:c r="AS149" s="54"/>
      <x:c r="AT149" s="54"/>
      <x:c r="AU149" s="54"/>
      <x:c r="AV149" s="54"/>
      <x:c r="AW149" s="54"/>
    </x:row>
    <x:row r="150">
      <x:c r="A150" s="54"/>
      <x:c r="B150" s="54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  <x:c r="AA150" s="54"/>
      <x:c r="AB150" s="54"/>
      <x:c r="AC150" s="54"/>
      <x:c r="AD150" s="54"/>
      <x:c r="AE150" s="54"/>
      <x:c r="AF150" s="54"/>
      <x:c r="AG150" s="54"/>
      <x:c r="AH150" s="54"/>
      <x:c r="AI150" s="54"/>
      <x:c r="AJ150" s="54"/>
      <x:c r="AK150" s="54"/>
      <x:c r="AL150" s="54"/>
      <x:c r="AM150" s="54"/>
      <x:c r="AN150" s="54"/>
      <x:c r="AO150" s="54"/>
      <x:c r="AP150" s="54"/>
      <x:c r="AQ150" s="54"/>
      <x:c r="AR150" s="54"/>
      <x:c r="AS150" s="54"/>
      <x:c r="AT150" s="54"/>
      <x:c r="AU150" s="54"/>
      <x:c r="AV150" s="54"/>
      <x:c r="AW150" s="54"/>
    </x:row>
    <x:row r="151">
      <x:c r="A151" s="54"/>
      <x:c r="B151" s="54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  <x:c r="AA151" s="54"/>
      <x:c r="AB151" s="54"/>
      <x:c r="AC151" s="54"/>
      <x:c r="AD151" s="54"/>
      <x:c r="AE151" s="54"/>
      <x:c r="AF151" s="54"/>
      <x:c r="AG151" s="54"/>
      <x:c r="AH151" s="54"/>
      <x:c r="AI151" s="54"/>
      <x:c r="AJ151" s="54"/>
      <x:c r="AK151" s="54"/>
      <x:c r="AL151" s="54"/>
      <x:c r="AM151" s="54"/>
      <x:c r="AN151" s="54"/>
      <x:c r="AO151" s="54"/>
      <x:c r="AP151" s="54"/>
      <x:c r="AQ151" s="54"/>
      <x:c r="AR151" s="54"/>
      <x:c r="AS151" s="54"/>
      <x:c r="AT151" s="54"/>
      <x:c r="AU151" s="54"/>
      <x:c r="AV151" s="54"/>
      <x:c r="AW151" s="54"/>
    </x:row>
    <x:row r="152">
      <x:c r="A152" s="54"/>
      <x:c r="B152" s="54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  <x:c r="AA152" s="54"/>
      <x:c r="AB152" s="54"/>
      <x:c r="AC152" s="54"/>
      <x:c r="AD152" s="54"/>
      <x:c r="AE152" s="54"/>
      <x:c r="AF152" s="54"/>
      <x:c r="AG152" s="54"/>
      <x:c r="AH152" s="54"/>
      <x:c r="AI152" s="54"/>
      <x:c r="AJ152" s="54"/>
      <x:c r="AK152" s="54"/>
      <x:c r="AL152" s="54"/>
      <x:c r="AM152" s="54"/>
      <x:c r="AN152" s="54"/>
      <x:c r="AO152" s="54"/>
      <x:c r="AP152" s="54"/>
      <x:c r="AQ152" s="54"/>
      <x:c r="AR152" s="54"/>
      <x:c r="AS152" s="54"/>
      <x:c r="AT152" s="54"/>
      <x:c r="AU152" s="54"/>
      <x:c r="AV152" s="54"/>
      <x:c r="AW152" s="54"/>
    </x:row>
    <x:row r="153">
      <x:c r="A153" s="54"/>
      <x:c r="B153" s="54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  <x:c r="AA153" s="54"/>
      <x:c r="AB153" s="54"/>
      <x:c r="AC153" s="54"/>
      <x:c r="AD153" s="54"/>
      <x:c r="AE153" s="54"/>
      <x:c r="AF153" s="54"/>
      <x:c r="AG153" s="54"/>
      <x:c r="AH153" s="54"/>
      <x:c r="AI153" s="54"/>
      <x:c r="AJ153" s="54"/>
      <x:c r="AK153" s="54"/>
      <x:c r="AL153" s="54"/>
      <x:c r="AM153" s="54"/>
      <x:c r="AN153" s="54"/>
      <x:c r="AO153" s="54"/>
      <x:c r="AP153" s="54"/>
      <x:c r="AQ153" s="54"/>
      <x:c r="AR153" s="54"/>
      <x:c r="AS153" s="54"/>
      <x:c r="AT153" s="54"/>
      <x:c r="AU153" s="54"/>
      <x:c r="AV153" s="54"/>
      <x:c r="AW153" s="54"/>
    </x:row>
    <x:row r="154">
      <x:c r="A154" s="54"/>
      <x:c r="B154" s="54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  <x:c r="AA154" s="54"/>
      <x:c r="AB154" s="54"/>
      <x:c r="AC154" s="54"/>
      <x:c r="AD154" s="54"/>
      <x:c r="AE154" s="54"/>
      <x:c r="AF154" s="54"/>
      <x:c r="AG154" s="54"/>
      <x:c r="AH154" s="54"/>
      <x:c r="AI154" s="54"/>
      <x:c r="AJ154" s="54"/>
      <x:c r="AK154" s="54"/>
      <x:c r="AL154" s="54"/>
      <x:c r="AM154" s="54"/>
      <x:c r="AN154" s="54"/>
      <x:c r="AO154" s="54"/>
      <x:c r="AP154" s="54"/>
      <x:c r="AQ154" s="54"/>
      <x:c r="AR154" s="54"/>
      <x:c r="AS154" s="54"/>
      <x:c r="AT154" s="54"/>
      <x:c r="AU154" s="54"/>
      <x:c r="AV154" s="54"/>
      <x:c r="AW154" s="54"/>
    </x:row>
    <x:row r="155">
      <x:c r="A155" s="54"/>
      <x:c r="B155" s="54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  <x:c r="AA155" s="54"/>
      <x:c r="AB155" s="54"/>
      <x:c r="AC155" s="54"/>
      <x:c r="AD155" s="54"/>
      <x:c r="AE155" s="54"/>
      <x:c r="AF155" s="54"/>
      <x:c r="AG155" s="54"/>
      <x:c r="AH155" s="54"/>
      <x:c r="AI155" s="54"/>
      <x:c r="AJ155" s="54"/>
      <x:c r="AK155" s="54"/>
      <x:c r="AL155" s="54"/>
      <x:c r="AM155" s="54"/>
      <x:c r="AN155" s="54"/>
      <x:c r="AO155" s="54"/>
      <x:c r="AP155" s="54"/>
      <x:c r="AQ155" s="54"/>
      <x:c r="AR155" s="54"/>
      <x:c r="AS155" s="54"/>
      <x:c r="AT155" s="54"/>
      <x:c r="AU155" s="54"/>
      <x:c r="AV155" s="54"/>
      <x:c r="AW155" s="54"/>
    </x:row>
    <x:row r="156">
      <x:c r="A156" s="54"/>
      <x:c r="B156" s="54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  <x:c r="AA156" s="54"/>
      <x:c r="AB156" s="54"/>
      <x:c r="AC156" s="54"/>
      <x:c r="AD156" s="54"/>
      <x:c r="AE156" s="54"/>
      <x:c r="AF156" s="54"/>
      <x:c r="AG156" s="54"/>
      <x:c r="AH156" s="54"/>
      <x:c r="AI156" s="54"/>
      <x:c r="AJ156" s="54"/>
      <x:c r="AK156" s="54"/>
      <x:c r="AL156" s="54"/>
      <x:c r="AM156" s="54"/>
      <x:c r="AN156" s="54"/>
      <x:c r="AO156" s="54"/>
      <x:c r="AP156" s="54"/>
      <x:c r="AQ156" s="54"/>
      <x:c r="AR156" s="54"/>
      <x:c r="AS156" s="54"/>
      <x:c r="AT156" s="54"/>
      <x:c r="AU156" s="54"/>
      <x:c r="AV156" s="54"/>
      <x:c r="AW156" s="54"/>
    </x:row>
    <x:row r="157">
      <x:c r="A157" s="54"/>
      <x:c r="B157" s="54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  <x:c r="AA157" s="54"/>
      <x:c r="AB157" s="54"/>
      <x:c r="AC157" s="54"/>
      <x:c r="AD157" s="54"/>
      <x:c r="AE157" s="54"/>
      <x:c r="AF157" s="54"/>
      <x:c r="AG157" s="54"/>
      <x:c r="AH157" s="54"/>
      <x:c r="AI157" s="54"/>
      <x:c r="AJ157" s="54"/>
      <x:c r="AK157" s="54"/>
      <x:c r="AL157" s="54"/>
      <x:c r="AM157" s="54"/>
      <x:c r="AN157" s="54"/>
      <x:c r="AO157" s="54"/>
      <x:c r="AP157" s="54"/>
      <x:c r="AQ157" s="54"/>
      <x:c r="AR157" s="54"/>
      <x:c r="AS157" s="54"/>
      <x:c r="AT157" s="54"/>
      <x:c r="AU157" s="54"/>
      <x:c r="AV157" s="54"/>
      <x:c r="AW157" s="54"/>
    </x:row>
    <x:row r="158">
      <x:c r="A158" s="54"/>
      <x:c r="B158" s="54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  <x:c r="AA158" s="54"/>
      <x:c r="AB158" s="54"/>
      <x:c r="AC158" s="54"/>
      <x:c r="AD158" s="54"/>
      <x:c r="AE158" s="54"/>
      <x:c r="AF158" s="54"/>
      <x:c r="AG158" s="54"/>
      <x:c r="AH158" s="54"/>
      <x:c r="AI158" s="54"/>
      <x:c r="AJ158" s="54"/>
      <x:c r="AK158" s="54"/>
      <x:c r="AL158" s="54"/>
      <x:c r="AM158" s="54"/>
      <x:c r="AN158" s="54"/>
      <x:c r="AO158" s="54"/>
      <x:c r="AP158" s="54"/>
      <x:c r="AQ158" s="54"/>
      <x:c r="AR158" s="54"/>
      <x:c r="AS158" s="54"/>
      <x:c r="AT158" s="54"/>
      <x:c r="AU158" s="54"/>
      <x:c r="AV158" s="54"/>
      <x:c r="AW158" s="54"/>
    </x:row>
    <x:row r="159">
      <x:c r="A159" s="54"/>
      <x:c r="B159" s="54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  <x:c r="AA159" s="54"/>
      <x:c r="AB159" s="54"/>
      <x:c r="AC159" s="54"/>
      <x:c r="AD159" s="54"/>
      <x:c r="AE159" s="54"/>
      <x:c r="AF159" s="54"/>
      <x:c r="AG159" s="54"/>
      <x:c r="AH159" s="54"/>
      <x:c r="AI159" s="54"/>
      <x:c r="AJ159" s="54"/>
      <x:c r="AK159" s="54"/>
      <x:c r="AL159" s="54"/>
      <x:c r="AM159" s="54"/>
      <x:c r="AN159" s="54"/>
      <x:c r="AO159" s="54"/>
      <x:c r="AP159" s="54"/>
      <x:c r="AQ159" s="54"/>
      <x:c r="AR159" s="54"/>
      <x:c r="AS159" s="54"/>
      <x:c r="AT159" s="54"/>
      <x:c r="AU159" s="54"/>
      <x:c r="AV159" s="54"/>
      <x:c r="AW159" s="54"/>
    </x:row>
    <x:row r="160">
      <x:c r="A160" s="54"/>
      <x:c r="B160" s="54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  <x:c r="AA160" s="54"/>
      <x:c r="AB160" s="54"/>
      <x:c r="AC160" s="54"/>
      <x:c r="AD160" s="54"/>
      <x:c r="AE160" s="54"/>
      <x:c r="AF160" s="54"/>
      <x:c r="AG160" s="54"/>
      <x:c r="AH160" s="54"/>
      <x:c r="AI160" s="54"/>
      <x:c r="AJ160" s="54"/>
      <x:c r="AK160" s="54"/>
      <x:c r="AL160" s="54"/>
      <x:c r="AM160" s="54"/>
      <x:c r="AN160" s="54"/>
      <x:c r="AO160" s="54"/>
      <x:c r="AP160" s="54"/>
      <x:c r="AQ160" s="54"/>
      <x:c r="AR160" s="54"/>
      <x:c r="AS160" s="54"/>
      <x:c r="AT160" s="54"/>
      <x:c r="AU160" s="54"/>
      <x:c r="AV160" s="54"/>
      <x:c r="AW160" s="5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</x:cols>
  <x:sheetData>
    <x:row r="1">
      <x:c r="A1" s="86" t="str">
        <x:v>Deck 1: 4×15 — formula model, fixed m=15</x:v>
      </x:c>
      <x:c r="B1" s="86" t="str"/>
      <x:c r="C1" s="86" t="str"/>
      <x:c r="D1" s="86" t="str"/>
      <x:c r="E1" s="86" t="str"/>
      <x:c r="F1" s="86" t="str"/>
      <x:c r="G1" s="86" t="str"/>
      <x:c r="H1" s="86" t="str"/>
      <x:c r="I1" s="86" t="str"/>
      <x:c r="J1" s="86" t="str"/>
      <x:c r="K1" s="86" t="str"/>
      <x:c r="L1" s="86" t="str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  <x:c r="AA1" s="54"/>
      <x:c r="AB1" s="54"/>
      <x:c r="AC1" s="54"/>
      <x:c r="AD1" s="54"/>
      <x:c r="AE1" s="54"/>
      <x:c r="AF1" s="54"/>
      <x:c r="AG1" s="54"/>
      <x:c r="AH1" s="54"/>
      <x:c r="AI1" s="54"/>
      <x:c r="AJ1" s="54"/>
      <x:c r="AK1" s="54"/>
      <x:c r="AL1" s="54"/>
      <x:c r="AM1" s="54"/>
      <x:c r="AN1" s="54"/>
      <x:c r="AO1" s="54"/>
      <x:c r="AP1" s="54"/>
      <x:c r="AQ1" s="54"/>
      <x:c r="AR1" s="54"/>
      <x:c r="AS1" s="54"/>
      <x:c r="AT1" s="54"/>
      <x:c r="AU1" s="54"/>
      <x:c r="AV1" s="54"/>
      <x:c r="AW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  <x:c r="AA2" s="54"/>
      <x:c r="AB2" s="54"/>
      <x:c r="AC2" s="54"/>
      <x:c r="AD2" s="54"/>
      <x:c r="AE2" s="54"/>
      <x:c r="AF2" s="54"/>
      <x:c r="AG2" s="54"/>
      <x:c r="AH2" s="54"/>
      <x:c r="AI2" s="54"/>
      <x:c r="AJ2" s="54"/>
      <x:c r="AK2" s="54"/>
      <x:c r="AL2" s="54"/>
      <x:c r="AM2" s="54"/>
      <x:c r="AN2" s="54"/>
      <x:c r="AO2" s="54"/>
      <x:c r="AP2" s="54"/>
      <x:c r="AQ2" s="54"/>
      <x:c r="AR2" s="54"/>
      <x:c r="AS2" s="54"/>
      <x:c r="AT2" s="54"/>
      <x:c r="AU2" s="54"/>
      <x:c r="AV2" s="54"/>
      <x:c r="AW2" s="54"/>
    </x:row>
    <x:row r="3">
      <x:c r="A3" s="72" t="str">
        <x:v>Deck</x:v>
      </x:c>
      <x:c r="B3" s="72" t="str">
        <x:v>Deck 1: 4×15</x:v>
      </x:c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  <x:c r="AA3" s="54"/>
      <x:c r="AB3" s="54"/>
      <x:c r="AC3" s="54"/>
      <x:c r="AD3" s="54"/>
      <x:c r="AE3" s="54"/>
      <x:c r="AF3" s="54"/>
      <x:c r="AG3" s="54"/>
      <x:c r="AH3" s="54"/>
      <x:c r="AI3" s="54"/>
      <x:c r="AJ3" s="54"/>
      <x:c r="AK3" s="54"/>
      <x:c r="AL3" s="54"/>
      <x:c r="AM3" s="54"/>
      <x:c r="AN3" s="54"/>
      <x:c r="AO3" s="54"/>
      <x:c r="AP3" s="54"/>
      <x:c r="AQ3" s="54"/>
      <x:c r="AR3" s="54"/>
      <x:c r="AS3" s="54"/>
      <x:c r="AT3" s="54"/>
      <x:c r="AU3" s="54"/>
      <x:c r="AV3" s="54"/>
      <x:c r="AW3" s="54"/>
    </x:row>
    <x:row r="4">
      <x:c r="A4" s="72" t="str">
        <x:v>Energy count</x:v>
      </x:c>
      <x:c r="B4" s="72" t="n">
        <x:f>Inputs!$B$25</x:f>
        <x:v>4</x:v>
      </x:c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  <x:c r="AJ4" s="54"/>
      <x:c r="AK4" s="54"/>
      <x:c r="AL4" s="54"/>
      <x:c r="AM4" s="54"/>
      <x:c r="AN4" s="54"/>
      <x:c r="AO4" s="54"/>
      <x:c r="AP4" s="54"/>
      <x:c r="AQ4" s="54"/>
      <x:c r="AR4" s="54"/>
      <x:c r="AS4" s="54"/>
      <x:c r="AT4" s="54"/>
      <x:c r="AU4" s="54"/>
      <x:c r="AV4" s="54"/>
      <x:c r="AW4" s="54"/>
    </x:row>
    <x:row r="5">
      <x:c r="A5" s="72" t="str">
        <x:v>Deck size</x:v>
      </x:c>
      <x:c r="B5" s="72" t="n">
        <x:f>Inputs!$B$4*B4</x:f>
        <x:v>60</x:v>
      </x:c>
      <x:c r="C5" s="54"/>
      <x:c r="D5" s="54"/>
      <x:c r="E5" s="54"/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  <x:c r="AA5" s="54"/>
      <x:c r="AB5" s="54"/>
      <x:c r="AC5" s="54"/>
      <x:c r="AD5" s="54"/>
      <x:c r="AE5" s="54"/>
      <x:c r="AF5" s="54"/>
      <x:c r="AG5" s="54"/>
      <x:c r="AH5" s="54"/>
      <x:c r="AI5" s="54"/>
      <x:c r="AJ5" s="54"/>
      <x:c r="AK5" s="54"/>
      <x:c r="AL5" s="54"/>
      <x:c r="AM5" s="54"/>
      <x:c r="AN5" s="54"/>
      <x:c r="AO5" s="54"/>
      <x:c r="AP5" s="54"/>
      <x:c r="AQ5" s="54"/>
      <x:c r="AR5" s="54"/>
      <x:c r="AS5" s="54"/>
      <x:c r="AT5" s="54"/>
      <x:c r="AU5" s="54"/>
      <x:c r="AV5" s="54"/>
      <x:c r="AW5" s="54"/>
    </x:row>
    <x:row r="6">
      <x:c r="A6" s="73" t="str">
        <x:v>Fixed m</x:v>
      </x:c>
      <x:c r="B6" s="73" t="n">
        <x:f>Inputs!$B$5</x:f>
        <x:v>15</x:v>
      </x:c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54"/>
      <x:c r="AA6" s="54"/>
      <x:c r="AB6" s="54"/>
      <x:c r="AC6" s="54"/>
      <x:c r="AD6" s="54"/>
      <x:c r="AE6" s="54"/>
      <x:c r="AF6" s="54"/>
      <x:c r="AG6" s="54"/>
      <x:c r="AH6" s="54"/>
      <x:c r="AI6" s="54"/>
      <x:c r="AJ6" s="54"/>
      <x:c r="AK6" s="54"/>
      <x:c r="AL6" s="54"/>
      <x:c r="AM6" s="54"/>
      <x:c r="AN6" s="54"/>
      <x:c r="AO6" s="54"/>
      <x:c r="AP6" s="54"/>
      <x:c r="AQ6" s="54"/>
      <x:c r="AR6" s="54"/>
      <x:c r="AS6" s="54"/>
      <x:c r="AT6" s="54"/>
      <x:c r="AU6" s="54"/>
      <x:c r="AV6" s="54"/>
      <x:c r="AW6" s="54"/>
    </x:row>
    <x:row r="7">
      <x:c r="A7" s="65" t="str">
        <x:v>Size</x:v>
      </x:c>
      <x:c r="B7" s="74" t="str">
        <x:v>C_Patterns</x:v>
      </x:c>
      <x:c r="C7" s="74" t="str">
        <x:v>C_ExpOpp</x:v>
      </x:c>
      <x:c r="D7" s="74" t="str">
        <x:v>C_P_fixed</x:v>
      </x:c>
      <x:c r="E7" s="74" t="str">
        <x:v>C_D_fixed</x:v>
      </x:c>
      <x:c r="F7" s="74" t="str">
        <x:v>C_P_extend</x:v>
      </x:c>
      <x:c r="G7" s="74" t="str">
        <x:v>C_P_marginal</x:v>
      </x:c>
      <x:c r="H7" s="74" t="str">
        <x:v>C_D_marginal</x:v>
      </x:c>
      <x:c r="I7" s="74" t="str">
        <x:v>C_BaselineD</x:v>
      </x:c>
      <x:c r="J7" s="74" t="str">
        <x:v>C_Utility</x:v>
      </x:c>
      <x:c r="K7" s="74" t="str">
        <x:v>C_Role</x:v>
      </x:c>
      <x:c r="L7" s="74" t="str">
        <x:v>C_AdjD</x:v>
      </x:c>
      <x:c r="M7" s="74" t="str">
        <x:v>C_AdjScore</x:v>
      </x:c>
      <x:c r="N7" s="75" t="str">
        <x:v>T_Patterns</x:v>
      </x:c>
      <x:c r="O7" s="75" t="str">
        <x:v>T_ExpOpp</x:v>
      </x:c>
      <x:c r="P7" s="75" t="str">
        <x:v>T_P_fixed</x:v>
      </x:c>
      <x:c r="Q7" s="75" t="str">
        <x:v>T_D_fixed</x:v>
      </x:c>
      <x:c r="R7" s="75" t="str">
        <x:v>T_P_extend</x:v>
      </x:c>
      <x:c r="S7" s="75" t="str">
        <x:v>T_P_marginal</x:v>
      </x:c>
      <x:c r="T7" s="75" t="str">
        <x:v>T_D_marginal</x:v>
      </x:c>
      <x:c r="U7" s="75" t="str">
        <x:v>T_BaselineD</x:v>
      </x:c>
      <x:c r="V7" s="75" t="str">
        <x:v>T_Utility</x:v>
      </x:c>
      <x:c r="W7" s="75" t="str">
        <x:v>T_Role</x:v>
      </x:c>
      <x:c r="X7" s="75" t="str">
        <x:v>T_AdjD</x:v>
      </x:c>
      <x:c r="Y7" s="75" t="str">
        <x:v>T_AdjScore</x:v>
      </x:c>
      <x:c r="Z7" s="76" t="str">
        <x:v>PT_Patterns</x:v>
      </x:c>
      <x:c r="AA7" s="76" t="str">
        <x:v>PT_ExpOpp</x:v>
      </x:c>
      <x:c r="AB7" s="76" t="str">
        <x:v>PT_P_fixed</x:v>
      </x:c>
      <x:c r="AC7" s="76" t="str">
        <x:v>PT_D_fixed</x:v>
      </x:c>
      <x:c r="AD7" s="76" t="str">
        <x:v>PT_P_extend</x:v>
      </x:c>
      <x:c r="AE7" s="76" t="str">
        <x:v>PT_P_marginal</x:v>
      </x:c>
      <x:c r="AF7" s="76" t="str">
        <x:v>PT_D_marginal</x:v>
      </x:c>
      <x:c r="AG7" s="76" t="str">
        <x:v>PT_BaselineD</x:v>
      </x:c>
      <x:c r="AH7" s="76" t="str">
        <x:v>PT_Utility</x:v>
      </x:c>
      <x:c r="AI7" s="76" t="str">
        <x:v>PT_Role</x:v>
      </x:c>
      <x:c r="AJ7" s="76" t="str">
        <x:v>PT_AdjD</x:v>
      </x:c>
      <x:c r="AK7" s="76" t="str">
        <x:v>PT_AdjScore</x:v>
      </x:c>
      <x:c r="AL7" s="77" t="str">
        <x:v>E_Patterns</x:v>
      </x:c>
      <x:c r="AM7" s="77" t="str">
        <x:v>E_ExpOpp</x:v>
      </x:c>
      <x:c r="AN7" s="77" t="str">
        <x:v>E_P_fixed</x:v>
      </x:c>
      <x:c r="AO7" s="77" t="str">
        <x:v>E_D_fixed</x:v>
      </x:c>
      <x:c r="AP7" s="77" t="str">
        <x:v>E_P_extend</x:v>
      </x:c>
      <x:c r="AQ7" s="77" t="str">
        <x:v>E_P_marginal</x:v>
      </x:c>
      <x:c r="AR7" s="77" t="str">
        <x:v>E_D_marginal</x:v>
      </x:c>
      <x:c r="AS7" s="77" t="str">
        <x:v>E_BaselineD</x:v>
      </x:c>
      <x:c r="AT7" s="77" t="str">
        <x:v>E_Utility</x:v>
      </x:c>
      <x:c r="AU7" s="77" t="str">
        <x:v>E_Role</x:v>
      </x:c>
      <x:c r="AV7" s="77" t="str">
        <x:v>E_AdjD</x:v>
      </x:c>
      <x:c r="AW7" s="77" t="str">
        <x:v>E_AdjScore</x:v>
      </x:c>
    </x:row>
    <x:row r="8">
      <x:c r="A8" s="66" t="n">
        <x:v>3</x:v>
      </x:c>
      <x:c r="B8" s="78" t="n">
        <x:f>$B$4*COMBIN(Inputs!$B$4,$A8)</x:f>
        <x:v>1820</x:v>
      </x:c>
      <x:c r="C8" s="78" t="n">
        <x:f>IF(B8="","",B8*COMBIN($B$5-$A8,Inputs!$B$5-$A8)/COMBIN($B$5,Inputs!$B$5))</x:f>
        <x:v>24.199298655756866</x:v>
      </x:c>
      <x:c r="D8" s="78" t="n">
        <x:f>IF(C8="","",IF(C8&lt;1E-6,C8,1-EXP(-C8)))</x:f>
        <x:v>0.9999999999690701</x:v>
      </x:c>
      <x:c r="E8" s="78" t="n">
        <x:f>IF(D8="","",-LN(D8))</x:f>
        <x:v>3.092992528811549e-11</x:v>
      </x:c>
      <x:c r="F8" s="78" t="str">
        <x:f>IF($A8=3,"",(Inputs!$B$4-($A8-1))/($B$5-($A8-1)))</x:f>
      </x:c>
      <x:c r="G8" s="78" t="n">
        <x:f>IF(B8="","",IF($A8=3,D8,G7*F8))</x:f>
        <x:v>0.9999999999690701</x:v>
      </x:c>
      <x:c r="H8" s="78" t="n">
        <x:f>IF(G8="","",-LN(G8))</x:f>
        <x:v>3.092992528811549e-11</x:v>
      </x:c>
      <x:c r="I8" s="78" t="n">
        <x:f>IF(H8="","",Inputs!$B$7*E8+(1-Inputs!$B$7)*H8)</x:f>
        <x:v>3.092992528811549e-11</x:v>
      </x:c>
      <x:c r="J8" s="78" t="n">
        <x:f>Inputs!$B$12*IF($A8&gt;=6,2,1)*(Inputs!$B$13-Inputs!$B$14)</x:f>
        <x:v>1.5</x:v>
      </x:c>
      <x:c r="K8" s="78" t="n">
        <x:f>0</x:f>
        <x:v>0</x:v>
      </x:c>
      <x:c r="L8" s="78" t="n">
        <x:f>IF(I8="","",MAX(0,I8-Inputs!$B$8*J8+Inputs!$B$9*K8))</x:f>
        <x:v>0</x:v>
      </x:c>
      <x:c r="M8" s="78" t="str">
        <x:f>IF(L8="","",L8*Inputs!$B$10)</x:f>
      </x:c>
      <x:c r="N8" s="78" t="n">
        <x:f>(Inputs!$B$4-$A8+1)*($B$4^$A8)</x:f>
        <x:v>832</x:v>
      </x:c>
      <x:c r="O8" s="78" t="n">
        <x:f>IF(N8="","",N8*COMBIN($B$5-$A8,Inputs!$B$5-$A8)/COMBIN($B$5,Inputs!$B$5))</x:f>
        <x:v>11.062536528345996</x:v>
      </x:c>
      <x:c r="P8" s="78" t="n">
        <x:f>IF(O8="","",IF(O8&lt;1E-6,O8,1-EXP(-O8)))</x:f>
        <x:v>0.9999843107772183</x:v>
      </x:c>
      <x:c r="Q8" s="78" t="n">
        <x:f>IF(P8="","",-LN(P8))</x:f>
        <x:v>0.000015689345858865983</x:v>
      </x:c>
      <x:c r="R8" s="78" t="str">
        <x:f>IF($A8=3,"",((MAX(0,Inputs!$B$4-($A8-1)-1)*2*$B$4+2*$B$4)/(Inputs!$B$4-($A8-1)+1))/($B$5-($A8-1)))</x:f>
      </x:c>
      <x:c r="S8" s="78" t="n">
        <x:f>IF(N8="","",IF($A8=3,P8,S7*R8))</x:f>
        <x:v>0.9999843107772183</x:v>
      </x:c>
      <x:c r="T8" s="78" t="n">
        <x:f>IF(S8="","",-LN(S8))</x:f>
        <x:v>0.000015689345858865983</x:v>
      </x:c>
      <x:c r="U8" s="78" t="n">
        <x:f>IF(T8="","",Inputs!$B$7*Q8+(1-Inputs!$B$7)*T8)</x:f>
        <x:v>0.000015689345858865983</x:v>
      </x:c>
      <x:c r="V8" s="78" t="n">
        <x:f>Inputs!$B$12*MAX(0,Inputs!$B$15-Inputs!$B$16)</x:f>
        <x:v>1</x:v>
      </x:c>
      <x:c r="W8" s="78" t="n">
        <x:f>Inputs!$B$22</x:f>
        <x:v>1.5</x:v>
      </x:c>
      <x:c r="X8" s="78" t="n">
        <x:f>IF(U8="","",MAX(0,U8-Inputs!$B$8*V8+Inputs!$B$9*W8))</x:f>
        <x:v>1.000015689345859</x:v>
      </x:c>
      <x:c r="Y8" s="78" t="n">
        <x:f>IF(X8="","",X8*Inputs!$B$10)</x:f>
        <x:v>2.000031378691718</x:v>
      </x:c>
      <x:c r="Z8" s="78" t="n">
        <x:f>$B$4*(Inputs!$B$4-$A8+1)</x:f>
        <x:v>52</x:v>
      </x:c>
      <x:c r="AA8" s="78" t="n">
        <x:f>IF(Z8="","",Z8*COMBIN($B$5-$A8,Inputs!$B$5-$A8)/COMBIN($B$5,Inputs!$B$5))</x:f>
        <x:v>0.6914085330216247</x:v>
      </x:c>
      <x:c r="AB8" s="78" t="n">
        <x:f>IF(AA8="","",IF(AA8&lt;1E-6,AA8,1-EXP(-AA8)))</x:f>
        <x:v>0.4991299200688545</x:v>
      </x:c>
      <x:c r="AC8" s="78" t="n">
        <x:f>IF(AB8="","",-LN(AB8))</x:f>
        <x:v>0.6948888562591972</x:v>
      </x:c>
      <x:c r="AD8" s="78" t="str">
        <x:f>IF($A8=3,"",((MAX(0,Inputs!$B$4-($A8-1)-1)*2+2)/(Inputs!$B$4-($A8-1)+1))/($B$5-($A8-1)))</x:f>
      </x:c>
      <x:c r="AE8" s="78" t="n">
        <x:f>IF(Z8="","",IF($A8=3,AB8,AE7*AD8))</x:f>
        <x:v>0.4991299200688545</x:v>
      </x:c>
      <x:c r="AF8" s="78" t="n">
        <x:f>IF(AE8="","",-LN(AE8))</x:f>
        <x:v>0.6948888562591972</x:v>
      </x:c>
      <x:c r="AG8" s="78" t="n">
        <x:f>IF(AF8="","",Inputs!$B$7*AC8+(1-Inputs!$B$7)*AF8)</x:f>
        <x:v>0.6948888562591972</x:v>
      </x:c>
      <x:c r="AH8" s="78" t="n">
        <x:f>Inputs!$B$17*(Inputs!$B$12*IF($A8&gt;=6,2,1)*(Inputs!$B$13-Inputs!$B$14)+Inputs!$B$12*MAX(0,Inputs!$B$15-Inputs!$B$16))</x:f>
        <x:v>1.625</x:v>
      </x:c>
      <x:c r="AI8" s="78" t="n">
        <x:f>0</x:f>
        <x:v>0</x:v>
      </x:c>
      <x:c r="AJ8" s="78" t="n">
        <x:f>IF(AG8="","",IF(AND($A8=Inputs!$B$4,Inputs!$B$23=1),L8,MAX(0,AG8-Inputs!$B$8*AH8+Inputs!$B$9*AI8)))</x:f>
        <x:v>0</x:v>
      </x:c>
      <x:c r="AK8" s="78" t="str">
        <x:f>IF(AJ8="","",AJ8*Inputs!$B$10)</x:f>
      </x:c>
      <x:c r="AL8" s="78" t="n">
        <x:f>IF($A8&lt;=$B$4,Inputs!$B$4*COMBIN($B$4,$A8),"")</x:f>
        <x:v>60</x:v>
      </x:c>
      <x:c r="AM8" s="78" t="n">
        <x:f>IF(AL8="","",AL8*COMBIN($B$5-$A8,Inputs!$B$5-$A8)/COMBIN($B$5,Inputs!$B$5))</x:f>
        <x:v>0.7977790765634131</x:v>
      </x:c>
      <x:c r="AN8" s="78" t="n">
        <x:f>IF(AM8="","",IF(AM8&lt;1E-6,AM8,1-EXP(-AM8)))</x:f>
        <x:v>0.5496720016770371</x:v>
      </x:c>
      <x:c r="AO8" s="78" t="n">
        <x:f>IF(AN8="","",-LN(AN8))</x:f>
        <x:v>0.5984335392365301</x:v>
      </x:c>
      <x:c r="AP8" s="78" t="str">
        <x:f>IF(OR($A8=3,$A8&gt;$B$4),"",($B$4-($A8-1))/($B$5-($A8-1)))</x:f>
      </x:c>
      <x:c r="AQ8" s="78" t="n">
        <x:f>IF(AL8="","",IF($A8=3,AN8,AQ7*AP8))</x:f>
        <x:v>0.5496720016770371</x:v>
      </x:c>
      <x:c r="AR8" s="78" t="n">
        <x:f>IF(AQ8="","",-LN(AQ8))</x:f>
        <x:v>0.5984335392365301</x:v>
      </x:c>
      <x:c r="AS8" s="78" t="n">
        <x:f>IF(AR8="","",Inputs!$B$7*AO8+(1-Inputs!$B$7)*AR8)</x:f>
        <x:v>0.5984335392365301</x:v>
      </x:c>
      <x:c r="AT8" s="78" t="n">
        <x:f>IF($A8&gt;$B$4,"",Inputs!$B$12*Inputs!$B$18*IF($A8=3,Inputs!$B$19,IF($A8=4,Inputs!$B$20,IF($A8=5,Inputs!$B$21,0))))</x:f>
        <x:v>1.5</x:v>
      </x:c>
      <x:c r="AU8" s="78" t="n">
        <x:f>IF($A8&gt;$B$4,"",0)</x:f>
        <x:v>0</x:v>
      </x:c>
      <x:c r="AV8" s="78" t="n">
        <x:f>IF(AS8="","",MAX(0,AS8-Inputs!$B$8*AT8+Inputs!$B$9*AU8))</x:f>
        <x:v>0</x:v>
      </x:c>
      <x:c r="AW8" s="78" t="str">
        <x:f>IF(AV8="","",AV8*Inputs!$B$10)</x:f>
      </x:c>
    </x:row>
    <x:row r="9">
      <x:c r="A9" s="66" t="n">
        <x:v>4</x:v>
      </x:c>
      <x:c r="B9" s="78" t="n">
        <x:f>$B$4*COMBIN(Inputs!$B$4,$A9)</x:f>
        <x:v>5460</x:v>
      </x:c>
      <x:c r="C9" s="78" t="n">
        <x:f>IF(B9="","",B9*COMBIN($B$5-$A9,Inputs!$B$5-$A9)/COMBIN($B$5,Inputs!$B$5))</x:f>
        <x:v>15.283767572056965</x:v>
      </x:c>
      <x:c r="D9" s="78" t="n">
        <x:f>IF(C9="","",IF(C9&lt;1E-6,C9,1-EXP(-C9)))</x:f>
        <x:v>0.9999997696734084</x:v>
      </x:c>
      <x:c r="E9" s="78" t="n">
        <x:f>IF(D9="","",-LN(D9))</x:f>
        <x:v>2.303266181022415e-7</x:v>
      </x:c>
      <x:c r="F9" s="78" t="n">
        <x:f>IF($A9=3,"",(Inputs!$B$4-($A9-1))/($B$5-($A9-1)))</x:f>
        <x:v>0.21052631578947367</x:v>
      </x:c>
      <x:c r="G9" s="78" t="n">
        <x:f>IF(B9="","",IF($A9=3,D9,G8*F9))</x:f>
        <x:v>0.2105263157829621</x:v>
      </x:c>
      <x:c r="H9" s="78" t="n">
        <x:f>IF(G9="","",-LN(G9))</x:f>
        <x:v>1.5581446180774798</x:v>
      </x:c>
      <x:c r="I9" s="78" t="n">
        <x:f>IF(H9="","",Inputs!$B$7*E9+(1-Inputs!$B$7)*H9)</x:f>
        <x:v>0.3895363272643335</x:v>
      </x:c>
      <x:c r="J9" s="78" t="n">
        <x:f>Inputs!$B$12*IF($A9&gt;=6,2,1)*(Inputs!$B$13-Inputs!$B$14)</x:f>
        <x:v>1.5</x:v>
      </x:c>
      <x:c r="K9" s="78" t="n">
        <x:f>0</x:f>
        <x:v>0</x:v>
      </x:c>
      <x:c r="L9" s="78" t="n">
        <x:f>IF(I9="","",MAX(0,I9-Inputs!$B$8*J9+Inputs!$B$9*K9))</x:f>
        <x:v>0</x:v>
      </x:c>
      <x:c r="M9" s="78" t="str">
        <x:f>IF(L9="","",L9*Inputs!$B$10)</x:f>
      </x:c>
      <x:c r="N9" s="78" t="n">
        <x:f>(Inputs!$B$4-$A9+1)*($B$4^$A9)</x:f>
        <x:v>3072</x:v>
      </x:c>
      <x:c r="O9" s="78" t="n">
        <x:f>IF(N9="","",N9*COMBIN($B$5-$A9,Inputs!$B$5-$A9)/COMBIN($B$5,Inputs!$B$5))</x:f>
        <x:v>8.599218677904577</x:v>
      </x:c>
      <x:c r="P9" s="78" t="n">
        <x:f>IF(O9="","",IF(O9&lt;1E-6,O9,1-EXP(-O9)))</x:f>
        <x:v>0.9998157503041983</x:v>
      </x:c>
      <x:c r="Q9" s="78" t="n">
        <x:f>IF(P9="","",-LN(P9))</x:f>
        <x:v>0.0001842666718621199</x:v>
      </x:c>
      <x:c r="R9" s="78" t="n">
        <x:f>IF($A9=3,"",((MAX(0,Inputs!$B$4-($A9-1)-1)*2*$B$4+2*$B$4)/(Inputs!$B$4-($A9-1)+1))/($B$5-($A9-1)))</x:f>
        <x:v>0.12955465587044535</x:v>
      </x:c>
      <x:c r="S9" s="78" t="n">
        <x:f>IF(N9="","",IF($A9=3,P9,S8*R9))</x:f>
        <x:v>0.129552623258587</x:v>
      </x:c>
      <x:c r="T9" s="78" t="n">
        <x:f>IF(S9="","",-LN(S9))</x:f>
        <x:v>2.0436681231741094</x:v>
      </x:c>
      <x:c r="U9" s="78" t="n">
        <x:f>IF(T9="","",Inputs!$B$7*Q9+(1-Inputs!$B$7)*T9)</x:f>
        <x:v>0.511055230797424</x:v>
      </x:c>
      <x:c r="V9" s="78" t="n">
        <x:f>Inputs!$B$12*MAX(0,Inputs!$B$15-Inputs!$B$16)</x:f>
        <x:v>1</x:v>
      </x:c>
      <x:c r="W9" s="78" t="n">
        <x:f>Inputs!$B$22</x:f>
        <x:v>1.5</x:v>
      </x:c>
      <x:c r="X9" s="78" t="n">
        <x:f>IF(U9="","",MAX(0,U9-Inputs!$B$8*V9+Inputs!$B$9*W9))</x:f>
        <x:v>1.511055230797424</x:v>
      </x:c>
      <x:c r="Y9" s="78" t="n">
        <x:f>IF(X9="","",X9*Inputs!$B$10)</x:f>
        <x:v>3.022110461594848</x:v>
      </x:c>
      <x:c r="Z9" s="78" t="n">
        <x:f>$B$4*(Inputs!$B$4-$A9+1)</x:f>
        <x:v>48</x:v>
      </x:c>
      <x:c r="AA9" s="78" t="n">
        <x:f>IF(Z9="","",Z9*COMBIN($B$5-$A9,Inputs!$B$5-$A9)/COMBIN($B$5,Inputs!$B$5))</x:f>
        <x:v>0.13436279184225902</x:v>
      </x:c>
      <x:c r="AB9" s="78" t="n">
        <x:f>IF(AA9="","",IF(AA9&lt;1E-6,AA9,1-EXP(-AA9)))</x:f>
        <x:v>0.12572717198852157</x:v>
      </x:c>
      <x:c r="AC9" s="78" t="n">
        <x:f>IF(AB9="","",-LN(AB9))</x:f>
        <x:v>2.073641021364272</x:v>
      </x:c>
      <x:c r="AD9" s="78" t="n">
        <x:f>IF($A9=3,"",((MAX(0,Inputs!$B$4-($A9-1)-1)*2+2)/(Inputs!$B$4-($A9-1)+1))/($B$5-($A9-1)))</x:f>
        <x:v>0.032388663967611336</x:v>
      </x:c>
      <x:c r="AE9" s="78" t="n">
        <x:f>IF(Z9="","",IF($A9=3,AB9,AE8*AD9))</x:f>
        <x:v>0.016166151257290835</x:v>
      </x:c>
      <x:c r="AF9" s="78" t="n">
        <x:f>IF(AE9="","",-LN(AE9))</x:f>
        <x:v>4.124835651207339</x:v>
      </x:c>
      <x:c r="AG9" s="78" t="n">
        <x:f>IF(AF9="","",Inputs!$B$7*AC9+(1-Inputs!$B$7)*AF9)</x:f>
        <x:v>2.5864396788250383</x:v>
      </x:c>
      <x:c r="AH9" s="78" t="n">
        <x:f>Inputs!$B$17*(Inputs!$B$12*IF($A9&gt;=6,2,1)*(Inputs!$B$13-Inputs!$B$14)+Inputs!$B$12*MAX(0,Inputs!$B$15-Inputs!$B$16))</x:f>
        <x:v>1.625</x:v>
      </x:c>
      <x:c r="AI9" s="78" t="n">
        <x:f>0</x:f>
        <x:v>0</x:v>
      </x:c>
      <x:c r="AJ9" s="78" t="n">
        <x:f>IF(AG9="","",IF(AND($A9=Inputs!$B$4,Inputs!$B$23=1),L9,MAX(0,AG9-Inputs!$B$8*AH9+Inputs!$B$9*AI9)))</x:f>
        <x:v>1.7739396788250383</x:v>
      </x:c>
      <x:c r="AK9" s="78" t="n">
        <x:f>IF(AJ9="","",AJ9*Inputs!$B$10)</x:f>
        <x:v>3.5478793576500767</x:v>
      </x:c>
      <x:c r="AL9" s="78" t="n">
        <x:f>IF($A9&lt;=$B$4,Inputs!$B$4*COMBIN($B$4,$A9),"")</x:f>
        <x:v>15</x:v>
      </x:c>
      <x:c r="AM9" s="78" t="n">
        <x:f>IF(AL9="","",AL9*COMBIN($B$5-$A9,Inputs!$B$5-$A9)/COMBIN($B$5,Inputs!$B$5))</x:f>
        <x:v>0.04198837245070595</x:v>
      </x:c>
      <x:c r="AN9" s="78" t="n">
        <x:f>IF(AM9="","",IF(AM9&lt;1E-6,AM9,1-EXP(-AM9)))</x:f>
        <x:v>0.04111907005705551</x:v>
      </x:c>
      <x:c r="AO9" s="78" t="n">
        <x:f>IF(AN9="","",-LN(AN9))</x:f>
        <x:v>3.191283273434939</x:v>
      </x:c>
      <x:c r="AP9" s="78" t="n">
        <x:f>IF(OR($A9=3,$A9&gt;$B$4),"",($B$4-($A9-1))/($B$5-($A9-1)))</x:f>
        <x:v>0.017543859649122806</x:v>
      </x:c>
      <x:c r="AQ9" s="78" t="n">
        <x:f>IF(AL9="","",IF($A9=3,AN9,AQ8*AP9))</x:f>
        <x:v>0.009643368450474334</x:v>
      </x:c>
      <x:c r="AR9" s="78" t="n">
        <x:f>IF(AQ9="","",-LN(AQ9))</x:f>
        <x:v>4.64148480707108</x:v>
      </x:c>
      <x:c r="AS9" s="78" t="n">
        <x:f>IF(AR9="","",Inputs!$B$7*AO9+(1-Inputs!$B$7)*AR9)</x:f>
        <x:v>3.5538336568439743</x:v>
      </x:c>
      <x:c r="AT9" s="78" t="n">
        <x:f>IF($A9&gt;$B$4,"",Inputs!$B$12*Inputs!$B$18*IF($A9=3,Inputs!$B$19,IF($A9=4,Inputs!$B$20,IF($A9=5,Inputs!$B$21,0))))</x:f>
        <x:v>4.5</x:v>
      </x:c>
      <x:c r="AU9" s="78" t="n">
        <x:f>IF($A9&gt;$B$4,"",0)</x:f>
        <x:v>0</x:v>
      </x:c>
      <x:c r="AV9" s="78" t="n">
        <x:f>IF(AS9="","",MAX(0,AS9-Inputs!$B$8*AT9+Inputs!$B$9*AU9))</x:f>
        <x:v>1.3038336568439743</x:v>
      </x:c>
      <x:c r="AW9" s="78" t="n">
        <x:f>IF(AV9="","",AV9*Inputs!$B$10)</x:f>
        <x:v>2.6076673136879487</x:v>
      </x:c>
    </x:row>
    <x:row r="10">
      <x:c r="A10" s="66" t="n">
        <x:v>5</x:v>
      </x:c>
      <x:c r="B10" s="78" t="n">
        <x:f>$B$4*COMBIN(Inputs!$B$4,$A10)</x:f>
        <x:v>12012</x:v>
      </x:c>
      <x:c r="C10" s="78" t="n">
        <x:f>IF(B10="","",B10*COMBIN($B$5-$A10,Inputs!$B$5-$A10)/COMBIN($B$5,Inputs!$B$5))</x:f>
        <x:v>6.604770986496047</x:v>
      </x:c>
      <x:c r="D10" s="78" t="n">
        <x:f>IF(C10="","",IF(C10&lt;1E-6,C10,1-EXP(-C10)))</x:f>
        <x:v>0.9986461068020209</x:v>
      </x:c>
      <x:c r="E10" s="78" t="n">
        <x:f>IF(D10="","",-LN(D10))</x:f>
        <x:v>0.001354810539456582</x:v>
      </x:c>
      <x:c r="F10" s="78" t="n">
        <x:f>IF($A10=3,"",(Inputs!$B$4-($A10-1))/($B$5-($A10-1)))</x:f>
        <x:v>0.19642857142857142</x:v>
      </x:c>
      <x:c r="G10" s="78" t="n">
        <x:f>IF(B10="","",IF($A10=3,D10,G9*F10))</x:f>
        <x:v>0.041353383457367554</x:v>
      </x:c>
      <x:c r="H10" s="78" t="n">
        <x:f>IF(G10="","",-LN(G10))</x:f>
        <x:v>3.1856010360142584</x:v>
      </x:c>
      <x:c r="I10" s="78" t="n">
        <x:f>IF(H10="","",Inputs!$B$7*E10+(1-Inputs!$B$7)*H10)</x:f>
        <x:v>0.797416366908157</x:v>
      </x:c>
      <x:c r="J10" s="78" t="n">
        <x:f>Inputs!$B$12*IF($A10&gt;=6,2,1)*(Inputs!$B$13-Inputs!$B$14)</x:f>
        <x:v>1.5</x:v>
      </x:c>
      <x:c r="K10" s="78" t="n">
        <x:f>0</x:f>
        <x:v>0</x:v>
      </x:c>
      <x:c r="L10" s="78" t="n">
        <x:f>IF(I10="","",MAX(0,I10-Inputs!$B$8*J10+Inputs!$B$9*K10))</x:f>
        <x:v>0.04741636690815698</x:v>
      </x:c>
      <x:c r="M10" s="78" t="n">
        <x:f>IF(L10="","",L10*Inputs!$B$10)</x:f>
        <x:v>0.09483273381631396</x:v>
      </x:c>
      <x:c r="N10" s="78" t="n">
        <x:f>(Inputs!$B$4-$A10+1)*($B$4^$A10)</x:f>
        <x:v>11264</x:v>
      </x:c>
      <x:c r="O10" s="78" t="n">
        <x:f>IF(N10="","",N10*COMBIN($B$5-$A10,Inputs!$B$5-$A10)/COMBIN($B$5,Inputs!$B$5))</x:f>
        <x:v>6.193484881109846</x:v>
      </x:c>
      <x:c r="P10" s="78" t="n">
        <x:f>IF(O10="","",IF(O10&lt;1E-6,O10,1-EXP(-O10)))</x:f>
        <x:v>0.9979573042167466</x:v>
      </x:c>
      <x:c r="Q10" s="78" t="n">
        <x:f>IF(P10="","",-LN(P10))</x:f>
        <x:v>0.0020447849317662948</x:v>
      </x:c>
      <x:c r="R10" s="78" t="n">
        <x:f>IF($A10=3,"",((MAX(0,Inputs!$B$4-($A10-1)-1)*2*$B$4+2*$B$4)/(Inputs!$B$4-($A10-1)+1))/($B$5-($A10-1)))</x:f>
        <x:v>0.13095238095238096</x:v>
      </x:c>
      <x:c r="S10" s="78" t="n">
        <x:f>IF(N10="","",IF($A10=3,P10,S9*R10))</x:f>
        <x:v>0.016965224474338774</x:v>
      </x:c>
      <x:c r="T10" s="78" t="n">
        <x:f>IF(S10="","",-LN(S10))</x:f>
        <x:v>4.076589649219052</x:v>
      </x:c>
      <x:c r="U10" s="78" t="n">
        <x:f>IF(T10="","",Inputs!$B$7*Q10+(1-Inputs!$B$7)*T10)</x:f>
        <x:v>1.0206810010035878</x:v>
      </x:c>
      <x:c r="V10" s="78" t="n">
        <x:f>Inputs!$B$12*MAX(0,Inputs!$B$15-Inputs!$B$16)</x:f>
        <x:v>1</x:v>
      </x:c>
      <x:c r="W10" s="78" t="n">
        <x:f>Inputs!$B$22</x:f>
        <x:v>1.5</x:v>
      </x:c>
      <x:c r="X10" s="78" t="n">
        <x:f>IF(U10="","",MAX(0,U10-Inputs!$B$8*V10+Inputs!$B$9*W10))</x:f>
        <x:v>2.020681001003588</x:v>
      </x:c>
      <x:c r="Y10" s="78" t="n">
        <x:f>IF(X10="","",X10*Inputs!$B$10)</x:f>
        <x:v>4.041362002007176</x:v>
      </x:c>
      <x:c r="Z10" s="78" t="n">
        <x:f>$B$4*(Inputs!$B$4-$A10+1)</x:f>
        <x:v>44</x:v>
      </x:c>
      <x:c r="AA10" s="78" t="n">
        <x:f>IF(Z10="","",Z10*COMBIN($B$5-$A10,Inputs!$B$5-$A10)/COMBIN($B$5,Inputs!$B$5))</x:f>
        <x:v>0.024193300316835337</x:v>
      </x:c>
      <x:c r="AB10" s="78" t="n">
        <x:f>IF(AA10="","",IF(AA10&lt;1E-6,AA10,1-EXP(-AA10)))</x:f>
        <x:v>0.023902988340820053</x:v>
      </x:c>
      <x:c r="AC10" s="78" t="n">
        <x:f>IF(AB10="","",-LN(AB10))</x:f>
        <x:v>3.7337517926801636</x:v>
      </x:c>
      <x:c r="AD10" s="78" t="n">
        <x:f>IF($A10=3,"",((MAX(0,Inputs!$B$4-($A10-1)-1)*2+2)/(Inputs!$B$4-($A10-1)+1))/($B$5-($A10-1)))</x:f>
        <x:v>0.03273809523809524</x:v>
      </x:c>
      <x:c r="AE10" s="78" t="n">
        <x:f>IF(Z10="","",IF($A10=3,AB10,AE9*AD10))</x:f>
        <x:v>0.0005292489994946404</x:v>
      </x:c>
      <x:c r="AF10" s="78" t="n">
        <x:f>IF(AE10="","",-LN(AE10))</x:f>
        <x:v>7.544051538372172</x:v>
      </x:c>
      <x:c r="AG10" s="78" t="n">
        <x:f>IF(AF10="","",Inputs!$B$7*AC10+(1-Inputs!$B$7)*AF10)</x:f>
        <x:v>4.686326729103166</x:v>
      </x:c>
      <x:c r="AH10" s="78" t="n">
        <x:f>Inputs!$B$17*(Inputs!$B$12*IF($A10&gt;=6,2,1)*(Inputs!$B$13-Inputs!$B$14)+Inputs!$B$12*MAX(0,Inputs!$B$15-Inputs!$B$16))</x:f>
        <x:v>1.625</x:v>
      </x:c>
      <x:c r="AI10" s="78" t="n">
        <x:f>0</x:f>
        <x:v>0</x:v>
      </x:c>
      <x:c r="AJ10" s="78" t="n">
        <x:f>IF(AG10="","",IF(AND($A10=Inputs!$B$4,Inputs!$B$23=1),L10,MAX(0,AG10-Inputs!$B$8*AH10+Inputs!$B$9*AI10)))</x:f>
        <x:v>3.8738267291031656</x:v>
      </x:c>
      <x:c r="AK10" s="78" t="n">
        <x:f>IF(AJ10="","",AJ10*Inputs!$B$10)</x:f>
        <x:v>7.747653458206331</x:v>
      </x:c>
      <x:c r="AL10" s="78" t="str">
        <x:f>IF($A10&lt;=$B$4,Inputs!$B$4*COMBIN($B$4,$A10),"")</x:f>
      </x:c>
      <x:c r="AM10" s="78" t="str">
        <x:f>IF(AL10="","",AL10*COMBIN($B$5-$A10,Inputs!$B$5-$A10)/COMBIN($B$5,Inputs!$B$5))</x:f>
      </x:c>
      <x:c r="AN10" s="78" t="str">
        <x:f>IF(AM10="","",IF(AM10&lt;1E-6,AM10,1-EXP(-AM10)))</x:f>
      </x:c>
      <x:c r="AO10" s="78" t="str">
        <x:f>IF(AN10="","",-LN(AN10))</x:f>
      </x:c>
      <x:c r="AP10" s="78" t="str">
        <x:f>IF(OR($A10=3,$A10&gt;$B$4),"",($B$4-($A10-1))/($B$5-($A10-1)))</x:f>
      </x:c>
      <x:c r="AQ10" s="78" t="str">
        <x:f>IF(AL10="","",IF($A10=3,AN10,AQ9*AP10))</x:f>
      </x:c>
      <x:c r="AR10" s="78" t="str">
        <x:f>IF(AQ10="","",-LN(AQ10))</x:f>
      </x:c>
      <x:c r="AS10" s="78" t="str">
        <x:f>IF(AR10="","",Inputs!$B$7*AO10+(1-Inputs!$B$7)*AR10)</x:f>
      </x:c>
      <x:c r="AT10" s="78" t="str">
        <x:f>IF($A10&gt;$B$4,"",Inputs!$B$12*Inputs!$B$18*IF($A10=3,Inputs!$B$19,IF($A10=4,Inputs!$B$20,IF($A10=5,Inputs!$B$21,0))))</x:f>
      </x:c>
      <x:c r="AU10" s="78" t="str">
        <x:f>IF($A10&gt;$B$4,"",0)</x:f>
      </x:c>
      <x:c r="AV10" s="78" t="str">
        <x:f>IF(AS10="","",MAX(0,AS10-Inputs!$B$8*AT10+Inputs!$B$9*AU10))</x:f>
      </x:c>
      <x:c r="AW10" s="78" t="str">
        <x:f>IF(AV10="","",AV10*Inputs!$B$10)</x:f>
      </x:c>
    </x:row>
    <x:row r="11">
      <x:c r="A11" s="66" t="n">
        <x:v>6</x:v>
      </x:c>
      <x:c r="B11" s="78" t="n">
        <x:f>$B$4*COMBIN(Inputs!$B$4,$A11)</x:f>
        <x:v>20020</x:v>
      </x:c>
      <x:c r="C11" s="78" t="n">
        <x:f>IF(B11="","",B11*COMBIN($B$5-$A11,Inputs!$B$5-$A11)/COMBIN($B$5,Inputs!$B$5))</x:f>
        <x:v>2.00144575348365</x:v>
      </x:c>
      <x:c r="D11" s="78" t="n">
        <x:f>IF(C11="","",IF(C11&lt;1E-6,C11,1-EXP(-C11)))</x:f>
        <x:v>0.8648602368496081</x:v>
      </x:c>
      <x:c r="E11" s="78" t="n">
        <x:f>IF(D11="","",-LN(D11))</x:f>
        <x:v>0.14518736100145593</x:v>
      </x:c>
      <x:c r="F11" s="78" t="n">
        <x:f>IF($A11=3,"",(Inputs!$B$4-($A11-1))/($B$5-($A11-1)))</x:f>
        <x:v>0.18181818181818182</x:v>
      </x:c>
      <x:c r="G11" s="78" t="n">
        <x:f>IF(B11="","",IF($A11=3,D11,G10*F11))</x:f>
        <x:v>0.007518796992248646</x:v>
      </x:c>
      <x:c r="H11" s="78" t="n">
        <x:f>IF(G11="","",-LN(G11))</x:f>
        <x:v>4.890349128252684</x:v>
      </x:c>
      <x:c r="I11" s="78" t="n">
        <x:f>IF(H11="","",Inputs!$B$7*E11+(1-Inputs!$B$7)*H11)</x:f>
        <x:v>1.3314778028142629</x:v>
      </x:c>
      <x:c r="J11" s="78" t="n">
        <x:f>Inputs!$B$12*IF($A11&gt;=6,2,1)*(Inputs!$B$13-Inputs!$B$14)</x:f>
        <x:v>3</x:v>
      </x:c>
      <x:c r="K11" s="78" t="n">
        <x:f>0</x:f>
        <x:v>0</x:v>
      </x:c>
      <x:c r="L11" s="78" t="n">
        <x:f>IF(I11="","",MAX(0,I11-Inputs!$B$8*J11+Inputs!$B$9*K11))</x:f>
        <x:v>0</x:v>
      </x:c>
      <x:c r="M11" s="78" t="str">
        <x:f>IF(L11="","",L11*Inputs!$B$10)</x:f>
      </x:c>
      <x:c r="N11" s="78" t="n">
        <x:f>(Inputs!$B$4-$A11+1)*($B$4^$A11)</x:f>
        <x:v>40960</x:v>
      </x:c>
      <x:c r="O11" s="78" t="n">
        <x:f>IF(N11="","",N11*COMBIN($B$5-$A11,Inputs!$B$5-$A11)/COMBIN($B$5,Inputs!$B$5))</x:f>
        <x:v>4.094866037097418</x:v>
      </x:c>
      <x:c r="P11" s="78" t="n">
        <x:f>IF(O11="","",IF(O11&lt;1E-6,O11,1-EXP(-O11)))</x:f>
        <x:v>0.9833420223155155</x:v>
      </x:c>
      <x:c r="Q11" s="78" t="n">
        <x:f>IF(P11="","",-LN(P11))</x:f>
        <x:v>0.016798282102354095</x:v>
      </x:c>
      <x:c r="R11" s="78" t="n">
        <x:f>IF($A11=3,"",((MAX(0,Inputs!$B$4-($A11-1)-1)*2*$B$4+2*$B$4)/(Inputs!$B$4-($A11-1)+1))/($B$5-($A11-1)))</x:f>
        <x:v>0.1322314049586777</x:v>
      </x:c>
      <x:c r="S11" s="78" t="n">
        <x:f>IF(N11="","",IF($A11=3,P11,S10*R11))</x:f>
        <x:v>0.0022433354676811602</x:v>
      </x:c>
      <x:c r="T11" s="78" t="n">
        <x:f>IF(S11="","",-LN(S11))</x:f>
        <x:v>6.099791472576012</x:v>
      </x:c>
      <x:c r="U11" s="78" t="n">
        <x:f>IF(T11="","",Inputs!$B$7*Q11+(1-Inputs!$B$7)*T11)</x:f>
        <x:v>1.5375465797207686</x:v>
      </x:c>
      <x:c r="V11" s="78" t="n">
        <x:f>Inputs!$B$12*MAX(0,Inputs!$B$15-Inputs!$B$16)</x:f>
        <x:v>1</x:v>
      </x:c>
      <x:c r="W11" s="78" t="n">
        <x:f>Inputs!$B$22</x:f>
        <x:v>1.5</x:v>
      </x:c>
      <x:c r="X11" s="78" t="n">
        <x:f>IF(U11="","",MAX(0,U11-Inputs!$B$8*V11+Inputs!$B$9*W11))</x:f>
        <x:v>2.5375465797207686</x:v>
      </x:c>
      <x:c r="Y11" s="78" t="n">
        <x:f>IF(X11="","",X11*Inputs!$B$10)</x:f>
        <x:v>5.075093159441537</x:v>
      </x:c>
      <x:c r="Z11" s="78" t="n">
        <x:f>$B$4*(Inputs!$B$4-$A11+1)</x:f>
        <x:v>40</x:v>
      </x:c>
      <x:c r="AA11" s="78" t="n">
        <x:f>IF(Z11="","",Z11*COMBIN($B$5-$A11,Inputs!$B$5-$A11)/COMBIN($B$5,Inputs!$B$5))</x:f>
        <x:v>0.003998892614352947</x:v>
      </x:c>
      <x:c r="AB11" s="78" t="n">
        <x:f>IF(AA11="","",IF(AA11&lt;1E-6,AA11,1-EXP(-AA11)))</x:f>
        <x:v>0.003990907690446077</x:v>
      </x:c>
      <x:c r="AC11" s="78" t="n">
        <x:f>IF(AB11="","",-LN(AB11))</x:f>
        <x:v>5.523736582612727</x:v>
      </x:c>
      <x:c r="AD11" s="78" t="n">
        <x:f>IF($A11=3,"",((MAX(0,Inputs!$B$4-($A11-1)-1)*2+2)/(Inputs!$B$4-($A11-1)+1))/($B$5-($A11-1)))</x:f>
        <x:v>0.03305785123966942</x:v>
      </x:c>
      <x:c r="AE11" s="78" t="n">
        <x:f>IF(Z11="","",IF($A11=3,AB11,AE10*AD11))</x:f>
        <x:v>0.0000174958346940377</x:v>
      </x:c>
      <x:c r="AF11" s="78" t="n">
        <x:f>IF(AE11="","",-LN(AE11))</x:f>
        <x:v>10.953547722849022</x:v>
      </x:c>
      <x:c r="AG11" s="78" t="n">
        <x:f>IF(AF11="","",Inputs!$B$7*AC11+(1-Inputs!$B$7)*AF11)</x:f>
        <x:v>6.8811893676718014</x:v>
      </x:c>
      <x:c r="AH11" s="78" t="n">
        <x:f>Inputs!$B$17*(Inputs!$B$12*IF($A11&gt;=6,2,1)*(Inputs!$B$13-Inputs!$B$14)+Inputs!$B$12*MAX(0,Inputs!$B$15-Inputs!$B$16))</x:f>
        <x:v>2.6</x:v>
      </x:c>
      <x:c r="AI11" s="78" t="n">
        <x:f>0</x:f>
        <x:v>0</x:v>
      </x:c>
      <x:c r="AJ11" s="78" t="n">
        <x:f>IF(AG11="","",IF(AND($A11=Inputs!$B$4,Inputs!$B$23=1),L11,MAX(0,AG11-Inputs!$B$8*AH11+Inputs!$B$9*AI11)))</x:f>
        <x:v>5.581189367671802</x:v>
      </x:c>
      <x:c r="AK11" s="78" t="n">
        <x:f>IF(AJ11="","",AJ11*Inputs!$B$10)</x:f>
        <x:v>11.162378735343603</x:v>
      </x:c>
      <x:c r="AL11" s="78" t="str">
        <x:f>IF($A11&lt;=$B$4,Inputs!$B$4*COMBIN($B$4,$A11),"")</x:f>
      </x:c>
      <x:c r="AM11" s="78" t="str">
        <x:f>IF(AL11="","",AL11*COMBIN($B$5-$A11,Inputs!$B$5-$A11)/COMBIN($B$5,Inputs!$B$5))</x:f>
      </x:c>
      <x:c r="AN11" s="78" t="str">
        <x:f>IF(AM11="","",IF(AM11&lt;1E-6,AM11,1-EXP(-AM11)))</x:f>
      </x:c>
      <x:c r="AO11" s="78" t="str">
        <x:f>IF(AN11="","",-LN(AN11))</x:f>
      </x:c>
      <x:c r="AP11" s="78" t="str">
        <x:f>IF(OR($A11=3,$A11&gt;$B$4),"",($B$4-($A11-1))/($B$5-($A11-1)))</x:f>
      </x:c>
      <x:c r="AQ11" s="78" t="str">
        <x:f>IF(AL11="","",IF($A11=3,AN11,AQ10*AP11))</x:f>
      </x:c>
      <x:c r="AR11" s="78" t="str">
        <x:f>IF(AQ11="","",-LN(AQ11))</x:f>
      </x:c>
      <x:c r="AS11" s="78" t="str">
        <x:f>IF(AR11="","",Inputs!$B$7*AO11+(1-Inputs!$B$7)*AR11)</x:f>
      </x:c>
      <x:c r="AT11" s="78" t="str">
        <x:f>IF($A11&gt;$B$4,"",Inputs!$B$12*Inputs!$B$18*IF($A11=3,Inputs!$B$19,IF($A11=4,Inputs!$B$20,IF($A11=5,Inputs!$B$21,0))))</x:f>
      </x:c>
      <x:c r="AU11" s="78" t="str">
        <x:f>IF($A11&gt;$B$4,"",0)</x:f>
      </x:c>
      <x:c r="AV11" s="78" t="str">
        <x:f>IF(AS11="","",MAX(0,AS11-Inputs!$B$8*AT11+Inputs!$B$9*AU11))</x:f>
      </x:c>
      <x:c r="AW11" s="78" t="str">
        <x:f>IF(AV11="","",AV11*Inputs!$B$10)</x:f>
      </x:c>
    </x:row>
    <x:row r="12">
      <x:c r="A12" s="66" t="n">
        <x:v>7</x:v>
      </x:c>
      <x:c r="B12" s="78" t="n">
        <x:f>$B$4*COMBIN(Inputs!$B$4,$A12)</x:f>
        <x:v>25740</x:v>
      </x:c>
      <x:c r="C12" s="78" t="n">
        <x:f>IF(B12="","",B12*COMBIN($B$5-$A12,Inputs!$B$5-$A12)/COMBIN($B$5,Inputs!$B$5))</x:f>
        <x:v>0.4288812328893536</x:v>
      </x:c>
      <x:c r="D12" s="78" t="n">
        <x:f>IF(C12="","",IF(C12&lt;1E-6,C12,1-EXP(-C12)))</x:f>
        <x:v>0.3487627298429187</x:v>
      </x:c>
      <x:c r="E12" s="78" t="n">
        <x:f>IF(D12="","",-LN(D12))</x:f>
        <x:v>1.0533634451710172</x:v>
      </x:c>
      <x:c r="F12" s="78" t="n">
        <x:f>IF($A12=3,"",(Inputs!$B$4-($A12-1))/($B$5-($A12-1)))</x:f>
        <x:v>0.16666666666666666</x:v>
      </x:c>
      <x:c r="G12" s="78" t="n">
        <x:f>IF(B12="","",IF($A12=3,D12,G11*F12))</x:f>
        <x:v>0.001253132832041441</x:v>
      </x:c>
      <x:c r="H12" s="78" t="n">
        <x:f>IF(G12="","",-LN(G12))</x:f>
        <x:v>6.682108597480739</x:v>
      </x:c>
      <x:c r="I12" s="78" t="n">
        <x:f>IF(H12="","",Inputs!$B$7*E12+(1-Inputs!$B$7)*H12)</x:f>
        <x:v>2.4605497332484476</x:v>
      </x:c>
      <x:c r="J12" s="78" t="n">
        <x:f>Inputs!$B$12*IF($A12&gt;=6,2,1)*(Inputs!$B$13-Inputs!$B$14)</x:f>
        <x:v>3</x:v>
      </x:c>
      <x:c r="K12" s="78" t="n">
        <x:f>0</x:f>
        <x:v>0</x:v>
      </x:c>
      <x:c r="L12" s="78" t="n">
        <x:f>IF(I12="","",MAX(0,I12-Inputs!$B$8*J12+Inputs!$B$9*K12))</x:f>
        <x:v>0.9605497332484476</x:v>
      </x:c>
      <x:c r="M12" s="78" t="n">
        <x:f>IF(L12="","",L12*Inputs!$B$10)</x:f>
        <x:v>1.9210994664968952</x:v>
      </x:c>
      <x:c r="N12" s="78" t="n">
        <x:f>(Inputs!$B$4-$A12+1)*($B$4^$A12)</x:f>
        <x:v>147456</x:v>
      </x:c>
      <x:c r="O12" s="78" t="n">
        <x:f>IF(N12="","",N12*COMBIN($B$5-$A12,Inputs!$B$5-$A12)/COMBIN($B$5,Inputs!$B$5))</x:f>
        <x:v>2.4569196222584506</x:v>
      </x:c>
      <x:c r="P12" s="78" t="n">
        <x:f>IF(O12="","",IF(O12&lt;1E-6,O12,1-EXP(-O12)))</x:f>
        <x:v>0.9143014713603892</x:v>
      </x:c>
      <x:c r="Q12" s="78" t="n">
        <x:f>IF(P12="","",-LN(P12))</x:f>
        <x:v>0.08959492453777029</x:v>
      </x:c>
      <x:c r="R12" s="78" t="n">
        <x:f>IF($A12=3,"",((MAX(0,Inputs!$B$4-($A12-1)-1)*2*$B$4+2*$B$4)/(Inputs!$B$4-($A12-1)+1))/($B$5-($A12-1)))</x:f>
        <x:v>0.13333333333333333</x:v>
      </x:c>
      <x:c r="S12" s="78" t="n">
        <x:f>IF(N12="","",IF($A12=3,P12,S11*R12))</x:f>
        <x:v>0.0002991113956908214</x:v>
      </x:c>
      <x:c r="T12" s="78" t="n">
        <x:f>IF(S12="","",-LN(S12))</x:f>
        <x:v>8.114694493118277</x:v>
      </x:c>
      <x:c r="U12" s="78" t="n">
        <x:f>IF(T12="","",Inputs!$B$7*Q12+(1-Inputs!$B$7)*T12)</x:f>
        <x:v>2.095869816682897</x:v>
      </x:c>
      <x:c r="V12" s="78" t="n">
        <x:f>Inputs!$B$12*MAX(0,Inputs!$B$15-Inputs!$B$16)</x:f>
        <x:v>1</x:v>
      </x:c>
      <x:c r="W12" s="78" t="n">
        <x:f>Inputs!$B$22</x:f>
        <x:v>1.5</x:v>
      </x:c>
      <x:c r="X12" s="78" t="n">
        <x:f>IF(U12="","",MAX(0,U12-Inputs!$B$8*V12+Inputs!$B$9*W12))</x:f>
        <x:v>3.095869816682897</x:v>
      </x:c>
      <x:c r="Y12" s="78" t="n">
        <x:f>IF(X12="","",X12*Inputs!$B$10)</x:f>
        <x:v>6.191739633365794</x:v>
      </x:c>
      <x:c r="Z12" s="78" t="n">
        <x:f>$B$4*(Inputs!$B$4-$A12+1)</x:f>
        <x:v>36</x:v>
      </x:c>
      <x:c r="AA12" s="78" t="n">
        <x:f>IF(Z12="","",Z12*COMBIN($B$5-$A12,Inputs!$B$5-$A12)/COMBIN($B$5,Inputs!$B$5))</x:f>
        <x:v>0.000599833892152942</x:v>
      </x:c>
      <x:c r="AB12" s="78" t="n">
        <x:f>IF(AA12="","",IF(AA12&lt;1E-6,AA12,1-EXP(-AA12)))</x:f>
        <x:v>0.0005996540277685147</x:v>
      </x:c>
      <x:c r="AC12" s="78" t="n">
        <x:f>IF(AB12="","",-LN(AB12))</x:f>
        <x:v>7.419157689443406</x:v>
      </x:c>
      <x:c r="AD12" s="78" t="n">
        <x:f>IF($A12=3,"",((MAX(0,Inputs!$B$4-($A12-1)-1)*2+2)/(Inputs!$B$4-($A12-1)+1))/($B$5-($A12-1)))</x:f>
        <x:v>0.03333333333333333</x:v>
      </x:c>
      <x:c r="AE12" s="78" t="n">
        <x:f>IF(Z12="","",IF($A12=3,AB12,AE11*AD12))</x:f>
        <x:v>5.831944898012567e-7</x:v>
      </x:c>
      <x:c r="AF12" s="78" t="n">
        <x:f>IF(AE12="","",-LN(AE12))</x:f>
        <x:v>14.354745104511178</x:v>
      </x:c>
      <x:c r="AG12" s="78" t="n">
        <x:f>IF(AF12="","",Inputs!$B$7*AC12+(1-Inputs!$B$7)*AF12)</x:f>
        <x:v>9.153054543210349</x:v>
      </x:c>
      <x:c r="AH12" s="78" t="n">
        <x:f>Inputs!$B$17*(Inputs!$B$12*IF($A12&gt;=6,2,1)*(Inputs!$B$13-Inputs!$B$14)+Inputs!$B$12*MAX(0,Inputs!$B$15-Inputs!$B$16))</x:f>
        <x:v>2.6</x:v>
      </x:c>
      <x:c r="AI12" s="78" t="n">
        <x:f>0</x:f>
        <x:v>0</x:v>
      </x:c>
      <x:c r="AJ12" s="78" t="n">
        <x:f>IF(AG12="","",IF(AND($A12=Inputs!$B$4,Inputs!$B$23=1),L12,MAX(0,AG12-Inputs!$B$8*AH12+Inputs!$B$9*AI12)))</x:f>
        <x:v>7.853054543210349</x:v>
      </x:c>
      <x:c r="AK12" s="78" t="n">
        <x:f>IF(AJ12="","",AJ12*Inputs!$B$10)</x:f>
        <x:v>15.706109086420698</x:v>
      </x:c>
      <x:c r="AL12" s="78" t="str">
        <x:f>IF($A12&lt;=$B$4,Inputs!$B$4*COMBIN($B$4,$A12),"")</x:f>
      </x:c>
      <x:c r="AM12" s="78" t="str">
        <x:f>IF(AL12="","",AL12*COMBIN($B$5-$A12,Inputs!$B$5-$A12)/COMBIN($B$5,Inputs!$B$5))</x:f>
      </x:c>
      <x:c r="AN12" s="78" t="str">
        <x:f>IF(AM12="","",IF(AM12&lt;1E-6,AM12,1-EXP(-AM12)))</x:f>
      </x:c>
      <x:c r="AO12" s="78" t="str">
        <x:f>IF(AN12="","",-LN(AN12))</x:f>
      </x:c>
      <x:c r="AP12" s="78" t="str">
        <x:f>IF(OR($A12=3,$A12&gt;$B$4),"",($B$4-($A12-1))/($B$5-($A12-1)))</x:f>
      </x:c>
      <x:c r="AQ12" s="78" t="str">
        <x:f>IF(AL12="","",IF($A12=3,AN12,AQ11*AP12))</x:f>
      </x:c>
      <x:c r="AR12" s="78" t="str">
        <x:f>IF(AQ12="","",-LN(AQ12))</x:f>
      </x:c>
      <x:c r="AS12" s="78" t="str">
        <x:f>IF(AR12="","",Inputs!$B$7*AO12+(1-Inputs!$B$7)*AR12)</x:f>
      </x:c>
      <x:c r="AT12" s="78" t="str">
        <x:f>IF($A12&gt;$B$4,"",Inputs!$B$12*Inputs!$B$18*IF($A12=3,Inputs!$B$19,IF($A12=4,Inputs!$B$20,IF($A12=5,Inputs!$B$21,0))))</x:f>
      </x:c>
      <x:c r="AU12" s="78" t="str">
        <x:f>IF($A12&gt;$B$4,"",0)</x:f>
      </x:c>
      <x:c r="AV12" s="78" t="str">
        <x:f>IF(AS12="","",MAX(0,AS12-Inputs!$B$8*AT12+Inputs!$B$9*AU12))</x:f>
      </x:c>
      <x:c r="AW12" s="78" t="str">
        <x:f>IF(AV12="","",AV12*Inputs!$B$10)</x:f>
      </x:c>
    </x:row>
    <x:row r="13">
      <x:c r="A13" s="66" t="n">
        <x:v>8</x:v>
      </x:c>
      <x:c r="B13" s="78" t="n">
        <x:f>$B$4*COMBIN(Inputs!$B$4,$A13)</x:f>
        <x:v>25740</x:v>
      </x:c>
      <x:c r="C13" s="78" t="n">
        <x:f>IF(B13="","",B13*COMBIN($B$5-$A13,Inputs!$B$5-$A13)/COMBIN($B$5,Inputs!$B$5))</x:f>
        <x:v>0.06473678987009111</x:v>
      </x:c>
      <x:c r="D13" s="78" t="n">
        <x:f>IF(C13="","",IF(C13&lt;1E-6,C13,1-EXP(-C13)))</x:f>
        <x:v>0.06268585851116293</x:v>
      </x:c>
      <x:c r="E13" s="78" t="n">
        <x:f>IF(D13="","",-LN(D13))</x:f>
        <x:v>2.7696193988684192</x:v>
      </x:c>
      <x:c r="F13" s="78" t="n">
        <x:f>IF($A13=3,"",(Inputs!$B$4-($A13-1))/($B$5-($A13-1)))</x:f>
        <x:v>0.1509433962264151</x:v>
      </x:c>
      <x:c r="G13" s="78" t="n">
        <x:f>IF(B13="","",IF($A13=3,D13,G12*F13))</x:f>
        <x:v>0.00018915212559116092</x:v>
      </x:c>
      <x:c r="H13" s="78" t="n">
        <x:f>IF(G13="","",-LN(G13))</x:f>
        <x:v>8.572958969353024</x:v>
      </x:c>
      <x:c r="I13" s="78" t="n">
        <x:f>IF(H13="","",Inputs!$B$7*E13+(1-Inputs!$B$7)*H13)</x:f>
        <x:v>4.22045429148957</x:v>
      </x:c>
      <x:c r="J13" s="78" t="n">
        <x:f>Inputs!$B$12*IF($A13&gt;=6,2,1)*(Inputs!$B$13-Inputs!$B$14)</x:f>
        <x:v>3</x:v>
      </x:c>
      <x:c r="K13" s="78" t="n">
        <x:f>0</x:f>
        <x:v>0</x:v>
      </x:c>
      <x:c r="L13" s="78" t="n">
        <x:f>IF(I13="","",MAX(0,I13-Inputs!$B$8*J13+Inputs!$B$9*K13))</x:f>
        <x:v>2.7204542914895704</x:v>
      </x:c>
      <x:c r="M13" s="78" t="n">
        <x:f>IF(L13="","",L13*Inputs!$B$10)</x:f>
        <x:v>5.440908582979141</x:v>
      </x:c>
      <x:c r="N13" s="78" t="n">
        <x:f>(Inputs!$B$4-$A13+1)*($B$4^$A13)</x:f>
        <x:v>524288</x:v>
      </x:c>
      <x:c r="O13" s="78" t="n">
        <x:f>IF(N13="","",N13*COMBIN($B$5-$A13,Inputs!$B$5-$A13)/COMBIN($B$5,Inputs!$B$5))</x:f>
        <x:v>1.3185983716942629</x:v>
      </x:c>
      <x:c r="P13" s="78" t="n">
        <x:f>IF(O13="","",IF(O13&lt;1E-6,O13,1-EXP(-O13)))</x:f>
        <x:v>0.7324900111088939</x:v>
      </x:c>
      <x:c r="Q13" s="78" t="n">
        <x:f>IF(P13="","",-LN(P13))</x:f>
        <x:v>0.31130557489530314</x:v>
      </x:c>
      <x:c r="R13" s="78" t="n">
        <x:f>IF($A13=3,"",((MAX(0,Inputs!$B$4-($A13-1)-1)*2*$B$4+2*$B$4)/(Inputs!$B$4-($A13-1)+1))/($B$5-($A13-1)))</x:f>
        <x:v>0.1341719077568134</x:v>
      </x:c>
      <x:c r="S13" s="78" t="n">
        <x:f>IF(N13="","",IF($A13=3,P13,S12*R13))</x:f>
        <x:v>0.000040132346591640595</x:v>
      </x:c>
      <x:c r="T13" s="78" t="n">
        <x:f>IF(S13="","",-LN(S13))</x:f>
        <x:v>10.123327900646947</x:v>
      </x:c>
      <x:c r="U13" s="78" t="n">
        <x:f>IF(T13="","",Inputs!$B$7*Q13+(1-Inputs!$B$7)*T13)</x:f>
        <x:v>2.764311156333214</x:v>
      </x:c>
      <x:c r="V13" s="78" t="n">
        <x:f>Inputs!$B$12*MAX(0,Inputs!$B$15-Inputs!$B$16)</x:f>
        <x:v>1</x:v>
      </x:c>
      <x:c r="W13" s="78" t="n">
        <x:f>Inputs!$B$22</x:f>
        <x:v>1.5</x:v>
      </x:c>
      <x:c r="X13" s="78" t="n">
        <x:f>IF(U13="","",MAX(0,U13-Inputs!$B$8*V13+Inputs!$B$9*W13))</x:f>
        <x:v>3.764311156333214</x:v>
      </x:c>
      <x:c r="Y13" s="78" t="n">
        <x:f>IF(X13="","",X13*Inputs!$B$10)</x:f>
        <x:v>7.528622312666428</x:v>
      </x:c>
      <x:c r="Z13" s="78" t="n">
        <x:f>$B$4*(Inputs!$B$4-$A13+1)</x:f>
        <x:v>32</x:v>
      </x:c>
      <x:c r="AA13" s="78" t="n">
        <x:f>IF(Z13="","",Z13*COMBIN($B$5-$A13,Inputs!$B$5-$A13)/COMBIN($B$5,Inputs!$B$5))</x:f>
        <x:v>0.00008048085764735491</x:v>
      </x:c>
      <x:c r="AB13" s="78" t="n">
        <x:f>IF(AA13="","",IF(AA13&lt;1E-6,AA13,1-EXP(-AA13)))</x:f>
        <x:v>0.00008047761914997675</x:v>
      </x:c>
      <x:c r="AC13" s="78" t="n">
        <x:f>IF(AB13="","",-LN(AB13))</x:f>
        <x:v>9.427531435176967</x:v>
      </x:c>
      <x:c r="AD13" s="78" t="n">
        <x:f>IF($A13=3,"",((MAX(0,Inputs!$B$4-($A13-1)-1)*2+2)/(Inputs!$B$4-($A13-1)+1))/($B$5-($A13-1)))</x:f>
        <x:v>0.03354297693920335</x:v>
      </x:c>
      <x:c r="AE13" s="78" t="n">
        <x:f>IF(Z13="","",IF($A13=3,AB13,AE12*AD13))</x:f>
        <x:v>1.9562079322474018e-8</x:v>
      </x:c>
      <x:c r="AF13" s="78" t="n">
        <x:f>IF(AE13="","",-LN(AE13))</x:f>
        <x:v>17.74967287315974</x:v>
      </x:c>
      <x:c r="AG13" s="78" t="n">
        <x:f>IF(AF13="","",Inputs!$B$7*AC13+(1-Inputs!$B$7)*AF13)</x:f>
        <x:v>11.50806679467266</x:v>
      </x:c>
      <x:c r="AH13" s="78" t="n">
        <x:f>Inputs!$B$17*(Inputs!$B$12*IF($A13&gt;=6,2,1)*(Inputs!$B$13-Inputs!$B$14)+Inputs!$B$12*MAX(0,Inputs!$B$15-Inputs!$B$16))</x:f>
        <x:v>2.6</x:v>
      </x:c>
      <x:c r="AI13" s="78" t="n">
        <x:f>0</x:f>
        <x:v>0</x:v>
      </x:c>
      <x:c r="AJ13" s="78" t="n">
        <x:f>IF(AG13="","",IF(AND($A13=Inputs!$B$4,Inputs!$B$23=1),L13,MAX(0,AG13-Inputs!$B$8*AH13+Inputs!$B$9*AI13)))</x:f>
        <x:v>10.208066794672659</x:v>
      </x:c>
      <x:c r="AK13" s="78" t="n">
        <x:f>IF(AJ13="","",AJ13*Inputs!$B$10)</x:f>
        <x:v>20.416133589345318</x:v>
      </x:c>
      <x:c r="AL13" s="78" t="str">
        <x:f>IF($A13&lt;=$B$4,Inputs!$B$4*COMBIN($B$4,$A13),"")</x:f>
      </x:c>
      <x:c r="AM13" s="78" t="str">
        <x:f>IF(AL13="","",AL13*COMBIN($B$5-$A13,Inputs!$B$5-$A13)/COMBIN($B$5,Inputs!$B$5))</x:f>
      </x:c>
      <x:c r="AN13" s="78" t="str">
        <x:f>IF(AM13="","",IF(AM13&lt;1E-6,AM13,1-EXP(-AM13)))</x:f>
      </x:c>
      <x:c r="AO13" s="78" t="str">
        <x:f>IF(AN13="","",-LN(AN13))</x:f>
      </x:c>
      <x:c r="AP13" s="78" t="str">
        <x:f>IF(OR($A13=3,$A13&gt;$B$4),"",($B$4-($A13-1))/($B$5-($A13-1)))</x:f>
      </x:c>
      <x:c r="AQ13" s="78" t="str">
        <x:f>IF(AL13="","",IF($A13=3,AN13,AQ12*AP13))</x:f>
      </x:c>
      <x:c r="AR13" s="78" t="str">
        <x:f>IF(AQ13="","",-LN(AQ13))</x:f>
      </x:c>
      <x:c r="AS13" s="78" t="str">
        <x:f>IF(AR13="","",Inputs!$B$7*AO13+(1-Inputs!$B$7)*AR13)</x:f>
      </x:c>
      <x:c r="AT13" s="78" t="str">
        <x:f>IF($A13&gt;$B$4,"",Inputs!$B$12*Inputs!$B$18*IF($A13=3,Inputs!$B$19,IF($A13=4,Inputs!$B$20,IF($A13=5,Inputs!$B$21,0))))</x:f>
      </x:c>
      <x:c r="AU13" s="78" t="str">
        <x:f>IF($A13&gt;$B$4,"",0)</x:f>
      </x:c>
      <x:c r="AV13" s="78" t="str">
        <x:f>IF(AS13="","",MAX(0,AS13-Inputs!$B$8*AT13+Inputs!$B$9*AU13))</x:f>
      </x:c>
      <x:c r="AW13" s="78" t="str">
        <x:f>IF(AV13="","",AV13*Inputs!$B$10)</x:f>
      </x:c>
    </x:row>
    <x:row r="14">
      <x:c r="A14" s="66" t="n">
        <x:v>9</x:v>
      </x:c>
      <x:c r="B14" s="78" t="n">
        <x:f>$B$4*COMBIN(Inputs!$B$4,$A14)</x:f>
        <x:v>20020</x:v>
      </x:c>
      <x:c r="C14" s="78" t="n">
        <x:f>IF(B14="","",B14*COMBIN($B$5-$A14,Inputs!$B$5-$A14)/COMBIN($B$5,Inputs!$B$5))</x:f>
        <x:v>0.006777997229988172</x:v>
      </x:c>
      <x:c r="D14" s="78" t="n">
        <x:f>IF(C14="","",IF(C14&lt;1E-6,C14,1-EXP(-C14)))</x:f>
        <x:v>0.006755078417214344</x:v>
      </x:c>
      <x:c r="E14" s="78" t="n">
        <x:f>IF(D14="","",-LN(D14))</x:f>
        <x:v>4.997460698871354</x:v>
      </x:c>
      <x:c r="F14" s="78" t="n">
        <x:f>IF($A14=3,"",(Inputs!$B$4-($A14-1))/($B$5-($A14-1)))</x:f>
        <x:v>0.1346153846153846</x:v>
      </x:c>
      <x:c r="G14" s="78" t="n">
        <x:f>IF(B14="","",IF($A14=3,D14,G13*F14))</x:f>
        <x:v>0.00002546278613727166</x:v>
      </x:c>
      <x:c r="H14" s="78" t="n">
        <x:f>IF(G14="","",-LN(G14))</x:f>
        <x:v>10.578292538879138</x:v>
      </x:c>
      <x:c r="I14" s="78" t="n">
        <x:f>IF(H14="","",Inputs!$B$7*E14+(1-Inputs!$B$7)*H14)</x:f>
        <x:v>6.3926686588732995</x:v>
      </x:c>
      <x:c r="J14" s="78" t="n">
        <x:f>Inputs!$B$12*IF($A14&gt;=6,2,1)*(Inputs!$B$13-Inputs!$B$14)</x:f>
        <x:v>3</x:v>
      </x:c>
      <x:c r="K14" s="78" t="n">
        <x:f>0</x:f>
        <x:v>0</x:v>
      </x:c>
      <x:c r="L14" s="78" t="n">
        <x:f>IF(I14="","",MAX(0,I14-Inputs!$B$8*J14+Inputs!$B$9*K14))</x:f>
        <x:v>4.8926686588732995</x:v>
      </x:c>
      <x:c r="M14" s="78" t="n">
        <x:f>IF(L14="","",L14*Inputs!$B$10)</x:f>
        <x:v>9.785337317746599</x:v>
      </x:c>
      <x:c r="N14" s="78" t="n">
        <x:f>(Inputs!$B$4-$A14+1)*($B$4^$A14)</x:f>
        <x:v>1835008</x:v>
      </x:c>
      <x:c r="O14" s="78" t="n">
        <x:f>IF(N14="","",N14*COMBIN($B$5-$A14,Inputs!$B$5-$A14)/COMBIN($B$5,Inputs!$B$5))</x:f>
        <x:v>0.6212626943559508</x:v>
      </x:c>
      <x:c r="P14" s="78" t="n">
        <x:f>IF(O14="","",IF(O14&lt;1E-6,O14,1-EXP(-O14)))</x:f>
        <x:v>0.4627343931424275</x:v>
      </x:c>
      <x:c r="Q14" s="78" t="n">
        <x:f>IF(P14="","",-LN(P14))</x:f>
        <x:v>0.7706020544237423</x:v>
      </x:c>
      <x:c r="R14" s="78" t="n">
        <x:f>IF($A14=3,"",((MAX(0,Inputs!$B$4-($A14-1)-1)*2*$B$4+2*$B$4)/(Inputs!$B$4-($A14-1)+1))/($B$5-($A14-1)))</x:f>
        <x:v>0.1346153846153846</x:v>
      </x:c>
      <x:c r="S14" s="78" t="n">
        <x:f>IF(N14="","",IF($A14=3,P14,S13*R14))</x:f>
        <x:v>0.000005402431271951618</x:v>
      </x:c>
      <x:c r="T14" s="78" t="n">
        <x:f>IF(S14="","",-LN(S14))</x:f>
        <x:v>12.12866147017306</x:v>
      </x:c>
      <x:c r="U14" s="78" t="n">
        <x:f>IF(T14="","",Inputs!$B$7*Q14+(1-Inputs!$B$7)*T14)</x:f>
        <x:v>3.610116908361072</x:v>
      </x:c>
      <x:c r="V14" s="78" t="n">
        <x:f>Inputs!$B$12*MAX(0,Inputs!$B$15-Inputs!$B$16)</x:f>
        <x:v>1</x:v>
      </x:c>
      <x:c r="W14" s="78" t="n">
        <x:f>Inputs!$B$22</x:f>
        <x:v>1.5</x:v>
      </x:c>
      <x:c r="X14" s="78" t="n">
        <x:f>IF(U14="","",MAX(0,U14-Inputs!$B$8*V14+Inputs!$B$9*W14))</x:f>
        <x:v>4.610116908361071</x:v>
      </x:c>
      <x:c r="Y14" s="78" t="n">
        <x:f>IF(X14="","",X14*Inputs!$B$10)</x:f>
        <x:v>9.220233816722143</x:v>
      </x:c>
      <x:c r="Z14" s="78" t="n">
        <x:f>$B$4*(Inputs!$B$4-$A14+1)</x:f>
        <x:v>28</x:v>
      </x:c>
      <x:c r="AA14" s="78" t="n">
        <x:f>IF(Z14="","",Z14*COMBIN($B$5-$A14,Inputs!$B$5-$A14)/COMBIN($B$5,Inputs!$B$5))</x:f>
        <x:v>0.000009479716405577863</x:v>
      </x:c>
      <x:c r="AB14" s="78" t="n">
        <x:f>IF(AA14="","",IF(AA14&lt;1E-6,AA14,1-EXP(-AA14)))</x:f>
        <x:v>0.0000094796714732448</x:v>
      </x:c>
      <x:c r="AC14" s="78" t="n">
        <x:f>IF(AB14="","",-LN(AB14))</x:f>
        <x:v>11.566360897018845</x:v>
      </x:c>
      <x:c r="AD14" s="78" t="n">
        <x:f>IF($A14=3,"",((MAX(0,Inputs!$B$4-($A14-1)-1)*2+2)/(Inputs!$B$4-($A14-1)+1))/($B$5-($A14-1)))</x:f>
        <x:v>0.03365384615384615</x:v>
      </x:c>
      <x:c r="AE14" s="78" t="n">
        <x:f>IF(Z14="","",IF($A14=3,AB14,AE13*AD14))</x:f>
        <x:v>6.583392079678755e-10</x:v>
      </x:c>
      <x:c r="AF14" s="78" t="n">
        <x:f>IF(AE14="","",-LN(AE14))</x:f>
        <x:v>21.14130080380574</x:v>
      </x:c>
      <x:c r="AG14" s="78" t="n">
        <x:f>IF(AF14="","",Inputs!$B$7*AC14+(1-Inputs!$B$7)*AF14)</x:f>
        <x:v>13.960095873715568</x:v>
      </x:c>
      <x:c r="AH14" s="78" t="n">
        <x:f>Inputs!$B$17*(Inputs!$B$12*IF($A14&gt;=6,2,1)*(Inputs!$B$13-Inputs!$B$14)+Inputs!$B$12*MAX(0,Inputs!$B$15-Inputs!$B$16))</x:f>
        <x:v>2.6</x:v>
      </x:c>
      <x:c r="AI14" s="78" t="n">
        <x:f>0</x:f>
        <x:v>0</x:v>
      </x:c>
      <x:c r="AJ14" s="78" t="n">
        <x:f>IF(AG14="","",IF(AND($A14=Inputs!$B$4,Inputs!$B$23=1),L14,MAX(0,AG14-Inputs!$B$8*AH14+Inputs!$B$9*AI14)))</x:f>
        <x:v>12.660095873715568</x:v>
      </x:c>
      <x:c r="AK14" s="78" t="n">
        <x:f>IF(AJ14="","",AJ14*Inputs!$B$10)</x:f>
        <x:v>25.320191747431135</x:v>
      </x:c>
      <x:c r="AL14" s="78" t="str">
        <x:f>IF($A14&lt;=$B$4,Inputs!$B$4*COMBIN($B$4,$A14),"")</x:f>
      </x:c>
      <x:c r="AM14" s="78" t="str">
        <x:f>IF(AL14="","",AL14*COMBIN($B$5-$A14,Inputs!$B$5-$A14)/COMBIN($B$5,Inputs!$B$5))</x:f>
      </x:c>
      <x:c r="AN14" s="78" t="str">
        <x:f>IF(AM14="","",IF(AM14&lt;1E-6,AM14,1-EXP(-AM14)))</x:f>
      </x:c>
      <x:c r="AO14" s="78" t="str">
        <x:f>IF(AN14="","",-LN(AN14))</x:f>
      </x:c>
      <x:c r="AP14" s="78" t="str">
        <x:f>IF(OR($A14=3,$A14&gt;$B$4),"",($B$4-($A14-1))/($B$5-($A14-1)))</x:f>
      </x:c>
      <x:c r="AQ14" s="78" t="str">
        <x:f>IF(AL14="","",IF($A14=3,AN14,AQ13*AP14))</x:f>
      </x:c>
      <x:c r="AR14" s="78" t="str">
        <x:f>IF(AQ14="","",-LN(AQ14))</x:f>
      </x:c>
      <x:c r="AS14" s="78" t="str">
        <x:f>IF(AR14="","",Inputs!$B$7*AO14+(1-Inputs!$B$7)*AR14)</x:f>
      </x:c>
      <x:c r="AT14" s="78" t="str">
        <x:f>IF($A14&gt;$B$4,"",Inputs!$B$12*Inputs!$B$18*IF($A14=3,Inputs!$B$19,IF($A14=4,Inputs!$B$20,IF($A14=5,Inputs!$B$21,0))))</x:f>
      </x:c>
      <x:c r="AU14" s="78" t="str">
        <x:f>IF($A14&gt;$B$4,"",0)</x:f>
      </x:c>
      <x:c r="AV14" s="78" t="str">
        <x:f>IF(AS14="","",MAX(0,AS14-Inputs!$B$8*AT14+Inputs!$B$9*AU14))</x:f>
      </x:c>
      <x:c r="AW14" s="78" t="str">
        <x:f>IF(AV14="","",AV14*Inputs!$B$10)</x:f>
      </x:c>
    </x:row>
    <x:row r="15">
      <x:c r="A15" s="66" t="n">
        <x:v>10</x:v>
      </x:c>
      <x:c r="B15" s="78" t="n">
        <x:f>$B$4*COMBIN(Inputs!$B$4,$A15)</x:f>
        <x:v>12012</x:v>
      </x:c>
      <x:c r="C15" s="78" t="n">
        <x:f>IF(B15="","",B15*COMBIN($B$5-$A15,Inputs!$B$5-$A15)/COMBIN($B$5,Inputs!$B$5))</x:f>
        <x:v>0.0004784468632932827</x:v>
      </x:c>
      <x:c r="D15" s="78" t="n">
        <x:f>IF(C15="","",IF(C15&lt;1E-6,C15,1-EXP(-C15)))</x:f>
        <x:v>0.0004783324258442745</x:v>
      </x:c>
      <x:c r="E15" s="78" t="n">
        <x:f>IF(D15="","",-LN(D15))</x:f>
        <x:v>7.645204615630132</x:v>
      </x:c>
      <x:c r="F15" s="78" t="n">
        <x:f>IF($A15=3,"",(Inputs!$B$4-($A15-1))/($B$5-($A15-1)))</x:f>
        <x:v>0.11764705882352941</x:v>
      </x:c>
      <x:c r="G15" s="78" t="n">
        <x:f>IF(B15="","",IF($A15=3,D15,G14*F15))</x:f>
        <x:v>0.0000029956218985025482</x:v>
      </x:c>
      <x:c r="H15" s="78" t="n">
        <x:f>IF(G15="","",-LN(G15))</x:f>
        <x:v>12.71835870237541</x:v>
      </x:c>
      <x:c r="I15" s="78" t="n">
        <x:f>IF(H15="","",Inputs!$B$7*E15+(1-Inputs!$B$7)*H15)</x:f>
        <x:v>8.913493137316452</x:v>
      </x:c>
      <x:c r="J15" s="78" t="n">
        <x:f>Inputs!$B$12*IF($A15&gt;=6,2,1)*(Inputs!$B$13-Inputs!$B$14)</x:f>
        <x:v>3</x:v>
      </x:c>
      <x:c r="K15" s="78" t="n">
        <x:f>0</x:f>
        <x:v>0</x:v>
      </x:c>
      <x:c r="L15" s="78" t="n">
        <x:f>IF(I15="","",MAX(0,I15-Inputs!$B$8*J15+Inputs!$B$9*K15))</x:f>
        <x:v>7.413493137316452</x:v>
      </x:c>
      <x:c r="M15" s="78" t="n">
        <x:f>IF(L15="","",L15*Inputs!$B$10)</x:f>
        <x:v>14.826986274632905</x:v>
      </x:c>
      <x:c r="N15" s="78" t="n">
        <x:f>(Inputs!$B$4-$A15+1)*($B$4^$A15)</x:f>
        <x:v>6291456</x:v>
      </x:c>
      <x:c r="O15" s="78" t="n">
        <x:f>IF(N15="","",N15*COMBIN($B$5-$A15,Inputs!$B$5-$A15)/COMBIN($B$5,Inputs!$B$5))</x:f>
        <x:v>0.250593355706602</x:v>
      </x:c>
      <x:c r="P15" s="78" t="n">
        <x:f>IF(O15="","",IF(O15&lt;1E-6,O15,1-EXP(-O15)))</x:f>
        <x:v>0.22166118574806515</x:v>
      </x:c>
      <x:c r="Q15" s="78" t="n">
        <x:f>IF(P15="","",-LN(P15))</x:f>
        <x:v>1.5066052532486622</x:v>
      </x:c>
      <x:c r="R15" s="78" t="n">
        <x:f>IF($A15=3,"",((MAX(0,Inputs!$B$4-($A15-1)-1)*2*$B$4+2*$B$4)/(Inputs!$B$4-($A15-1)+1))/($B$5-($A15-1)))</x:f>
        <x:v>0.13445378151260504</x:v>
      </x:c>
      <x:c r="S15" s="78" t="n">
        <x:f>IF(N15="","",IF($A15=3,P15,S14*R15))</x:f>
        <x:v>7.263773138758479e-7</x:v>
      </x:c>
      <x:c r="T15" s="78" t="n">
        <x:f>IF(S15="","",-LN(S15))</x:f>
        <x:v>14.13519624104481</x:v>
      </x:c>
      <x:c r="U15" s="78" t="n">
        <x:f>IF(T15="","",Inputs!$B$7*Q15+(1-Inputs!$B$7)*T15)</x:f>
        <x:v>4.6637530001976994</x:v>
      </x:c>
      <x:c r="V15" s="78" t="n">
        <x:f>Inputs!$B$12*MAX(0,Inputs!$B$15-Inputs!$B$16)</x:f>
        <x:v>1</x:v>
      </x:c>
      <x:c r="W15" s="78" t="n">
        <x:f>Inputs!$B$22</x:f>
        <x:v>1.5</x:v>
      </x:c>
      <x:c r="X15" s="78" t="n">
        <x:f>IF(U15="","",MAX(0,U15-Inputs!$B$8*V15+Inputs!$B$9*W15))</x:f>
        <x:v>5.6637530001976994</x:v>
      </x:c>
      <x:c r="Y15" s="78" t="n">
        <x:f>IF(X15="","",X15*Inputs!$B$10)</x:f>
        <x:v>11.327506000395399</x:v>
      </x:c>
      <x:c r="Z15" s="78" t="n">
        <x:f>$B$4*(Inputs!$B$4-$A15+1)</x:f>
        <x:v>24</x:v>
      </x:c>
      <x:c r="AA15" s="78" t="n">
        <x:f>IF(Z15="","",Z15*COMBIN($B$5-$A15,Inputs!$B$5-$A15)/COMBIN($B$5,Inputs!$B$5))</x:f>
        <x:v>9.559377887977677e-7</x:v>
      </x:c>
      <x:c r="AB15" s="78" t="n">
        <x:f>IF(AA15="","",IF(AA15&lt;1E-6,AA15,1-EXP(-AA15)))</x:f>
        <x:v>9.559377887977677e-7</x:v>
      </x:c>
      <x:c r="AC15" s="78" t="n">
        <x:f>IF(AB15="","",-LN(AB15))</x:f>
        <x:v>13.860573000491769</x:v>
      </x:c>
      <x:c r="AD15" s="78" t="n">
        <x:f>IF($A15=3,"",((MAX(0,Inputs!$B$4-($A15-1)-1)*2+2)/(Inputs!$B$4-($A15-1)+1))/($B$5-($A15-1)))</x:f>
        <x:v>0.03361344537815126</x:v>
      </x:c>
      <x:c r="AE15" s="78" t="n">
        <x:f>IF(Z15="","",IF($A15=3,AB15,AE14*AD15))</x:f>
        <x:v>2.2129049007323546e-11</x:v>
      </x:c>
      <x:c r="AF15" s="78" t="n">
        <x:f>IF(AE15="","",-LN(AE15))</x:f>
        <x:v>24.53412993579738</x:v>
      </x:c>
      <x:c r="AG15" s="78" t="n">
        <x:f>IF(AF15="","",Inputs!$B$7*AC15+(1-Inputs!$B$7)*AF15)</x:f>
        <x:v>16.528962234318172</x:v>
      </x:c>
      <x:c r="AH15" s="78" t="n">
        <x:f>Inputs!$B$17*(Inputs!$B$12*IF($A15&gt;=6,2,1)*(Inputs!$B$13-Inputs!$B$14)+Inputs!$B$12*MAX(0,Inputs!$B$15-Inputs!$B$16))</x:f>
        <x:v>2.6</x:v>
      </x:c>
      <x:c r="AI15" s="78" t="n">
        <x:f>0</x:f>
        <x:v>0</x:v>
      </x:c>
      <x:c r="AJ15" s="78" t="n">
        <x:f>IF(AG15="","",IF(AND($A15=Inputs!$B$4,Inputs!$B$23=1),L15,MAX(0,AG15-Inputs!$B$8*AH15+Inputs!$B$9*AI15)))</x:f>
        <x:v>15.228962234318171</x:v>
      </x:c>
      <x:c r="AK15" s="78" t="n">
        <x:f>IF(AJ15="","",AJ15*Inputs!$B$10)</x:f>
        <x:v>30.457924468636342</x:v>
      </x:c>
      <x:c r="AL15" s="78" t="str">
        <x:f>IF($A15&lt;=$B$4,Inputs!$B$4*COMBIN($B$4,$A15),"")</x:f>
      </x:c>
      <x:c r="AM15" s="78" t="str">
        <x:f>IF(AL15="","",AL15*COMBIN($B$5-$A15,Inputs!$B$5-$A15)/COMBIN($B$5,Inputs!$B$5))</x:f>
      </x:c>
      <x:c r="AN15" s="78" t="str">
        <x:f>IF(AM15="","",IF(AM15&lt;1E-6,AM15,1-EXP(-AM15)))</x:f>
      </x:c>
      <x:c r="AO15" s="78" t="str">
        <x:f>IF(AN15="","",-LN(AN15))</x:f>
      </x:c>
      <x:c r="AP15" s="78" t="str">
        <x:f>IF(OR($A15=3,$A15&gt;$B$4),"",($B$4-($A15-1))/($B$5-($A15-1)))</x:f>
      </x:c>
      <x:c r="AQ15" s="78" t="str">
        <x:f>IF(AL15="","",IF($A15=3,AN15,AQ14*AP15))</x:f>
      </x:c>
      <x:c r="AR15" s="78" t="str">
        <x:f>IF(AQ15="","",-LN(AQ15))</x:f>
      </x:c>
      <x:c r="AS15" s="78" t="str">
        <x:f>IF(AR15="","",Inputs!$B$7*AO15+(1-Inputs!$B$7)*AR15)</x:f>
      </x:c>
      <x:c r="AT15" s="78" t="str">
        <x:f>IF($A15&gt;$B$4,"",Inputs!$B$12*Inputs!$B$18*IF($A15=3,Inputs!$B$19,IF($A15=4,Inputs!$B$20,IF($A15=5,Inputs!$B$21,0))))</x:f>
      </x:c>
      <x:c r="AU15" s="78" t="str">
        <x:f>IF($A15&gt;$B$4,"",0)</x:f>
      </x:c>
      <x:c r="AV15" s="78" t="str">
        <x:f>IF(AS15="","",MAX(0,AS15-Inputs!$B$8*AT15+Inputs!$B$9*AU15))</x:f>
      </x:c>
      <x:c r="AW15" s="78" t="str">
        <x:f>IF(AV15="","",AV15*Inputs!$B$10)</x:f>
      </x:c>
    </x:row>
    <x:row r="16">
      <x:c r="A16" s="66" t="n">
        <x:v>11</x:v>
      </x:c>
      <x:c r="B16" s="78" t="n">
        <x:f>$B$4*COMBIN(Inputs!$B$4,$A16)</x:f>
        <x:v>5460</x:v>
      </x:c>
      <x:c r="C16" s="78" t="n">
        <x:f>IF(B16="","",B16*COMBIN($B$5-$A16,Inputs!$B$5-$A16)/COMBIN($B$5,Inputs!$B$5))</x:f>
        <x:v>0.000021747584695149214</x:v>
      </x:c>
      <x:c r="D16" s="78" t="n">
        <x:f>IF(C16="","",IF(C16&lt;1E-6,C16,1-EXP(-C16)))</x:f>
        <x:v>0.000021747348218137397</x:v>
      </x:c>
      <x:c r="E16" s="78" t="n">
        <x:f>IF(D16="","",-LN(D16))</x:f>
        <x:v>10.736018728867728</x:v>
      </x:c>
      <x:c r="F16" s="78" t="n">
        <x:f>IF($A16=3,"",(Inputs!$B$4-($A16-1))/($B$5-($A16-1)))</x:f>
        <x:v>0.1</x:v>
      </x:c>
      <x:c r="G16" s="78" t="n">
        <x:f>IF(B16="","",IF($A16=3,D16,G15*F16))</x:f>
        <x:v>2.9956218985025487e-7</x:v>
      </x:c>
      <x:c r="H16" s="78" t="n">
        <x:f>IF(G16="","",-LN(G16))</x:f>
        <x:v>15.020943795369455</x:v>
      </x:c>
      <x:c r="I16" s="78" t="n">
        <x:f>IF(H16="","",Inputs!$B$7*E16+(1-Inputs!$B$7)*H16)</x:f>
        <x:v>11.80724999549316</x:v>
      </x:c>
      <x:c r="J16" s="78" t="n">
        <x:f>Inputs!$B$12*IF($A16&gt;=6,2,1)*(Inputs!$B$13-Inputs!$B$14)</x:f>
        <x:v>3</x:v>
      </x:c>
      <x:c r="K16" s="78" t="n">
        <x:f>0</x:f>
        <x:v>0</x:v>
      </x:c>
      <x:c r="L16" s="78" t="n">
        <x:f>IF(I16="","",MAX(0,I16-Inputs!$B$8*J16+Inputs!$B$9*K16))</x:f>
        <x:v>10.30724999549316</x:v>
      </x:c>
      <x:c r="M16" s="78" t="n">
        <x:f>IF(L16="","",L16*Inputs!$B$10)</x:f>
        <x:v>20.61449999098632</x:v>
      </x:c>
      <x:c r="N16" s="78" t="n">
        <x:f>(Inputs!$B$4-$A16+1)*($B$4^$A16)</x:f>
        <x:v>20971520</x:v>
      </x:c>
      <x:c r="O16" s="78" t="n">
        <x:f>IF(N16="","",N16*COMBIN($B$5-$A16,Inputs!$B$5-$A16)/COMBIN($B$5,Inputs!$B$5))</x:f>
        <x:v>0.08353111856886733</x:v>
      </x:c>
      <x:c r="P16" s="78" t="n">
        <x:f>IF(O16="","",IF(O16&lt;1E-6,O16,1-EXP(-O16)))</x:f>
        <x:v>0.08013753857750383</x:v>
      </x:c>
      <x:c r="Q16" s="78" t="n">
        <x:f>IF(P16="","",-LN(P16))</x:f>
        <x:v>2.5240108882774708</x:v>
      </x:c>
      <x:c r="R16" s="78" t="n">
        <x:f>IF($A16=3,"",((MAX(0,Inputs!$B$4-($A16-1)-1)*2*$B$4+2*$B$4)/(Inputs!$B$4-($A16-1)+1))/($B$5-($A16-1)))</x:f>
        <x:v>0.13333333333333333</x:v>
      </x:c>
      <x:c r="S16" s="78" t="n">
        <x:f>IF(N16="","",IF($A16=3,P16,S15*R16))</x:f>
        <x:v>9.685030851677971e-8</x:v>
      </x:c>
      <x:c r="T16" s="78" t="n">
        <x:f>IF(S16="","",-LN(S16))</x:f>
        <x:v>16.150099261587073</x:v>
      </x:c>
      <x:c r="U16" s="78" t="n">
        <x:f>IF(T16="","",Inputs!$B$7*Q16+(1-Inputs!$B$7)*T16)</x:f>
        <x:v>5.9305329816048715</x:v>
      </x:c>
      <x:c r="V16" s="78" t="n">
        <x:f>Inputs!$B$12*MAX(0,Inputs!$B$15-Inputs!$B$16)</x:f>
        <x:v>1</x:v>
      </x:c>
      <x:c r="W16" s="78" t="n">
        <x:f>Inputs!$B$22</x:f>
        <x:v>1.5</x:v>
      </x:c>
      <x:c r="X16" s="78" t="n">
        <x:f>IF(U16="","",MAX(0,U16-Inputs!$B$8*V16+Inputs!$B$9*W16))</x:f>
        <x:v>6.9305329816048715</x:v>
      </x:c>
      <x:c r="Y16" s="78" t="n">
        <x:f>IF(X16="","",X16*Inputs!$B$10)</x:f>
        <x:v>13.861065963209743</x:v>
      </x:c>
      <x:c r="Z16" s="78" t="n">
        <x:f>$B$4*(Inputs!$B$4-$A16+1)</x:f>
        <x:v>20</x:v>
      </x:c>
      <x:c r="AA16" s="78" t="n">
        <x:f>IF(Z16="","",Z16*COMBIN($B$5-$A16,Inputs!$B$5-$A16)/COMBIN($B$5,Inputs!$B$5))</x:f>
        <x:v>7.966148239981397e-8</x:v>
      </x:c>
      <x:c r="AB16" s="78" t="n">
        <x:f>IF(AA16="","",IF(AA16&lt;1E-6,AA16,1-EXP(-AA16)))</x:f>
        <x:v>7.966148239981397e-8</x:v>
      </x:c>
      <x:c r="AC16" s="78" t="n">
        <x:f>IF(AB16="","",-LN(AB16))</x:f>
        <x:v>16.345479650279767</x:v>
      </x:c>
      <x:c r="AD16" s="78" t="n">
        <x:f>IF($A16=3,"",((MAX(0,Inputs!$B$4-($A16-1)-1)*2+2)/(Inputs!$B$4-($A16-1)+1))/($B$5-($A16-1)))</x:f>
        <x:v>0.03333333333333333</x:v>
      </x:c>
      <x:c r="AE16" s="78" t="n">
        <x:f>IF(Z16="","",IF($A16=3,AB16,AE15*AD16))</x:f>
        <x:v>7.376349669107848e-13</x:v>
      </x:c>
      <x:c r="AF16" s="78" t="str">
        <x:f>IF(AE16="","",-LN(AE16))</x:f>
      </x:c>
      <x:c r="AG16" s="78" t="str">
        <x:f>IF(AF16="","",Inputs!$B$7*AC16+(1-Inputs!$B$7)*AF16)</x:f>
      </x:c>
      <x:c r="AH16" s="78" t="n">
        <x:f>Inputs!$B$17*(Inputs!$B$12*IF($A16&gt;=6,2,1)*(Inputs!$B$13-Inputs!$B$14)+Inputs!$B$12*MAX(0,Inputs!$B$15-Inputs!$B$16))</x:f>
        <x:v>2.6</x:v>
      </x:c>
      <x:c r="AI16" s="78" t="n">
        <x:f>0</x:f>
        <x:v>0</x:v>
      </x:c>
      <x:c r="AJ16" s="78" t="str">
        <x:f>IF(AG16="","",IF(AND($A16=Inputs!$B$4,Inputs!$B$23=1),L16,MAX(0,AG16-Inputs!$B$8*AH16+Inputs!$B$9*AI16)))</x:f>
      </x:c>
      <x:c r="AK16" s="78" t="str">
        <x:f>IF(AJ16="","",AJ16*Inputs!$B$10)</x:f>
      </x:c>
      <x:c r="AL16" s="78" t="str">
        <x:f>IF($A16&lt;=$B$4,Inputs!$B$4*COMBIN($B$4,$A16),"")</x:f>
      </x:c>
      <x:c r="AM16" s="78" t="str">
        <x:f>IF(AL16="","",AL16*COMBIN($B$5-$A16,Inputs!$B$5-$A16)/COMBIN($B$5,Inputs!$B$5))</x:f>
      </x:c>
      <x:c r="AN16" s="78" t="str">
        <x:f>IF(AM16="","",IF(AM16&lt;1E-6,AM16,1-EXP(-AM16)))</x:f>
      </x:c>
      <x:c r="AO16" s="78" t="str">
        <x:f>IF(AN16="","",-LN(AN16))</x:f>
      </x:c>
      <x:c r="AP16" s="78" t="str">
        <x:f>IF(OR($A16=3,$A16&gt;$B$4),"",($B$4-($A16-1))/($B$5-($A16-1)))</x:f>
      </x:c>
      <x:c r="AQ16" s="78" t="str">
        <x:f>IF(AL16="","",IF($A16=3,AN16,AQ15*AP16))</x:f>
      </x:c>
      <x:c r="AR16" s="78" t="str">
        <x:f>IF(AQ16="","",-LN(AQ16))</x:f>
      </x:c>
      <x:c r="AS16" s="78" t="str">
        <x:f>IF(AR16="","",Inputs!$B$7*AO16+(1-Inputs!$B$7)*AR16)</x:f>
      </x:c>
      <x:c r="AT16" s="78" t="str">
        <x:f>IF($A16&gt;$B$4,"",Inputs!$B$12*Inputs!$B$18*IF($A16=3,Inputs!$B$19,IF($A16=4,Inputs!$B$20,IF($A16=5,Inputs!$B$21,0))))</x:f>
      </x:c>
      <x:c r="AU16" s="78" t="str">
        <x:f>IF($A16&gt;$B$4,"",0)</x:f>
      </x:c>
      <x:c r="AV16" s="78" t="str">
        <x:f>IF(AS16="","",MAX(0,AS16-Inputs!$B$8*AT16+Inputs!$B$9*AU16))</x:f>
      </x:c>
      <x:c r="AW16" s="78" t="str">
        <x:f>IF(AV16="","",AV16*Inputs!$B$10)</x:f>
      </x:c>
    </x:row>
    <x:row r="17">
      <x:c r="A17" s="66" t="n">
        <x:v>12</x:v>
      </x:c>
      <x:c r="B17" s="78" t="n">
        <x:f>$B$4*COMBIN(Inputs!$B$4,$A17)</x:f>
        <x:v>1820</x:v>
      </x:c>
      <x:c r="C17" s="78" t="n">
        <x:f>IF(B17="","",B17*COMBIN($B$5-$A17,Inputs!$B$5-$A17)/COMBIN($B$5,Inputs!$B$5))</x:f>
        <x:v>5.917710121129038e-7</x:v>
      </x:c>
      <x:c r="D17" s="78" t="n">
        <x:f>IF(C17="","",IF(C17&lt;1E-6,C17,1-EXP(-C17)))</x:f>
        <x:v>5.917710121129038e-7</x:v>
      </x:c>
      <x:c r="E17" s="78" t="n">
        <x:f>IF(D17="","",-LN(D17))</x:f>
        <x:v>14.340146080753655</x:v>
      </x:c>
      <x:c r="F17" s="78" t="n">
        <x:f>IF($A17=3,"",(Inputs!$B$4-($A17-1))/($B$5-($A17-1)))</x:f>
        <x:v>0.08163265306122448</x:v>
      </x:c>
      <x:c r="G17" s="78" t="n">
        <x:f>IF(B17="","",IF($A17=3,D17,G16*F17))</x:f>
        <x:v>2.4454056314306517e-8</x:v>
      </x:c>
      <x:c r="H17" s="78" t="n">
        <x:f>IF(G17="","",-LN(G17))</x:f>
        <x:v>17.52646973236019</x:v>
      </x:c>
      <x:c r="I17" s="78" t="n">
        <x:f>IF(H17="","",Inputs!$B$7*E17+(1-Inputs!$B$7)*H17)</x:f>
        <x:v>15.136726993655289</x:v>
      </x:c>
      <x:c r="J17" s="78" t="n">
        <x:f>Inputs!$B$12*IF($A17&gt;=6,2,1)*(Inputs!$B$13-Inputs!$B$14)</x:f>
        <x:v>3</x:v>
      </x:c>
      <x:c r="K17" s="78" t="n">
        <x:f>0</x:f>
        <x:v>0</x:v>
      </x:c>
      <x:c r="L17" s="78" t="n">
        <x:f>IF(I17="","",MAX(0,I17-Inputs!$B$8*J17+Inputs!$B$9*K17))</x:f>
        <x:v>13.636726993655289</x:v>
      </x:c>
      <x:c r="M17" s="78" t="n">
        <x:f>IF(L17="","",L17*Inputs!$B$10)</x:f>
        <x:v>27.273453987310578</x:v>
      </x:c>
      <x:c r="N17" s="78" t="n">
        <x:f>(Inputs!$B$4-$A17+1)*($B$4^$A17)</x:f>
        <x:v>67108864</x:v>
      </x:c>
      <x:c r="O17" s="78" t="n">
        <x:f>IF(N17="","",N17*COMBIN($B$5-$A17,Inputs!$B$5-$A17)/COMBIN($B$5,Inputs!$B$5))</x:f>
        <x:v>0.021820373830234732</x:v>
      </x:c>
      <x:c r="P17" s="78" t="n">
        <x:f>IF(O17="","",IF(O17&lt;1E-6,O17,1-EXP(-O17)))</x:f>
        <x:v>0.02158403161957756</x:v>
      </x:c>
      <x:c r="Q17" s="78" t="n">
        <x:f>IF(P17="","",-LN(P17))</x:f>
        <x:v>3.835801514563327</x:v>
      </x:c>
      <x:c r="R17" s="78" t="n">
        <x:f>IF($A17=3,"",((MAX(0,Inputs!$B$4-($A17-1)-1)*2*$B$4+2*$B$4)/(Inputs!$B$4-($A17-1)+1))/($B$5-($A17-1)))</x:f>
        <x:v>0.1306122448979592</x:v>
      </x:c>
      <x:c r="S17" s="78" t="n">
        <x:f>IF(N17="","",IF($A17=3,P17,S16*R17))</x:f>
        <x:v>1.2649836214436535e-8</x:v>
      </x:c>
      <x:c r="T17" s="78" t="n">
        <x:f>IF(S17="","",-LN(S17))</x:f>
        <x:v>18.185621569332074</x:v>
      </x:c>
      <x:c r="U17" s="78" t="n">
        <x:f>IF(T17="","",Inputs!$B$7*Q17+(1-Inputs!$B$7)*T17)</x:f>
        <x:v>7.423256528255514</x:v>
      </x:c>
      <x:c r="V17" s="78" t="n">
        <x:f>Inputs!$B$12*MAX(0,Inputs!$B$15-Inputs!$B$16)</x:f>
        <x:v>1</x:v>
      </x:c>
      <x:c r="W17" s="78" t="n">
        <x:f>Inputs!$B$22</x:f>
        <x:v>1.5</x:v>
      </x:c>
      <x:c r="X17" s="78" t="n">
        <x:f>IF(U17="","",MAX(0,U17-Inputs!$B$8*V17+Inputs!$B$9*W17))</x:f>
        <x:v>8.423256528255514</x:v>
      </x:c>
      <x:c r="Y17" s="78" t="n">
        <x:f>IF(X17="","",X17*Inputs!$B$10)</x:f>
        <x:v>16.84651305651103</x:v>
      </x:c>
      <x:c r="Z17" s="78" t="n">
        <x:f>$B$4*(Inputs!$B$4-$A17+1)</x:f>
        <x:v>16</x:v>
      </x:c>
      <x:c r="AA17" s="78" t="n">
        <x:f>IF(Z17="","",Z17*COMBIN($B$5-$A17,Inputs!$B$5-$A17)/COMBIN($B$5,Inputs!$B$5))</x:f>
        <x:v>5.202382524069484e-9</x:v>
      </x:c>
      <x:c r="AB17" s="78" t="n">
        <x:f>IF(AA17="","",IF(AA17&lt;1E-6,AA17,1-EXP(-AA17)))</x:f>
        <x:v>5.202382524069484e-9</x:v>
      </x:c>
      <x:c r="AC17" s="78" t="n">
        <x:f>IF(AB17="","",-LN(AB17))</x:f>
        <x:v>19.074149138584716</x:v>
      </x:c>
      <x:c r="AD17" s="78" t="n">
        <x:f>IF($A17=3,"",((MAX(0,Inputs!$B$4-($A17-1)-1)*2+2)/(Inputs!$B$4-($A17-1)+1))/($B$5-($A17-1)))</x:f>
        <x:v>0.0326530612244898</x:v>
      </x:c>
      <x:c r="AE17" s="78" t="n">
        <x:f>IF(Z17="","",IF($A17=3,AB17,AE16*AD17))</x:f>
        <x:v>2.4086039735862363e-14</x:v>
      </x:c>
      <x:c r="AF17" s="78" t="str">
        <x:f>IF(AE17="","",-LN(AE17))</x:f>
      </x:c>
      <x:c r="AG17" s="78" t="str">
        <x:f>IF(AF17="","",Inputs!$B$7*AC17+(1-Inputs!$B$7)*AF17)</x:f>
      </x:c>
      <x:c r="AH17" s="78" t="n">
        <x:f>Inputs!$B$17*(Inputs!$B$12*IF($A17&gt;=6,2,1)*(Inputs!$B$13-Inputs!$B$14)+Inputs!$B$12*MAX(0,Inputs!$B$15-Inputs!$B$16))</x:f>
        <x:v>2.6</x:v>
      </x:c>
      <x:c r="AI17" s="78" t="n">
        <x:f>0</x:f>
        <x:v>0</x:v>
      </x:c>
      <x:c r="AJ17" s="78" t="str">
        <x:f>IF(AG17="","",IF(AND($A17=Inputs!$B$4,Inputs!$B$23=1),L17,MAX(0,AG17-Inputs!$B$8*AH17+Inputs!$B$9*AI17)))</x:f>
      </x:c>
      <x:c r="AK17" s="78" t="str">
        <x:f>IF(AJ17="","",AJ17*Inputs!$B$10)</x:f>
      </x:c>
      <x:c r="AL17" s="78" t="str">
        <x:f>IF($A17&lt;=$B$4,Inputs!$B$4*COMBIN($B$4,$A17),"")</x:f>
      </x:c>
      <x:c r="AM17" s="78" t="str">
        <x:f>IF(AL17="","",AL17*COMBIN($B$5-$A17,Inputs!$B$5-$A17)/COMBIN($B$5,Inputs!$B$5))</x:f>
      </x:c>
      <x:c r="AN17" s="78" t="str">
        <x:f>IF(AM17="","",IF(AM17&lt;1E-6,AM17,1-EXP(-AM17)))</x:f>
      </x:c>
      <x:c r="AO17" s="78" t="str">
        <x:f>IF(AN17="","",-LN(AN17))</x:f>
      </x:c>
      <x:c r="AP17" s="78" t="str">
        <x:f>IF(OR($A17=3,$A17&gt;$B$4),"",($B$4-($A17-1))/($B$5-($A17-1)))</x:f>
      </x:c>
      <x:c r="AQ17" s="78" t="str">
        <x:f>IF(AL17="","",IF($A17=3,AN17,AQ16*AP17))</x:f>
      </x:c>
      <x:c r="AR17" s="78" t="str">
        <x:f>IF(AQ17="","",-LN(AQ17))</x:f>
      </x:c>
      <x:c r="AS17" s="78" t="str">
        <x:f>IF(AR17="","",Inputs!$B$7*AO17+(1-Inputs!$B$7)*AR17)</x:f>
      </x:c>
      <x:c r="AT17" s="78" t="str">
        <x:f>IF($A17&gt;$B$4,"",Inputs!$B$12*Inputs!$B$18*IF($A17=3,Inputs!$B$19,IF($A17=4,Inputs!$B$20,IF($A17=5,Inputs!$B$21,0))))</x:f>
      </x:c>
      <x:c r="AU17" s="78" t="str">
        <x:f>IF($A17&gt;$B$4,"",0)</x:f>
      </x:c>
      <x:c r="AV17" s="78" t="str">
        <x:f>IF(AS17="","",MAX(0,AS17-Inputs!$B$8*AT17+Inputs!$B$9*AU17))</x:f>
      </x:c>
      <x:c r="AW17" s="78" t="str">
        <x:f>IF(AV17="","",AV17*Inputs!$B$10)</x:f>
      </x:c>
    </x:row>
    <x:row r="18">
      <x:c r="A18" s="66" t="n">
        <x:v>13</x:v>
      </x:c>
      <x:c r="B18" s="78" t="n">
        <x:f>$B$4*COMBIN(Inputs!$B$4,$A18)</x:f>
        <x:v>420</x:v>
      </x:c>
      <x:c r="C18" s="78" t="n">
        <x:f>IF(B18="","",B18*COMBIN($B$5-$A18,Inputs!$B$5-$A18)/COMBIN($B$5,Inputs!$B$5))</x:f>
        <x:v>8.535158828551496e-9</x:v>
      </x:c>
      <x:c r="D18" s="78" t="n">
        <x:f>IF(C18="","",IF(C18&lt;1E-6,C18,1-EXP(-C18)))</x:f>
        <x:v>8.535158828551496e-9</x:v>
      </x:c>
      <x:c r="E18" s="78" t="n">
        <x:f>IF(D18="","",-LN(D18))</x:f>
        <x:v>18.579071871786862</x:v>
      </x:c>
      <x:c r="F18" s="78" t="n">
        <x:f>IF($A18=3,"",(Inputs!$B$4-($A18-1))/($B$5-($A18-1)))</x:f>
        <x:v>0.0625</x:v>
      </x:c>
      <x:c r="G18" s="78" t="n">
        <x:f>IF(B18="","",IF($A18=3,D18,G17*F18))</x:f>
        <x:v>1.5283785196441573e-9</x:v>
      </x:c>
      <x:c r="H18" s="78" t="n">
        <x:f>IF(G18="","",-LN(G18))</x:f>
        <x:v>20.299058454599972</x:v>
      </x:c>
      <x:c r="I18" s="78" t="n">
        <x:f>IF(H18="","",Inputs!$B$7*E18+(1-Inputs!$B$7)*H18)</x:f>
        <x:v>19.00906851749014</x:v>
      </x:c>
      <x:c r="J18" s="78" t="n">
        <x:f>Inputs!$B$12*IF($A18&gt;=6,2,1)*(Inputs!$B$13-Inputs!$B$14)</x:f>
        <x:v>3</x:v>
      </x:c>
      <x:c r="K18" s="78" t="n">
        <x:f>0</x:f>
        <x:v>0</x:v>
      </x:c>
      <x:c r="L18" s="78" t="n">
        <x:f>IF(I18="","",MAX(0,I18-Inputs!$B$8*J18+Inputs!$B$9*K18))</x:f>
        <x:v>17.50906851749014</x:v>
      </x:c>
      <x:c r="M18" s="78" t="n">
        <x:f>IF(L18="","",L18*Inputs!$B$10)</x:f>
        <x:v>35.01813703498028</x:v>
      </x:c>
      <x:c r="N18" s="78" t="n">
        <x:f>(Inputs!$B$4-$A18+1)*($B$4^$A18)</x:f>
        <x:v>201326592</x:v>
      </x:c>
      <x:c r="O18" s="78" t="n">
        <x:f>IF(N18="","",N18*COMBIN($B$5-$A18,Inputs!$B$5-$A18)/COMBIN($B$5,Inputs!$B$5))</x:f>
        <x:v>0.004091320093169012</x:v>
      </x:c>
      <x:c r="P18" s="78" t="n">
        <x:f>IF(O18="","",IF(O18&lt;1E-6,O18,1-EXP(-O18)))</x:f>
        <x:v>0.004082962045484639</x:v>
      </x:c>
      <x:c r="Q18" s="78" t="n">
        <x:f>IF(P18="","",-LN(P18))</x:f>
        <x:v>5.500932562430093</x:v>
      </x:c>
      <x:c r="R18" s="78" t="n">
        <x:f>IF($A18=3,"",((MAX(0,Inputs!$B$4-($A18-1)-1)*2*$B$4+2*$B$4)/(Inputs!$B$4-($A18-1)+1))/($B$5-($A18-1)))</x:f>
        <x:v>0.125</x:v>
      </x:c>
      <x:c r="S18" s="78" t="n">
        <x:f>IF(N18="","",IF($A18=3,P18,S17*R18))</x:f>
        <x:v>1.5812295268045669e-9</x:v>
      </x:c>
      <x:c r="T18" s="78" t="n">
        <x:f>IF(S18="","",-LN(S18))</x:f>
        <x:v>20.26506311101191</x:v>
      </x:c>
      <x:c r="U18" s="78" t="n">
        <x:f>IF(T18="","",Inputs!$B$7*Q18+(1-Inputs!$B$7)*T18)</x:f>
        <x:v>9.191965199575547</x:v>
      </x:c>
      <x:c r="V18" s="78" t="n">
        <x:f>Inputs!$B$12*MAX(0,Inputs!$B$15-Inputs!$B$16)</x:f>
        <x:v>1</x:v>
      </x:c>
      <x:c r="W18" s="78" t="n">
        <x:f>Inputs!$B$22</x:f>
        <x:v>1.5</x:v>
      </x:c>
      <x:c r="X18" s="78" t="n">
        <x:f>IF(U18="","",MAX(0,U18-Inputs!$B$8*V18+Inputs!$B$9*W18))</x:f>
        <x:v>10.191965199575547</x:v>
      </x:c>
      <x:c r="Y18" s="78" t="n">
        <x:f>IF(X18="","",X18*Inputs!$B$10)</x:f>
        <x:v>20.383930399151094</x:v>
      </x:c>
      <x:c r="Z18" s="78" t="n">
        <x:f>$B$4*(Inputs!$B$4-$A18+1)</x:f>
        <x:v>12</x:v>
      </x:c>
      <x:c r="AA18" s="78" t="n">
        <x:f>IF(Z18="","",Z18*COMBIN($B$5-$A18,Inputs!$B$5-$A18)/COMBIN($B$5,Inputs!$B$5))</x:f>
        <x:v>2.4386168081575705e-10</x:v>
      </x:c>
      <x:c r="AB18" s="78" t="n">
        <x:f>IF(AA18="","",IF(AA18&lt;1E-6,AA18,1-EXP(-AA18)))</x:f>
        <x:v>2.4386168081575705e-10</x:v>
      </x:c>
      <x:c r="AC18" s="78" t="n">
        <x:f>IF(AB18="","",-LN(AB18))</x:f>
        <x:v>22.134419933276277</x:v>
      </x:c>
      <x:c r="AD18" s="78" t="n">
        <x:f>IF($A18=3,"",((MAX(0,Inputs!$B$4-($A18-1)-1)*2+2)/(Inputs!$B$4-($A18-1)+1))/($B$5-($A18-1)))</x:f>
        <x:v>0.03125</x:v>
      </x:c>
      <x:c r="AE18" s="78" t="n">
        <x:f>IF(Z18="","",IF($A18=3,AB18,AE17*AD18))</x:f>
        <x:v>7.526887417456988e-16</x:v>
      </x:c>
      <x:c r="AF18" s="78" t="str">
        <x:f>IF(AE18="","",-LN(AE18))</x:f>
      </x:c>
      <x:c r="AG18" s="78" t="str">
        <x:f>IF(AF18="","",Inputs!$B$7*AC18+(1-Inputs!$B$7)*AF18)</x:f>
      </x:c>
      <x:c r="AH18" s="78" t="n">
        <x:f>Inputs!$B$17*(Inputs!$B$12*IF($A18&gt;=6,2,1)*(Inputs!$B$13-Inputs!$B$14)+Inputs!$B$12*MAX(0,Inputs!$B$15-Inputs!$B$16))</x:f>
        <x:v>2.6</x:v>
      </x:c>
      <x:c r="AI18" s="78" t="n">
        <x:f>0</x:f>
        <x:v>0</x:v>
      </x:c>
      <x:c r="AJ18" s="78" t="str">
        <x:f>IF(AG18="","",IF(AND($A18=Inputs!$B$4,Inputs!$B$23=1),L18,MAX(0,AG18-Inputs!$B$8*AH18+Inputs!$B$9*AI18)))</x:f>
      </x:c>
      <x:c r="AK18" s="78" t="str">
        <x:f>IF(AJ18="","",AJ18*Inputs!$B$10)</x:f>
      </x:c>
      <x:c r="AL18" s="78" t="str">
        <x:f>IF($A18&lt;=$B$4,Inputs!$B$4*COMBIN($B$4,$A18),"")</x:f>
      </x:c>
      <x:c r="AM18" s="78" t="str">
        <x:f>IF(AL18="","",AL18*COMBIN($B$5-$A18,Inputs!$B$5-$A18)/COMBIN($B$5,Inputs!$B$5))</x:f>
      </x:c>
      <x:c r="AN18" s="78" t="str">
        <x:f>IF(AM18="","",IF(AM18&lt;1E-6,AM18,1-EXP(-AM18)))</x:f>
      </x:c>
      <x:c r="AO18" s="78" t="str">
        <x:f>IF(AN18="","",-LN(AN18))</x:f>
      </x:c>
      <x:c r="AP18" s="78" t="str">
        <x:f>IF(OR($A18=3,$A18&gt;$B$4),"",($B$4-($A18-1))/($B$5-($A18-1)))</x:f>
      </x:c>
      <x:c r="AQ18" s="78" t="str">
        <x:f>IF(AL18="","",IF($A18=3,AN18,AQ17*AP18))</x:f>
      </x:c>
      <x:c r="AR18" s="78" t="str">
        <x:f>IF(AQ18="","",-LN(AQ18))</x:f>
      </x:c>
      <x:c r="AS18" s="78" t="str">
        <x:f>IF(AR18="","",Inputs!$B$7*AO18+(1-Inputs!$B$7)*AR18)</x:f>
      </x:c>
      <x:c r="AT18" s="78" t="str">
        <x:f>IF($A18&gt;$B$4,"",Inputs!$B$12*Inputs!$B$18*IF($A18=3,Inputs!$B$19,IF($A18=4,Inputs!$B$20,IF($A18=5,Inputs!$B$21,0))))</x:f>
      </x:c>
      <x:c r="AU18" s="78" t="str">
        <x:f>IF($A18&gt;$B$4,"",0)</x:f>
      </x:c>
      <x:c r="AV18" s="78" t="str">
        <x:f>IF(AS18="","",MAX(0,AS18-Inputs!$B$8*AT18+Inputs!$B$9*AU18))</x:f>
      </x:c>
      <x:c r="AW18" s="78" t="str">
        <x:f>IF(AV18="","",AV18*Inputs!$B$10)</x:f>
      </x:c>
    </x:row>
    <x:row r="19">
      <x:c r="A19" s="66" t="n">
        <x:v>14</x:v>
      </x:c>
      <x:c r="B19" s="78" t="n">
        <x:f>$B$4*COMBIN(Inputs!$B$4,$A19)</x:f>
        <x:v>60</x:v>
      </x:c>
      <x:c r="C19" s="78" t="n">
        <x:f>IF(B19="","",B19*COMBIN($B$5-$A19,Inputs!$B$5-$A19)/COMBIN($B$5,Inputs!$B$5))</x:f>
        <x:v>5.188546400335256e-11</x:v>
      </x:c>
      <x:c r="D19" s="78" t="n">
        <x:f>IF(C19="","",IF(C19&lt;1E-6,C19,1-EXP(-C19)))</x:f>
        <x:v>5.188546400335256e-11</x:v>
      </x:c>
      <x:c r="E19" s="78" t="n">
        <x:f>IF(D19="","",-LN(D19))</x:f>
        <x:v>23.68198244199229</x:v>
      </x:c>
      <x:c r="F19" s="78" t="n">
        <x:f>IF($A19=3,"",(Inputs!$B$4-($A19-1))/($B$5-($A19-1)))</x:f>
        <x:v>0.0425531914893617</x:v>
      </x:c>
      <x:c r="G19" s="78" t="n">
        <x:f>IF(B19="","",IF($A19=3,D19,G18*F19))</x:f>
        <x:v>6.503738381464499e-11</x:v>
      </x:c>
      <x:c r="H19" s="78" t="n">
        <x:f>IF(G19="","",-LN(G19))</x:f>
        <x:v>23.456058875750085</x:v>
      </x:c>
      <x:c r="I19" s="78" t="n">
        <x:f>IF(H19="","",Inputs!$B$7*E19+(1-Inputs!$B$7)*H19)</x:f>
        <x:v>23.62550155043174</x:v>
      </x:c>
      <x:c r="J19" s="78" t="n">
        <x:f>Inputs!$B$12*IF($A19&gt;=6,2,1)*(Inputs!$B$13-Inputs!$B$14)</x:f>
        <x:v>3</x:v>
      </x:c>
      <x:c r="K19" s="78" t="n">
        <x:f>0</x:f>
        <x:v>0</x:v>
      </x:c>
      <x:c r="L19" s="78" t="n">
        <x:f>IF(I19="","",MAX(0,I19-Inputs!$B$8*J19+Inputs!$B$9*K19))</x:f>
        <x:v>22.12550155043174</x:v>
      </x:c>
      <x:c r="M19" s="78" t="n">
        <x:f>IF(L19="","",L19*Inputs!$B$10)</x:f>
        <x:v>44.25100310086348</x:v>
      </x:c>
      <x:c r="N19" s="78" t="n">
        <x:f>(Inputs!$B$4-$A19+1)*($B$4^$A19)</x:f>
        <x:v>536870912</x:v>
      </x:c>
      <x:c r="O19" s="78" t="n">
        <x:f>IF(N19="","",N19*COMBIN($B$5-$A19,Inputs!$B$5-$A19)/COMBIN($B$5,Inputs!$B$5))</x:f>
        <x:v>0.0004642632729837177</x:v>
      </x:c>
      <x:c r="P19" s="78" t="n">
        <x:f>IF(O19="","",IF(O19&lt;1E-6,O19,1-EXP(-O19)))</x:f>
        <x:v>0.00046415551946632494</x:v>
      </x:c>
      <x:c r="Q19" s="78" t="n">
        <x:f>IF(P19="","",-LN(P19))</x:f>
        <x:v>7.675290890631728</x:v>
      </x:c>
      <x:c r="R19" s="78" t="n">
        <x:f>IF($A19=3,"",((MAX(0,Inputs!$B$4-($A19-1)-1)*2*$B$4+2*$B$4)/(Inputs!$B$4-($A19-1)+1))/($B$5-($A19-1)))</x:f>
        <x:v>0.11347517730496454</x:v>
      </x:c>
      <x:c r="S19" s="78" t="n">
        <x:f>IF(N19="","",IF($A19=3,P19,S18*R19))</x:f>
        <x:v>1.794303009139934e-10</x:v>
      </x:c>
      <x:c r="T19" s="78" t="n">
        <x:f>IF(S19="","",-LN(S19))</x:f>
        <x:v>22.441234279150297</x:v>
      </x:c>
      <x:c r="U19" s="78" t="n">
        <x:f>IF(T19="","",Inputs!$B$7*Q19+(1-Inputs!$B$7)*T19)</x:f>
        <x:v>11.36677673776137</x:v>
      </x:c>
      <x:c r="V19" s="78" t="n">
        <x:f>Inputs!$B$12*MAX(0,Inputs!$B$15-Inputs!$B$16)</x:f>
        <x:v>1</x:v>
      </x:c>
      <x:c r="W19" s="78" t="n">
        <x:f>Inputs!$B$22</x:f>
        <x:v>1.5</x:v>
      </x:c>
      <x:c r="X19" s="78" t="n">
        <x:f>IF(U19="","",MAX(0,U19-Inputs!$B$8*V19+Inputs!$B$9*W19))</x:f>
        <x:v>12.36677673776137</x:v>
      </x:c>
      <x:c r="Y19" s="78" t="n">
        <x:f>IF(X19="","",X19*Inputs!$B$10)</x:f>
        <x:v>24.73355347552274</x:v>
      </x:c>
      <x:c r="Z19" s="78" t="n">
        <x:f>$B$4*(Inputs!$B$4-$A19+1)</x:f>
        <x:v>8</x:v>
      </x:c>
      <x:c r="AA19" s="78" t="n">
        <x:f>IF(Z19="","",Z19*COMBIN($B$5-$A19,Inputs!$B$5-$A19)/COMBIN($B$5,Inputs!$B$5))</x:f>
        <x:v>6.918061867113675e-12</x:v>
      </x:c>
      <x:c r="AB19" s="78" t="n">
        <x:f>IF(AA19="","",IF(AA19&lt;1E-6,AA19,1-EXP(-AA19)))</x:f>
        <x:v>6.918061867113675e-12</x:v>
      </x:c>
      <x:c r="AC19" s="78" t="n">
        <x:f>IF(AB19="","",-LN(AB19))</x:f>
        <x:v>25.696885462534553</x:v>
      </x:c>
      <x:c r="AD19" s="78" t="n">
        <x:f>IF($A19=3,"",((MAX(0,Inputs!$B$4-($A19-1)-1)*2+2)/(Inputs!$B$4-($A19-1)+1))/($B$5-($A19-1)))</x:f>
        <x:v>0.028368794326241134</x:v>
      </x:c>
      <x:c r="AE19" s="78" t="n">
        <x:f>IF(Z19="","",IF($A19=3,AB19,AE18*AD19))</x:f>
        <x:v>2.1352872106260958e-17</x:v>
      </x:c>
      <x:c r="AF19" s="78" t="str">
        <x:f>IF(AE19="","",-LN(AE19))</x:f>
      </x:c>
      <x:c r="AG19" s="78" t="str">
        <x:f>IF(AF19="","",Inputs!$B$7*AC19+(1-Inputs!$B$7)*AF19)</x:f>
      </x:c>
      <x:c r="AH19" s="78" t="n">
        <x:f>Inputs!$B$17*(Inputs!$B$12*IF($A19&gt;=6,2,1)*(Inputs!$B$13-Inputs!$B$14)+Inputs!$B$12*MAX(0,Inputs!$B$15-Inputs!$B$16))</x:f>
        <x:v>2.6</x:v>
      </x:c>
      <x:c r="AI19" s="78" t="n">
        <x:f>0</x:f>
        <x:v>0</x:v>
      </x:c>
      <x:c r="AJ19" s="78" t="str">
        <x:f>IF(AG19="","",IF(AND($A19=Inputs!$B$4,Inputs!$B$23=1),L19,MAX(0,AG19-Inputs!$B$8*AH19+Inputs!$B$9*AI19)))</x:f>
      </x:c>
      <x:c r="AK19" s="78" t="str">
        <x:f>IF(AJ19="","",AJ19*Inputs!$B$10)</x:f>
      </x:c>
      <x:c r="AL19" s="78" t="str">
        <x:f>IF($A19&lt;=$B$4,Inputs!$B$4*COMBIN($B$4,$A19),"")</x:f>
      </x:c>
      <x:c r="AM19" s="78" t="str">
        <x:f>IF(AL19="","",AL19*COMBIN($B$5-$A19,Inputs!$B$5-$A19)/COMBIN($B$5,Inputs!$B$5))</x:f>
      </x:c>
      <x:c r="AN19" s="78" t="str">
        <x:f>IF(AM19="","",IF(AM19&lt;1E-6,AM19,1-EXP(-AM19)))</x:f>
      </x:c>
      <x:c r="AO19" s="78" t="str">
        <x:f>IF(AN19="","",-LN(AN19))</x:f>
      </x:c>
      <x:c r="AP19" s="78" t="str">
        <x:f>IF(OR($A19=3,$A19&gt;$B$4),"",($B$4-($A19-1))/($B$5-($A19-1)))</x:f>
      </x:c>
      <x:c r="AQ19" s="78" t="str">
        <x:f>IF(AL19="","",IF($A19=3,AN19,AQ18*AP19))</x:f>
      </x:c>
      <x:c r="AR19" s="78" t="str">
        <x:f>IF(AQ19="","",-LN(AQ19))</x:f>
      </x:c>
      <x:c r="AS19" s="78" t="str">
        <x:f>IF(AR19="","",Inputs!$B$7*AO19+(1-Inputs!$B$7)*AR19)</x:f>
      </x:c>
      <x:c r="AT19" s="78" t="str">
        <x:f>IF($A19&gt;$B$4,"",Inputs!$B$12*Inputs!$B$18*IF($A19=3,Inputs!$B$19,IF($A19=4,Inputs!$B$20,IF($A19=5,Inputs!$B$21,0))))</x:f>
      </x:c>
      <x:c r="AU19" s="78" t="str">
        <x:f>IF($A19&gt;$B$4,"",0)</x:f>
      </x:c>
      <x:c r="AV19" s="78" t="str">
        <x:f>IF(AS19="","",MAX(0,AS19-Inputs!$B$8*AT19+Inputs!$B$9*AU19))</x:f>
      </x:c>
      <x:c r="AW19" s="78" t="str">
        <x:f>IF(AV19="","",AV19*Inputs!$B$10)</x:f>
      </x:c>
    </x:row>
    <x:row r="20">
      <x:c r="A20" s="66" t="n">
        <x:v>15</x:v>
      </x:c>
      <x:c r="B20" s="78" t="n">
        <x:f>$B$4*COMBIN(Inputs!$B$4,$A20)</x:f>
        <x:v>4</x:v>
      </x:c>
      <x:c r="C20" s="78" t="n">
        <x:f>IF(B20="","",B20*COMBIN($B$5-$A20,Inputs!$B$5-$A20)/COMBIN($B$5,Inputs!$B$5))</x:f>
        <x:v>7.519632464253995e-14</x:v>
      </x:c>
      <x:c r="D20" s="78" t="str">
        <x:f>IF(C20="","",IF(C20&lt;1E-6,C20,1-EXP(-C20)))</x:f>
      </x:c>
      <x:c r="E20" s="78" t="str">
        <x:f>IF(D20="","",-LN(D20))</x:f>
      </x:c>
      <x:c r="F20" s="78" t="n">
        <x:f>IF($A20=3,"",(Inputs!$B$4-($A20-1))/($B$5-($A20-1)))</x:f>
        <x:v>0.021739130434782608</x:v>
      </x:c>
      <x:c r="G20" s="78" t="n">
        <x:f>IF(B20="","",IF($A20=3,D20,G19*F20))</x:f>
        <x:v>1.4138561698835866e-12</x:v>
      </x:c>
      <x:c r="H20" s="78" t="n">
        <x:f>IF(G20="","",-LN(G20))</x:f>
        <x:v>27.28470027223918</x:v>
      </x:c>
      <x:c r="I20" s="78" t="n">
        <x:f>IF(H20="","",Inputs!$B$7*E20+(1-Inputs!$B$7)*H20)</x:f>
        <x:v>6.821175068059795</x:v>
      </x:c>
      <x:c r="J20" s="78" t="n">
        <x:f>Inputs!$B$12*IF($A20&gt;=6,2,1)*(Inputs!$B$13-Inputs!$B$14)</x:f>
        <x:v>3</x:v>
      </x:c>
      <x:c r="K20" s="78" t="n">
        <x:f>0</x:f>
        <x:v>0</x:v>
      </x:c>
      <x:c r="L20" s="78" t="n">
        <x:f>IF(I20="","",MAX(0,I20-Inputs!$B$8*J20+Inputs!$B$9*K20))</x:f>
        <x:v>5.321175068059795</x:v>
      </x:c>
      <x:c r="M20" s="78" t="n">
        <x:f>IF(L20="","",L20*Inputs!$B$10)</x:f>
        <x:v>10.64235013611959</x:v>
      </x:c>
      <x:c r="N20" s="78" t="n">
        <x:f>(Inputs!$B$4-$A20+1)*($B$4^$A20)</x:f>
        <x:v>1073741824</x:v>
      </x:c>
      <x:c r="O20" s="78" t="n">
        <x:f>IF(N20="","",N20*COMBIN($B$5-$A20,Inputs!$B$5-$A20)/COMBIN($B$5,Inputs!$B$5))</x:f>
        <x:v>0.000020185359694944247</x:v>
      </x:c>
      <x:c r="P20" s="78" t="n">
        <x:f>IF(O20="","",IF(O20&lt;1E-6,O20,1-EXP(-O20)))</x:f>
        <x:v>0.000020185155971907953</x:v>
      </x:c>
      <x:c r="Q20" s="78" t="n">
        <x:f>IF(P20="","",-LN(P20))</x:f>
        <x:v>10.810563076569682</x:v>
      </x:c>
      <x:c r="R20" s="78" t="n">
        <x:f>IF($A20=3,"",((MAX(0,Inputs!$B$4-($A20-1)-1)*2*$B$4+2*$B$4)/(Inputs!$B$4-($A20-1)+1))/($B$5-($A20-1)))</x:f>
        <x:v>0.08695652173913043</x:v>
      </x:c>
      <x:c r="S20" s="78" t="n">
        <x:f>IF(N20="","",IF($A20=3,P20,S19*R20))</x:f>
        <x:v>1.5602634862086382e-11</x:v>
      </x:c>
      <x:c r="T20" s="78" t="n">
        <x:f>IF(S20="","",-LN(S20))</x:f>
        <x:v>24.8835813145195</x:v>
      </x:c>
      <x:c r="U20" s="78" t="n">
        <x:f>IF(T20="","",Inputs!$B$7*Q20+(1-Inputs!$B$7)*T20)</x:f>
        <x:v>14.328817636057138</x:v>
      </x:c>
      <x:c r="V20" s="78" t="n">
        <x:f>Inputs!$B$12*MAX(0,Inputs!$B$15-Inputs!$B$16)</x:f>
        <x:v>1</x:v>
      </x:c>
      <x:c r="W20" s="78" t="n">
        <x:f>Inputs!$B$22</x:f>
        <x:v>1.5</x:v>
      </x:c>
      <x:c r="X20" s="78" t="n">
        <x:f>IF(U20="","",MAX(0,U20-Inputs!$B$8*V20+Inputs!$B$9*W20))</x:f>
        <x:v>15.328817636057138</x:v>
      </x:c>
      <x:c r="Y20" s="78" t="n">
        <x:f>IF(X20="","",X20*Inputs!$B$10)</x:f>
        <x:v>30.657635272114277</x:v>
      </x:c>
      <x:c r="Z20" s="78" t="n">
        <x:f>$B$4*(Inputs!$B$4-$A20+1)</x:f>
        <x:v>4</x:v>
      </x:c>
      <x:c r="AA20" s="78" t="n">
        <x:f>IF(Z20="","",Z20*COMBIN($B$5-$A20,Inputs!$B$5-$A20)/COMBIN($B$5,Inputs!$B$5))</x:f>
        <x:v>7.519632464253995e-14</x:v>
      </x:c>
      <x:c r="AB20" s="78" t="str">
        <x:f>IF(AA20="","",IF(AA20&lt;1E-6,AA20,1-EXP(-AA20)))</x:f>
      </x:c>
      <x:c r="AC20" s="78" t="str">
        <x:f>IF(AB20="","",-LN(AB20))</x:f>
      </x:c>
      <x:c r="AD20" s="78" t="n">
        <x:f>IF($A20=3,"",((MAX(0,Inputs!$B$4-($A20-1)-1)*2+2)/(Inputs!$B$4-($A20-1)+1))/($B$5-($A20-1)))</x:f>
        <x:v>0.021739130434782608</x:v>
      </x:c>
      <x:c r="AE20" s="78" t="n">
        <x:f>IF(Z20="","",IF($A20=3,AB20,AE19*AD20))</x:f>
        <x:v>4.641928718752382e-19</x:v>
      </x:c>
      <x:c r="AF20" s="78" t="str">
        <x:f>IF(AE20="","",-LN(AE20))</x:f>
      </x:c>
      <x:c r="AG20" s="78" t="str">
        <x:f>IF(AF20="","",Inputs!$B$7*AC20+(1-Inputs!$B$7)*AF20)</x:f>
      </x:c>
      <x:c r="AH20" s="78" t="n">
        <x:f>Inputs!$B$17*(Inputs!$B$12*IF($A20&gt;=6,2,1)*(Inputs!$B$13-Inputs!$B$14)+Inputs!$B$12*MAX(0,Inputs!$B$15-Inputs!$B$16))</x:f>
        <x:v>2.6</x:v>
      </x:c>
      <x:c r="AI20" s="78" t="n">
        <x:f>0</x:f>
        <x:v>0</x:v>
      </x:c>
      <x:c r="AJ20" s="78" t="str">
        <x:f>IF(AG20="","",IF(AND($A20=Inputs!$B$4,Inputs!$B$23=1),L20,MAX(0,AG20-Inputs!$B$8*AH20+Inputs!$B$9*AI20)))</x:f>
      </x:c>
      <x:c r="AK20" s="78" t="str">
        <x:f>IF(AJ20="","",AJ20*Inputs!$B$10)</x:f>
      </x:c>
      <x:c r="AL20" s="78" t="str">
        <x:f>IF($A20&lt;=$B$4,Inputs!$B$4*COMBIN($B$4,$A20),"")</x:f>
      </x:c>
      <x:c r="AM20" s="78" t="str">
        <x:f>IF(AL20="","",AL20*COMBIN($B$5-$A20,Inputs!$B$5-$A20)/COMBIN($B$5,Inputs!$B$5))</x:f>
      </x:c>
      <x:c r="AN20" s="78" t="str">
        <x:f>IF(AM20="","",IF(AM20&lt;1E-6,AM20,1-EXP(-AM20)))</x:f>
      </x:c>
      <x:c r="AO20" s="78" t="str">
        <x:f>IF(AN20="","",-LN(AN20))</x:f>
      </x:c>
      <x:c r="AP20" s="78" t="str">
        <x:f>IF(OR($A20=3,$A20&gt;$B$4),"",($B$4-($A20-1))/($B$5-($A20-1)))</x:f>
      </x:c>
      <x:c r="AQ20" s="78" t="str">
        <x:f>IF(AL20="","",IF($A20=3,AN20,AQ19*AP20))</x:f>
      </x:c>
      <x:c r="AR20" s="78" t="str">
        <x:f>IF(AQ20="","",-LN(AQ20))</x:f>
      </x:c>
      <x:c r="AS20" s="78" t="str">
        <x:f>IF(AR20="","",Inputs!$B$7*AO20+(1-Inputs!$B$7)*AR20)</x:f>
      </x:c>
      <x:c r="AT20" s="78" t="str">
        <x:f>IF($A20&gt;$B$4,"",Inputs!$B$12*Inputs!$B$18*IF($A20=3,Inputs!$B$19,IF($A20=4,Inputs!$B$20,IF($A20=5,Inputs!$B$21,0))))</x:f>
      </x:c>
      <x:c r="AU20" s="78" t="str">
        <x:f>IF($A20&gt;$B$4,"",0)</x:f>
      </x:c>
      <x:c r="AV20" s="78" t="str">
        <x:f>IF(AS20="","",MAX(0,AS20-Inputs!$B$8*AT20+Inputs!$B$9*AU20))</x:f>
      </x:c>
      <x:c r="AW20" s="78" t="str">
        <x:f>IF(AV20="","",AV20*Inputs!$B$10)</x:f>
      </x:c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  <x:c r="AA21" s="54"/>
      <x:c r="AB21" s="54"/>
      <x:c r="AC21" s="54"/>
      <x:c r="AD21" s="54"/>
      <x:c r="AE21" s="54"/>
      <x:c r="AF21" s="54"/>
      <x:c r="AG21" s="54"/>
      <x:c r="AH21" s="54"/>
      <x:c r="AI21" s="54"/>
      <x:c r="AJ21" s="54"/>
      <x:c r="AK21" s="54"/>
      <x:c r="AL21" s="54"/>
      <x:c r="AM21" s="54"/>
      <x:c r="AN21" s="54"/>
      <x:c r="AO21" s="54"/>
      <x:c r="AP21" s="54"/>
      <x:c r="AQ21" s="54"/>
      <x:c r="AR21" s="54"/>
      <x:c r="AS21" s="54"/>
      <x:c r="AT21" s="54"/>
      <x:c r="AU21" s="54"/>
      <x:c r="AV21" s="54"/>
      <x:c r="AW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  <x:c r="AA22" s="54"/>
      <x:c r="AB22" s="54"/>
      <x:c r="AC22" s="54"/>
      <x:c r="AD22" s="54"/>
      <x:c r="AE22" s="54"/>
      <x:c r="AF22" s="54"/>
      <x:c r="AG22" s="54"/>
      <x:c r="AH22" s="54"/>
      <x:c r="AI22" s="54"/>
      <x:c r="AJ22" s="54"/>
      <x:c r="AK22" s="54"/>
      <x:c r="AL22" s="54"/>
      <x:c r="AM22" s="54"/>
      <x:c r="AN22" s="54"/>
      <x:c r="AO22" s="54"/>
      <x:c r="AP22" s="54"/>
      <x:c r="AQ22" s="54"/>
      <x:c r="AR22" s="54"/>
      <x:c r="AS22" s="54"/>
      <x:c r="AT22" s="54"/>
      <x:c r="AU22" s="54"/>
      <x:c r="AV22" s="54"/>
      <x:c r="AW22" s="54"/>
    </x:row>
    <x:row r="23">
      <x:c r="A23" s="55" t="str">
        <x:v>Notes</x:v>
      </x:c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  <x:c r="AA23" s="54"/>
      <x:c r="AB23" s="54"/>
      <x:c r="AC23" s="54"/>
      <x:c r="AD23" s="54"/>
      <x:c r="AE23" s="54"/>
      <x:c r="AF23" s="54"/>
      <x:c r="AG23" s="54"/>
      <x:c r="AH23" s="54"/>
      <x:c r="AI23" s="54"/>
      <x:c r="AJ23" s="54"/>
      <x:c r="AK23" s="54"/>
      <x:c r="AL23" s="54"/>
      <x:c r="AM23" s="54"/>
      <x:c r="AN23" s="54"/>
      <x:c r="AO23" s="54"/>
      <x:c r="AP23" s="54"/>
      <x:c r="AQ23" s="54"/>
      <x:c r="AR23" s="54"/>
      <x:c r="AS23" s="54"/>
      <x:c r="AT23" s="54"/>
      <x:c r="AU23" s="54"/>
      <x:c r="AV23" s="54"/>
      <x:c r="AW23" s="54"/>
    </x:row>
    <x:row r="24">
      <x:c r="A24" s="64" t="str">
        <x:v>Final_Tables uses computed values so it displays immediately; this sheet is formula-driven for editing/tuning.</x:v>
      </x:c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  <x:c r="AA24" s="54"/>
      <x:c r="AB24" s="54"/>
      <x:c r="AC24" s="54"/>
      <x:c r="AD24" s="54"/>
      <x:c r="AE24" s="54"/>
      <x:c r="AF24" s="54"/>
      <x:c r="AG24" s="54"/>
      <x:c r="AH24" s="54"/>
      <x:c r="AI24" s="54"/>
      <x:c r="AJ24" s="54"/>
      <x:c r="AK24" s="54"/>
      <x:c r="AL24" s="54"/>
      <x:c r="AM24" s="54"/>
      <x:c r="AN24" s="54"/>
      <x:c r="AO24" s="54"/>
      <x:c r="AP24" s="54"/>
      <x:c r="AQ24" s="54"/>
      <x:c r="AR24" s="54"/>
      <x:c r="AS24" s="54"/>
      <x:c r="AT24" s="54"/>
      <x:c r="AU24" s="54"/>
      <x:c r="AV24" s="54"/>
      <x:c r="AW24" s="54"/>
    </x:row>
    <x:row r="25">
      <x:c r="A25" s="64" t="str">
        <x:v>P_fixed uses IF(ExpOpp&lt;1E-6, ExpOpp, 1-EXP(-ExpOpp)) to avoid Excel cancellation on very rare events.</x:v>
      </x:c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  <x:c r="AA25" s="54"/>
      <x:c r="AB25" s="54"/>
      <x:c r="AC25" s="54"/>
      <x:c r="AD25" s="54"/>
      <x:c r="AE25" s="54"/>
      <x:c r="AF25" s="54"/>
      <x:c r="AG25" s="54"/>
      <x:c r="AH25" s="54"/>
      <x:c r="AI25" s="54"/>
      <x:c r="AJ25" s="54"/>
      <x:c r="AK25" s="54"/>
      <x:c r="AL25" s="54"/>
      <x:c r="AM25" s="54"/>
      <x:c r="AN25" s="54"/>
      <x:c r="AO25" s="54"/>
      <x:c r="AP25" s="54"/>
      <x:c r="AQ25" s="54"/>
      <x:c r="AR25" s="54"/>
      <x:c r="AS25" s="54"/>
      <x:c r="AT25" s="54"/>
      <x:c r="AU25" s="54"/>
      <x:c r="AV25" s="54"/>
      <x:c r="AW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  <x:c r="AA26" s="54"/>
      <x:c r="AB26" s="54"/>
      <x:c r="AC26" s="54"/>
      <x:c r="AD26" s="54"/>
      <x:c r="AE26" s="54"/>
      <x:c r="AF26" s="54"/>
      <x:c r="AG26" s="54"/>
      <x:c r="AH26" s="54"/>
      <x:c r="AI26" s="54"/>
      <x:c r="AJ26" s="54"/>
      <x:c r="AK26" s="54"/>
      <x:c r="AL26" s="54"/>
      <x:c r="AM26" s="54"/>
      <x:c r="AN26" s="54"/>
      <x:c r="AO26" s="54"/>
      <x:c r="AP26" s="54"/>
      <x:c r="AQ26" s="54"/>
      <x:c r="AR26" s="54"/>
      <x:c r="AS26" s="54"/>
      <x:c r="AT26" s="54"/>
      <x:c r="AU26" s="54"/>
      <x:c r="AV26" s="54"/>
      <x:c r="AW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  <x:c r="AA27" s="54"/>
      <x:c r="AB27" s="54"/>
      <x:c r="AC27" s="54"/>
      <x:c r="AD27" s="54"/>
      <x:c r="AE27" s="54"/>
      <x:c r="AF27" s="54"/>
      <x:c r="AG27" s="54"/>
      <x:c r="AH27" s="54"/>
      <x:c r="AI27" s="54"/>
      <x:c r="AJ27" s="54"/>
      <x:c r="AK27" s="54"/>
      <x:c r="AL27" s="54"/>
      <x:c r="AM27" s="54"/>
      <x:c r="AN27" s="54"/>
      <x:c r="AO27" s="54"/>
      <x:c r="AP27" s="54"/>
      <x:c r="AQ27" s="54"/>
      <x:c r="AR27" s="54"/>
      <x:c r="AS27" s="54"/>
      <x:c r="AT27" s="54"/>
      <x:c r="AU27" s="54"/>
      <x:c r="AV27" s="54"/>
      <x:c r="AW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  <x:c r="AA28" s="54"/>
      <x:c r="AB28" s="54"/>
      <x:c r="AC28" s="54"/>
      <x:c r="AD28" s="54"/>
      <x:c r="AE28" s="54"/>
      <x:c r="AF28" s="54"/>
      <x:c r="AG28" s="54"/>
      <x:c r="AH28" s="54"/>
      <x:c r="AI28" s="54"/>
      <x:c r="AJ28" s="54"/>
      <x:c r="AK28" s="54"/>
      <x:c r="AL28" s="54"/>
      <x:c r="AM28" s="54"/>
      <x:c r="AN28" s="54"/>
      <x:c r="AO28" s="54"/>
      <x:c r="AP28" s="54"/>
      <x:c r="AQ28" s="54"/>
      <x:c r="AR28" s="54"/>
      <x:c r="AS28" s="54"/>
      <x:c r="AT28" s="54"/>
      <x:c r="AU28" s="54"/>
      <x:c r="AV28" s="54"/>
      <x:c r="AW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  <x:c r="AA29" s="54"/>
      <x:c r="AB29" s="54"/>
      <x:c r="AC29" s="54"/>
      <x:c r="AD29" s="54"/>
      <x:c r="AE29" s="54"/>
      <x:c r="AF29" s="54"/>
      <x:c r="AG29" s="54"/>
      <x:c r="AH29" s="54"/>
      <x:c r="AI29" s="54"/>
      <x:c r="AJ29" s="54"/>
      <x:c r="AK29" s="54"/>
      <x:c r="AL29" s="54"/>
      <x:c r="AM29" s="54"/>
      <x:c r="AN29" s="54"/>
      <x:c r="AO29" s="54"/>
      <x:c r="AP29" s="54"/>
      <x:c r="AQ29" s="54"/>
      <x:c r="AR29" s="54"/>
      <x:c r="AS29" s="54"/>
      <x:c r="AT29" s="54"/>
      <x:c r="AU29" s="54"/>
      <x:c r="AV29" s="54"/>
      <x:c r="AW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  <x:c r="AA30" s="54"/>
      <x:c r="AB30" s="54"/>
      <x:c r="AC30" s="54"/>
      <x:c r="AD30" s="54"/>
      <x:c r="AE30" s="54"/>
      <x:c r="AF30" s="54"/>
      <x:c r="AG30" s="54"/>
      <x:c r="AH30" s="54"/>
      <x:c r="AI30" s="54"/>
      <x:c r="AJ30" s="54"/>
      <x:c r="AK30" s="54"/>
      <x:c r="AL30" s="54"/>
      <x:c r="AM30" s="54"/>
      <x:c r="AN30" s="54"/>
      <x:c r="AO30" s="54"/>
      <x:c r="AP30" s="54"/>
      <x:c r="AQ30" s="54"/>
      <x:c r="AR30" s="54"/>
      <x:c r="AS30" s="54"/>
      <x:c r="AT30" s="54"/>
      <x:c r="AU30" s="54"/>
      <x:c r="AV30" s="54"/>
      <x:c r="AW30" s="5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  <x:c r="AA31" s="54"/>
      <x:c r="AB31" s="54"/>
      <x:c r="AC31" s="54"/>
      <x:c r="AD31" s="54"/>
      <x:c r="AE31" s="54"/>
      <x:c r="AF31" s="54"/>
      <x:c r="AG31" s="54"/>
      <x:c r="AH31" s="54"/>
      <x:c r="AI31" s="54"/>
      <x:c r="AJ31" s="54"/>
      <x:c r="AK31" s="54"/>
      <x:c r="AL31" s="54"/>
      <x:c r="AM31" s="54"/>
      <x:c r="AN31" s="54"/>
      <x:c r="AO31" s="54"/>
      <x:c r="AP31" s="54"/>
      <x:c r="AQ31" s="54"/>
      <x:c r="AR31" s="54"/>
      <x:c r="AS31" s="54"/>
      <x:c r="AT31" s="54"/>
      <x:c r="AU31" s="54"/>
      <x:c r="AV31" s="54"/>
      <x:c r="AW31" s="5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  <x:c r="AA32" s="54"/>
      <x:c r="AB32" s="54"/>
      <x:c r="AC32" s="54"/>
      <x:c r="AD32" s="54"/>
      <x:c r="AE32" s="54"/>
      <x:c r="AF32" s="54"/>
      <x:c r="AG32" s="54"/>
      <x:c r="AH32" s="54"/>
      <x:c r="AI32" s="54"/>
      <x:c r="AJ32" s="54"/>
      <x:c r="AK32" s="54"/>
      <x:c r="AL32" s="54"/>
      <x:c r="AM32" s="54"/>
      <x:c r="AN32" s="54"/>
      <x:c r="AO32" s="54"/>
      <x:c r="AP32" s="54"/>
      <x:c r="AQ32" s="54"/>
      <x:c r="AR32" s="54"/>
      <x:c r="AS32" s="54"/>
      <x:c r="AT32" s="54"/>
      <x:c r="AU32" s="54"/>
      <x:c r="AV32" s="54"/>
      <x:c r="AW32" s="5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  <x:c r="AA33" s="54"/>
      <x:c r="AB33" s="54"/>
      <x:c r="AC33" s="54"/>
      <x:c r="AD33" s="54"/>
      <x:c r="AE33" s="54"/>
      <x:c r="AF33" s="54"/>
      <x:c r="AG33" s="54"/>
      <x:c r="AH33" s="54"/>
      <x:c r="AI33" s="54"/>
      <x:c r="AJ33" s="54"/>
      <x:c r="AK33" s="54"/>
      <x:c r="AL33" s="54"/>
      <x:c r="AM33" s="54"/>
      <x:c r="AN33" s="54"/>
      <x:c r="AO33" s="54"/>
      <x:c r="AP33" s="54"/>
      <x:c r="AQ33" s="54"/>
      <x:c r="AR33" s="54"/>
      <x:c r="AS33" s="54"/>
      <x:c r="AT33" s="54"/>
      <x:c r="AU33" s="54"/>
      <x:c r="AV33" s="54"/>
      <x:c r="AW33" s="5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  <x:c r="AA34" s="54"/>
      <x:c r="AB34" s="54"/>
      <x:c r="AC34" s="54"/>
      <x:c r="AD34" s="54"/>
      <x:c r="AE34" s="54"/>
      <x:c r="AF34" s="54"/>
      <x:c r="AG34" s="54"/>
      <x:c r="AH34" s="54"/>
      <x:c r="AI34" s="54"/>
      <x:c r="AJ34" s="54"/>
      <x:c r="AK34" s="54"/>
      <x:c r="AL34" s="54"/>
      <x:c r="AM34" s="54"/>
      <x:c r="AN34" s="54"/>
      <x:c r="AO34" s="54"/>
      <x:c r="AP34" s="54"/>
      <x:c r="AQ34" s="54"/>
      <x:c r="AR34" s="54"/>
      <x:c r="AS34" s="54"/>
      <x:c r="AT34" s="54"/>
      <x:c r="AU34" s="54"/>
      <x:c r="AV34" s="54"/>
      <x:c r="AW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  <x:c r="AA35" s="54"/>
      <x:c r="AB35" s="54"/>
      <x:c r="AC35" s="54"/>
      <x:c r="AD35" s="54"/>
      <x:c r="AE35" s="54"/>
      <x:c r="AF35" s="54"/>
      <x:c r="AG35" s="54"/>
      <x:c r="AH35" s="54"/>
      <x:c r="AI35" s="54"/>
      <x:c r="AJ35" s="54"/>
      <x:c r="AK35" s="54"/>
      <x:c r="AL35" s="54"/>
      <x:c r="AM35" s="54"/>
      <x:c r="AN35" s="54"/>
      <x:c r="AO35" s="54"/>
      <x:c r="AP35" s="54"/>
      <x:c r="AQ35" s="54"/>
      <x:c r="AR35" s="54"/>
      <x:c r="AS35" s="54"/>
      <x:c r="AT35" s="54"/>
      <x:c r="AU35" s="54"/>
      <x:c r="AV35" s="54"/>
      <x:c r="AW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  <x:c r="AA36" s="54"/>
      <x:c r="AB36" s="54"/>
      <x:c r="AC36" s="54"/>
      <x:c r="AD36" s="54"/>
      <x:c r="AE36" s="54"/>
      <x:c r="AF36" s="54"/>
      <x:c r="AG36" s="54"/>
      <x:c r="AH36" s="54"/>
      <x:c r="AI36" s="54"/>
      <x:c r="AJ36" s="54"/>
      <x:c r="AK36" s="54"/>
      <x:c r="AL36" s="54"/>
      <x:c r="AM36" s="54"/>
      <x:c r="AN36" s="54"/>
      <x:c r="AO36" s="54"/>
      <x:c r="AP36" s="54"/>
      <x:c r="AQ36" s="54"/>
      <x:c r="AR36" s="54"/>
      <x:c r="AS36" s="54"/>
      <x:c r="AT36" s="54"/>
      <x:c r="AU36" s="54"/>
      <x:c r="AV36" s="54"/>
      <x:c r="AW36" s="5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  <x:c r="AA37" s="54"/>
      <x:c r="AB37" s="54"/>
      <x:c r="AC37" s="54"/>
      <x:c r="AD37" s="54"/>
      <x:c r="AE37" s="54"/>
      <x:c r="AF37" s="54"/>
      <x:c r="AG37" s="54"/>
      <x:c r="AH37" s="54"/>
      <x:c r="AI37" s="54"/>
      <x:c r="AJ37" s="54"/>
      <x:c r="AK37" s="54"/>
      <x:c r="AL37" s="54"/>
      <x:c r="AM37" s="54"/>
      <x:c r="AN37" s="54"/>
      <x:c r="AO37" s="54"/>
      <x:c r="AP37" s="54"/>
      <x:c r="AQ37" s="54"/>
      <x:c r="AR37" s="54"/>
      <x:c r="AS37" s="54"/>
      <x:c r="AT37" s="54"/>
      <x:c r="AU37" s="54"/>
      <x:c r="AV37" s="54"/>
      <x:c r="AW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  <x:c r="AA38" s="54"/>
      <x:c r="AB38" s="54"/>
      <x:c r="AC38" s="54"/>
      <x:c r="AD38" s="54"/>
      <x:c r="AE38" s="54"/>
      <x:c r="AF38" s="54"/>
      <x:c r="AG38" s="54"/>
      <x:c r="AH38" s="54"/>
      <x:c r="AI38" s="54"/>
      <x:c r="AJ38" s="54"/>
      <x:c r="AK38" s="54"/>
      <x:c r="AL38" s="54"/>
      <x:c r="AM38" s="54"/>
      <x:c r="AN38" s="54"/>
      <x:c r="AO38" s="54"/>
      <x:c r="AP38" s="54"/>
      <x:c r="AQ38" s="54"/>
      <x:c r="AR38" s="54"/>
      <x:c r="AS38" s="54"/>
      <x:c r="AT38" s="54"/>
      <x:c r="AU38" s="54"/>
      <x:c r="AV38" s="54"/>
      <x:c r="AW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  <x:c r="AA39" s="54"/>
      <x:c r="AB39" s="54"/>
      <x:c r="AC39" s="54"/>
      <x:c r="AD39" s="54"/>
      <x:c r="AE39" s="54"/>
      <x:c r="AF39" s="54"/>
      <x:c r="AG39" s="54"/>
      <x:c r="AH39" s="54"/>
      <x:c r="AI39" s="54"/>
      <x:c r="AJ39" s="54"/>
      <x:c r="AK39" s="54"/>
      <x:c r="AL39" s="54"/>
      <x:c r="AM39" s="54"/>
      <x:c r="AN39" s="54"/>
      <x:c r="AO39" s="54"/>
      <x:c r="AP39" s="54"/>
      <x:c r="AQ39" s="54"/>
      <x:c r="AR39" s="54"/>
      <x:c r="AS39" s="54"/>
      <x:c r="AT39" s="54"/>
      <x:c r="AU39" s="54"/>
      <x:c r="AV39" s="54"/>
      <x:c r="AW39" s="5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  <x:c r="AA40" s="54"/>
      <x:c r="AB40" s="54"/>
      <x:c r="AC40" s="54"/>
      <x:c r="AD40" s="54"/>
      <x:c r="AE40" s="54"/>
      <x:c r="AF40" s="54"/>
      <x:c r="AG40" s="54"/>
      <x:c r="AH40" s="54"/>
      <x:c r="AI40" s="54"/>
      <x:c r="AJ40" s="54"/>
      <x:c r="AK40" s="54"/>
      <x:c r="AL40" s="54"/>
      <x:c r="AM40" s="54"/>
      <x:c r="AN40" s="54"/>
      <x:c r="AO40" s="54"/>
      <x:c r="AP40" s="54"/>
      <x:c r="AQ40" s="54"/>
      <x:c r="AR40" s="54"/>
      <x:c r="AS40" s="54"/>
      <x:c r="AT40" s="54"/>
      <x:c r="AU40" s="54"/>
      <x:c r="AV40" s="54"/>
      <x:c r="AW40" s="54"/>
    </x:row>
    <x:row r="41">
      <x:c r="A41" s="54"/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  <x:c r="AA41" s="54"/>
      <x:c r="AB41" s="54"/>
      <x:c r="AC41" s="54"/>
      <x:c r="AD41" s="54"/>
      <x:c r="AE41" s="54"/>
      <x:c r="AF41" s="54"/>
      <x:c r="AG41" s="54"/>
      <x:c r="AH41" s="54"/>
      <x:c r="AI41" s="54"/>
      <x:c r="AJ41" s="54"/>
      <x:c r="AK41" s="54"/>
      <x:c r="AL41" s="54"/>
      <x:c r="AM41" s="54"/>
      <x:c r="AN41" s="54"/>
      <x:c r="AO41" s="54"/>
      <x:c r="AP41" s="54"/>
      <x:c r="AQ41" s="54"/>
      <x:c r="AR41" s="54"/>
      <x:c r="AS41" s="54"/>
      <x:c r="AT41" s="54"/>
      <x:c r="AU41" s="54"/>
      <x:c r="AV41" s="54"/>
      <x:c r="AW41" s="54"/>
    </x:row>
    <x:row r="42">
      <x:c r="A42" s="54"/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  <x:c r="AA42" s="54"/>
      <x:c r="AB42" s="54"/>
      <x:c r="AC42" s="54"/>
      <x:c r="AD42" s="54"/>
      <x:c r="AE42" s="54"/>
      <x:c r="AF42" s="54"/>
      <x:c r="AG42" s="54"/>
      <x:c r="AH42" s="54"/>
      <x:c r="AI42" s="54"/>
      <x:c r="AJ42" s="54"/>
      <x:c r="AK42" s="54"/>
      <x:c r="AL42" s="54"/>
      <x:c r="AM42" s="54"/>
      <x:c r="AN42" s="54"/>
      <x:c r="AO42" s="54"/>
      <x:c r="AP42" s="54"/>
      <x:c r="AQ42" s="54"/>
      <x:c r="AR42" s="54"/>
      <x:c r="AS42" s="54"/>
      <x:c r="AT42" s="54"/>
      <x:c r="AU42" s="54"/>
      <x:c r="AV42" s="54"/>
      <x:c r="AW42" s="54"/>
    </x:row>
    <x:row r="43">
      <x:c r="A43" s="54"/>
      <x:c r="B43" s="54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  <x:c r="AA43" s="54"/>
      <x:c r="AB43" s="54"/>
      <x:c r="AC43" s="54"/>
      <x:c r="AD43" s="54"/>
      <x:c r="AE43" s="54"/>
      <x:c r="AF43" s="54"/>
      <x:c r="AG43" s="54"/>
      <x:c r="AH43" s="54"/>
      <x:c r="AI43" s="54"/>
      <x:c r="AJ43" s="54"/>
      <x:c r="AK43" s="54"/>
      <x:c r="AL43" s="54"/>
      <x:c r="AM43" s="54"/>
      <x:c r="AN43" s="54"/>
      <x:c r="AO43" s="54"/>
      <x:c r="AP43" s="54"/>
      <x:c r="AQ43" s="54"/>
      <x:c r="AR43" s="54"/>
      <x:c r="AS43" s="54"/>
      <x:c r="AT43" s="54"/>
      <x:c r="AU43" s="54"/>
      <x:c r="AV43" s="54"/>
      <x:c r="AW43" s="54"/>
    </x:row>
    <x:row r="44">
      <x:c r="A44" s="54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  <x:c r="AA44" s="54"/>
      <x:c r="AB44" s="54"/>
      <x:c r="AC44" s="54"/>
      <x:c r="AD44" s="54"/>
      <x:c r="AE44" s="54"/>
      <x:c r="AF44" s="54"/>
      <x:c r="AG44" s="54"/>
      <x:c r="AH44" s="54"/>
      <x:c r="AI44" s="54"/>
      <x:c r="AJ44" s="54"/>
      <x:c r="AK44" s="54"/>
      <x:c r="AL44" s="54"/>
      <x:c r="AM44" s="54"/>
      <x:c r="AN44" s="54"/>
      <x:c r="AO44" s="54"/>
      <x:c r="AP44" s="54"/>
      <x:c r="AQ44" s="54"/>
      <x:c r="AR44" s="54"/>
      <x:c r="AS44" s="54"/>
      <x:c r="AT44" s="54"/>
      <x:c r="AU44" s="54"/>
      <x:c r="AV44" s="54"/>
      <x:c r="AW44" s="54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  <x:c r="AA45" s="54"/>
      <x:c r="AB45" s="54"/>
      <x:c r="AC45" s="54"/>
      <x:c r="AD45" s="54"/>
      <x:c r="AE45" s="54"/>
      <x:c r="AF45" s="54"/>
      <x:c r="AG45" s="54"/>
      <x:c r="AH45" s="54"/>
      <x:c r="AI45" s="54"/>
      <x:c r="AJ45" s="54"/>
      <x:c r="AK45" s="54"/>
      <x:c r="AL45" s="54"/>
      <x:c r="AM45" s="54"/>
      <x:c r="AN45" s="54"/>
      <x:c r="AO45" s="54"/>
      <x:c r="AP45" s="54"/>
      <x:c r="AQ45" s="54"/>
      <x:c r="AR45" s="54"/>
      <x:c r="AS45" s="54"/>
      <x:c r="AT45" s="54"/>
      <x:c r="AU45" s="54"/>
      <x:c r="AV45" s="54"/>
      <x:c r="AW45" s="54"/>
    </x:row>
    <x:row r="46">
      <x:c r="A46" s="54"/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  <x:c r="AA46" s="54"/>
      <x:c r="AB46" s="54"/>
      <x:c r="AC46" s="54"/>
      <x:c r="AD46" s="54"/>
      <x:c r="AE46" s="54"/>
      <x:c r="AF46" s="54"/>
      <x:c r="AG46" s="54"/>
      <x:c r="AH46" s="54"/>
      <x:c r="AI46" s="54"/>
      <x:c r="AJ46" s="54"/>
      <x:c r="AK46" s="54"/>
      <x:c r="AL46" s="54"/>
      <x:c r="AM46" s="54"/>
      <x:c r="AN46" s="54"/>
      <x:c r="AO46" s="54"/>
      <x:c r="AP46" s="54"/>
      <x:c r="AQ46" s="54"/>
      <x:c r="AR46" s="54"/>
      <x:c r="AS46" s="54"/>
      <x:c r="AT46" s="54"/>
      <x:c r="AU46" s="54"/>
      <x:c r="AV46" s="54"/>
      <x:c r="AW46" s="54"/>
    </x:row>
    <x:row r="47">
      <x:c r="A47" s="54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  <x:c r="AA47" s="54"/>
      <x:c r="AB47" s="54"/>
      <x:c r="AC47" s="54"/>
      <x:c r="AD47" s="54"/>
      <x:c r="AE47" s="54"/>
      <x:c r="AF47" s="54"/>
      <x:c r="AG47" s="54"/>
      <x:c r="AH47" s="54"/>
      <x:c r="AI47" s="54"/>
      <x:c r="AJ47" s="54"/>
      <x:c r="AK47" s="54"/>
      <x:c r="AL47" s="54"/>
      <x:c r="AM47" s="54"/>
      <x:c r="AN47" s="54"/>
      <x:c r="AO47" s="54"/>
      <x:c r="AP47" s="54"/>
      <x:c r="AQ47" s="54"/>
      <x:c r="AR47" s="54"/>
      <x:c r="AS47" s="54"/>
      <x:c r="AT47" s="54"/>
      <x:c r="AU47" s="54"/>
      <x:c r="AV47" s="54"/>
      <x:c r="AW47" s="54"/>
    </x:row>
    <x:row r="48">
      <x:c r="A48" s="54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  <x:c r="AA48" s="54"/>
      <x:c r="AB48" s="54"/>
      <x:c r="AC48" s="54"/>
      <x:c r="AD48" s="54"/>
      <x:c r="AE48" s="54"/>
      <x:c r="AF48" s="54"/>
      <x:c r="AG48" s="54"/>
      <x:c r="AH48" s="54"/>
      <x:c r="AI48" s="54"/>
      <x:c r="AJ48" s="54"/>
      <x:c r="AK48" s="54"/>
      <x:c r="AL48" s="54"/>
      <x:c r="AM48" s="54"/>
      <x:c r="AN48" s="54"/>
      <x:c r="AO48" s="54"/>
      <x:c r="AP48" s="54"/>
      <x:c r="AQ48" s="54"/>
      <x:c r="AR48" s="54"/>
      <x:c r="AS48" s="54"/>
      <x:c r="AT48" s="54"/>
      <x:c r="AU48" s="54"/>
      <x:c r="AV48" s="54"/>
      <x:c r="AW48" s="54"/>
    </x:row>
    <x:row r="49">
      <x:c r="A49" s="54"/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  <x:c r="AA49" s="54"/>
      <x:c r="AB49" s="54"/>
      <x:c r="AC49" s="54"/>
      <x:c r="AD49" s="54"/>
      <x:c r="AE49" s="54"/>
      <x:c r="AF49" s="54"/>
      <x:c r="AG49" s="54"/>
      <x:c r="AH49" s="54"/>
      <x:c r="AI49" s="54"/>
      <x:c r="AJ49" s="54"/>
      <x:c r="AK49" s="54"/>
      <x:c r="AL49" s="54"/>
      <x:c r="AM49" s="54"/>
      <x:c r="AN49" s="54"/>
      <x:c r="AO49" s="54"/>
      <x:c r="AP49" s="54"/>
      <x:c r="AQ49" s="54"/>
      <x:c r="AR49" s="54"/>
      <x:c r="AS49" s="54"/>
      <x:c r="AT49" s="54"/>
      <x:c r="AU49" s="54"/>
      <x:c r="AV49" s="54"/>
      <x:c r="AW49" s="54"/>
    </x:row>
    <x:row r="50">
      <x:c r="A50" s="54"/>
      <x:c r="B50" s="54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  <x:c r="AA50" s="54"/>
      <x:c r="AB50" s="54"/>
      <x:c r="AC50" s="54"/>
      <x:c r="AD50" s="54"/>
      <x:c r="AE50" s="54"/>
      <x:c r="AF50" s="54"/>
      <x:c r="AG50" s="54"/>
      <x:c r="AH50" s="54"/>
      <x:c r="AI50" s="54"/>
      <x:c r="AJ50" s="54"/>
      <x:c r="AK50" s="54"/>
      <x:c r="AL50" s="54"/>
      <x:c r="AM50" s="54"/>
      <x:c r="AN50" s="54"/>
      <x:c r="AO50" s="54"/>
      <x:c r="AP50" s="54"/>
      <x:c r="AQ50" s="54"/>
      <x:c r="AR50" s="54"/>
      <x:c r="AS50" s="54"/>
      <x:c r="AT50" s="54"/>
      <x:c r="AU50" s="54"/>
      <x:c r="AV50" s="54"/>
      <x:c r="AW50" s="54"/>
    </x:row>
    <x:row r="51">
      <x:c r="A51" s="54"/>
      <x:c r="B51" s="54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  <x:c r="AA51" s="54"/>
      <x:c r="AB51" s="54"/>
      <x:c r="AC51" s="54"/>
      <x:c r="AD51" s="54"/>
      <x:c r="AE51" s="54"/>
      <x:c r="AF51" s="54"/>
      <x:c r="AG51" s="54"/>
      <x:c r="AH51" s="54"/>
      <x:c r="AI51" s="54"/>
      <x:c r="AJ51" s="54"/>
      <x:c r="AK51" s="54"/>
      <x:c r="AL51" s="54"/>
      <x:c r="AM51" s="54"/>
      <x:c r="AN51" s="54"/>
      <x:c r="AO51" s="54"/>
      <x:c r="AP51" s="54"/>
      <x:c r="AQ51" s="54"/>
      <x:c r="AR51" s="54"/>
      <x:c r="AS51" s="54"/>
      <x:c r="AT51" s="54"/>
      <x:c r="AU51" s="54"/>
      <x:c r="AV51" s="54"/>
      <x:c r="AW51" s="54"/>
    </x:row>
    <x:row r="52">
      <x:c r="A52" s="54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  <x:c r="AA52" s="54"/>
      <x:c r="AB52" s="54"/>
      <x:c r="AC52" s="54"/>
      <x:c r="AD52" s="54"/>
      <x:c r="AE52" s="54"/>
      <x:c r="AF52" s="54"/>
      <x:c r="AG52" s="54"/>
      <x:c r="AH52" s="54"/>
      <x:c r="AI52" s="54"/>
      <x:c r="AJ52" s="54"/>
      <x:c r="AK52" s="54"/>
      <x:c r="AL52" s="54"/>
      <x:c r="AM52" s="54"/>
      <x:c r="AN52" s="54"/>
      <x:c r="AO52" s="54"/>
      <x:c r="AP52" s="54"/>
      <x:c r="AQ52" s="54"/>
      <x:c r="AR52" s="54"/>
      <x:c r="AS52" s="54"/>
      <x:c r="AT52" s="54"/>
      <x:c r="AU52" s="54"/>
      <x:c r="AV52" s="54"/>
      <x:c r="AW52" s="54"/>
    </x:row>
    <x:row r="53">
      <x:c r="A53" s="54"/>
      <x:c r="B53" s="54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  <x:c r="AA53" s="54"/>
      <x:c r="AB53" s="54"/>
      <x:c r="AC53" s="54"/>
      <x:c r="AD53" s="54"/>
      <x:c r="AE53" s="54"/>
      <x:c r="AF53" s="54"/>
      <x:c r="AG53" s="54"/>
      <x:c r="AH53" s="54"/>
      <x:c r="AI53" s="54"/>
      <x:c r="AJ53" s="54"/>
      <x:c r="AK53" s="54"/>
      <x:c r="AL53" s="54"/>
      <x:c r="AM53" s="54"/>
      <x:c r="AN53" s="54"/>
      <x:c r="AO53" s="54"/>
      <x:c r="AP53" s="54"/>
      <x:c r="AQ53" s="54"/>
      <x:c r="AR53" s="54"/>
      <x:c r="AS53" s="54"/>
      <x:c r="AT53" s="54"/>
      <x:c r="AU53" s="54"/>
      <x:c r="AV53" s="54"/>
      <x:c r="AW53" s="54"/>
    </x:row>
    <x:row r="54">
      <x:c r="A54" s="54"/>
      <x:c r="B54" s="54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  <x:c r="AA54" s="54"/>
      <x:c r="AB54" s="54"/>
      <x:c r="AC54" s="54"/>
      <x:c r="AD54" s="54"/>
      <x:c r="AE54" s="54"/>
      <x:c r="AF54" s="54"/>
      <x:c r="AG54" s="54"/>
      <x:c r="AH54" s="54"/>
      <x:c r="AI54" s="54"/>
      <x:c r="AJ54" s="54"/>
      <x:c r="AK54" s="54"/>
      <x:c r="AL54" s="54"/>
      <x:c r="AM54" s="54"/>
      <x:c r="AN54" s="54"/>
      <x:c r="AO54" s="54"/>
      <x:c r="AP54" s="54"/>
      <x:c r="AQ54" s="54"/>
      <x:c r="AR54" s="54"/>
      <x:c r="AS54" s="54"/>
      <x:c r="AT54" s="54"/>
      <x:c r="AU54" s="54"/>
      <x:c r="AV54" s="54"/>
      <x:c r="AW54" s="54"/>
    </x:row>
    <x:row r="55">
      <x:c r="A55" s="54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  <x:c r="AA55" s="54"/>
      <x:c r="AB55" s="54"/>
      <x:c r="AC55" s="54"/>
      <x:c r="AD55" s="54"/>
      <x:c r="AE55" s="54"/>
      <x:c r="AF55" s="54"/>
      <x:c r="AG55" s="54"/>
      <x:c r="AH55" s="54"/>
      <x:c r="AI55" s="54"/>
      <x:c r="AJ55" s="54"/>
      <x:c r="AK55" s="54"/>
      <x:c r="AL55" s="54"/>
      <x:c r="AM55" s="54"/>
      <x:c r="AN55" s="54"/>
      <x:c r="AO55" s="54"/>
      <x:c r="AP55" s="54"/>
      <x:c r="AQ55" s="54"/>
      <x:c r="AR55" s="54"/>
      <x:c r="AS55" s="54"/>
      <x:c r="AT55" s="54"/>
      <x:c r="AU55" s="54"/>
      <x:c r="AV55" s="54"/>
      <x:c r="AW55" s="54"/>
    </x:row>
    <x:row r="56">
      <x:c r="A56" s="54"/>
      <x:c r="B56" s="54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  <x:c r="AA56" s="54"/>
      <x:c r="AB56" s="54"/>
      <x:c r="AC56" s="54"/>
      <x:c r="AD56" s="54"/>
      <x:c r="AE56" s="54"/>
      <x:c r="AF56" s="54"/>
      <x:c r="AG56" s="54"/>
      <x:c r="AH56" s="54"/>
      <x:c r="AI56" s="54"/>
      <x:c r="AJ56" s="54"/>
      <x:c r="AK56" s="54"/>
      <x:c r="AL56" s="54"/>
      <x:c r="AM56" s="54"/>
      <x:c r="AN56" s="54"/>
      <x:c r="AO56" s="54"/>
      <x:c r="AP56" s="54"/>
      <x:c r="AQ56" s="54"/>
      <x:c r="AR56" s="54"/>
      <x:c r="AS56" s="54"/>
      <x:c r="AT56" s="54"/>
      <x:c r="AU56" s="54"/>
      <x:c r="AV56" s="54"/>
      <x:c r="AW56" s="54"/>
    </x:row>
    <x:row r="57">
      <x:c r="A57" s="54"/>
      <x:c r="B57" s="54"/>
      <x:c r="C57" s="54"/>
      <x:c r="D57" s="54"/>
      <x:c r="E57" s="54"/>
      <x:c r="F57" s="54"/>
      <x:c r="G57" s="54"/>
      <x:c r="H57" s="54"/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  <x:c r="AA57" s="54"/>
      <x:c r="AB57" s="54"/>
      <x:c r="AC57" s="54"/>
      <x:c r="AD57" s="54"/>
      <x:c r="AE57" s="54"/>
      <x:c r="AF57" s="54"/>
      <x:c r="AG57" s="54"/>
      <x:c r="AH57" s="54"/>
      <x:c r="AI57" s="54"/>
      <x:c r="AJ57" s="54"/>
      <x:c r="AK57" s="54"/>
      <x:c r="AL57" s="54"/>
      <x:c r="AM57" s="54"/>
      <x:c r="AN57" s="54"/>
      <x:c r="AO57" s="54"/>
      <x:c r="AP57" s="54"/>
      <x:c r="AQ57" s="54"/>
      <x:c r="AR57" s="54"/>
      <x:c r="AS57" s="54"/>
      <x:c r="AT57" s="54"/>
      <x:c r="AU57" s="54"/>
      <x:c r="AV57" s="54"/>
      <x:c r="AW57" s="54"/>
    </x:row>
    <x:row r="58">
      <x:c r="A58" s="54"/>
      <x:c r="B58" s="54"/>
      <x:c r="C58" s="54"/>
      <x:c r="D58" s="54"/>
      <x:c r="E58" s="54"/>
      <x:c r="F58" s="54"/>
      <x:c r="G58" s="54"/>
      <x:c r="H58" s="54"/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  <x:c r="AA58" s="54"/>
      <x:c r="AB58" s="54"/>
      <x:c r="AC58" s="54"/>
      <x:c r="AD58" s="54"/>
      <x:c r="AE58" s="54"/>
      <x:c r="AF58" s="54"/>
      <x:c r="AG58" s="54"/>
      <x:c r="AH58" s="54"/>
      <x:c r="AI58" s="54"/>
      <x:c r="AJ58" s="54"/>
      <x:c r="AK58" s="54"/>
      <x:c r="AL58" s="54"/>
      <x:c r="AM58" s="54"/>
      <x:c r="AN58" s="54"/>
      <x:c r="AO58" s="54"/>
      <x:c r="AP58" s="54"/>
      <x:c r="AQ58" s="54"/>
      <x:c r="AR58" s="54"/>
      <x:c r="AS58" s="54"/>
      <x:c r="AT58" s="54"/>
      <x:c r="AU58" s="54"/>
      <x:c r="AV58" s="54"/>
      <x:c r="AW58" s="54"/>
    </x:row>
    <x:row r="59">
      <x:c r="A59" s="54"/>
      <x:c r="B59" s="54"/>
      <x:c r="C59" s="54"/>
      <x:c r="D59" s="54"/>
      <x:c r="E59" s="54"/>
      <x:c r="F59" s="54"/>
      <x:c r="G59" s="54"/>
      <x:c r="H59" s="54"/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  <x:c r="AA59" s="54"/>
      <x:c r="AB59" s="54"/>
      <x:c r="AC59" s="54"/>
      <x:c r="AD59" s="54"/>
      <x:c r="AE59" s="54"/>
      <x:c r="AF59" s="54"/>
      <x:c r="AG59" s="54"/>
      <x:c r="AH59" s="54"/>
      <x:c r="AI59" s="54"/>
      <x:c r="AJ59" s="54"/>
      <x:c r="AK59" s="54"/>
      <x:c r="AL59" s="54"/>
      <x:c r="AM59" s="54"/>
      <x:c r="AN59" s="54"/>
      <x:c r="AO59" s="54"/>
      <x:c r="AP59" s="54"/>
      <x:c r="AQ59" s="54"/>
      <x:c r="AR59" s="54"/>
      <x:c r="AS59" s="54"/>
      <x:c r="AT59" s="54"/>
      <x:c r="AU59" s="54"/>
      <x:c r="AV59" s="54"/>
      <x:c r="AW59" s="54"/>
    </x:row>
    <x:row r="60">
      <x:c r="A60" s="54"/>
      <x:c r="B60" s="54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  <x:c r="AA60" s="54"/>
      <x:c r="AB60" s="54"/>
      <x:c r="AC60" s="54"/>
      <x:c r="AD60" s="54"/>
      <x:c r="AE60" s="54"/>
      <x:c r="AF60" s="54"/>
      <x:c r="AG60" s="54"/>
      <x:c r="AH60" s="54"/>
      <x:c r="AI60" s="54"/>
      <x:c r="AJ60" s="54"/>
      <x:c r="AK60" s="54"/>
      <x:c r="AL60" s="54"/>
      <x:c r="AM60" s="54"/>
      <x:c r="AN60" s="54"/>
      <x:c r="AO60" s="54"/>
      <x:c r="AP60" s="54"/>
      <x:c r="AQ60" s="54"/>
      <x:c r="AR60" s="54"/>
      <x:c r="AS60" s="54"/>
      <x:c r="AT60" s="54"/>
      <x:c r="AU60" s="54"/>
      <x:c r="AV60" s="54"/>
      <x:c r="AW60" s="54"/>
    </x:row>
    <x:row r="61">
      <x:c r="A61" s="54"/>
      <x:c r="B61" s="54"/>
      <x:c r="C61" s="54"/>
      <x:c r="D61" s="54"/>
      <x:c r="E61" s="54"/>
      <x:c r="F61" s="54"/>
      <x:c r="G61" s="54"/>
      <x:c r="H61" s="54"/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  <x:c r="AA61" s="54"/>
      <x:c r="AB61" s="54"/>
      <x:c r="AC61" s="54"/>
      <x:c r="AD61" s="54"/>
      <x:c r="AE61" s="54"/>
      <x:c r="AF61" s="54"/>
      <x:c r="AG61" s="54"/>
      <x:c r="AH61" s="54"/>
      <x:c r="AI61" s="54"/>
      <x:c r="AJ61" s="54"/>
      <x:c r="AK61" s="54"/>
      <x:c r="AL61" s="54"/>
      <x:c r="AM61" s="54"/>
      <x:c r="AN61" s="54"/>
      <x:c r="AO61" s="54"/>
      <x:c r="AP61" s="54"/>
      <x:c r="AQ61" s="54"/>
      <x:c r="AR61" s="54"/>
      <x:c r="AS61" s="54"/>
      <x:c r="AT61" s="54"/>
      <x:c r="AU61" s="54"/>
      <x:c r="AV61" s="54"/>
      <x:c r="AW61" s="54"/>
    </x:row>
    <x:row r="62">
      <x:c r="A62" s="54"/>
      <x:c r="B62" s="54"/>
      <x:c r="C62" s="54"/>
      <x:c r="D62" s="54"/>
      <x:c r="E62" s="54"/>
      <x:c r="F62" s="54"/>
      <x:c r="G62" s="54"/>
      <x:c r="H62" s="54"/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  <x:c r="AA62" s="54"/>
      <x:c r="AB62" s="54"/>
      <x:c r="AC62" s="54"/>
      <x:c r="AD62" s="54"/>
      <x:c r="AE62" s="54"/>
      <x:c r="AF62" s="54"/>
      <x:c r="AG62" s="54"/>
      <x:c r="AH62" s="54"/>
      <x:c r="AI62" s="54"/>
      <x:c r="AJ62" s="54"/>
      <x:c r="AK62" s="54"/>
      <x:c r="AL62" s="54"/>
      <x:c r="AM62" s="54"/>
      <x:c r="AN62" s="54"/>
      <x:c r="AO62" s="54"/>
      <x:c r="AP62" s="54"/>
      <x:c r="AQ62" s="54"/>
      <x:c r="AR62" s="54"/>
      <x:c r="AS62" s="54"/>
      <x:c r="AT62" s="54"/>
      <x:c r="AU62" s="54"/>
      <x:c r="AV62" s="54"/>
      <x:c r="AW62" s="54"/>
    </x:row>
    <x:row r="63">
      <x:c r="A63" s="54"/>
      <x:c r="B63" s="54"/>
      <x:c r="C63" s="54"/>
      <x:c r="D63" s="54"/>
      <x:c r="E63" s="54"/>
      <x:c r="F63" s="54"/>
      <x:c r="G63" s="54"/>
      <x:c r="H63" s="54"/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  <x:c r="AA63" s="54"/>
      <x:c r="AB63" s="54"/>
      <x:c r="AC63" s="54"/>
      <x:c r="AD63" s="54"/>
      <x:c r="AE63" s="54"/>
      <x:c r="AF63" s="54"/>
      <x:c r="AG63" s="54"/>
      <x:c r="AH63" s="54"/>
      <x:c r="AI63" s="54"/>
      <x:c r="AJ63" s="54"/>
      <x:c r="AK63" s="54"/>
      <x:c r="AL63" s="54"/>
      <x:c r="AM63" s="54"/>
      <x:c r="AN63" s="54"/>
      <x:c r="AO63" s="54"/>
      <x:c r="AP63" s="54"/>
      <x:c r="AQ63" s="54"/>
      <x:c r="AR63" s="54"/>
      <x:c r="AS63" s="54"/>
      <x:c r="AT63" s="54"/>
      <x:c r="AU63" s="54"/>
      <x:c r="AV63" s="54"/>
      <x:c r="AW63" s="54"/>
    </x:row>
    <x:row r="64">
      <x:c r="A64" s="54"/>
      <x:c r="B64" s="54"/>
      <x:c r="C64" s="54"/>
      <x:c r="D64" s="54"/>
      <x:c r="E64" s="54"/>
      <x:c r="F64" s="54"/>
      <x:c r="G64" s="54"/>
      <x:c r="H64" s="54"/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  <x:c r="AA64" s="54"/>
      <x:c r="AB64" s="54"/>
      <x:c r="AC64" s="54"/>
      <x:c r="AD64" s="54"/>
      <x:c r="AE64" s="54"/>
      <x:c r="AF64" s="54"/>
      <x:c r="AG64" s="54"/>
      <x:c r="AH64" s="54"/>
      <x:c r="AI64" s="54"/>
      <x:c r="AJ64" s="54"/>
      <x:c r="AK64" s="54"/>
      <x:c r="AL64" s="54"/>
      <x:c r="AM64" s="54"/>
      <x:c r="AN64" s="54"/>
      <x:c r="AO64" s="54"/>
      <x:c r="AP64" s="54"/>
      <x:c r="AQ64" s="54"/>
      <x:c r="AR64" s="54"/>
      <x:c r="AS64" s="54"/>
      <x:c r="AT64" s="54"/>
      <x:c r="AU64" s="54"/>
      <x:c r="AV64" s="54"/>
      <x:c r="AW64" s="54"/>
    </x:row>
    <x:row r="65">
      <x:c r="A65" s="54"/>
      <x:c r="B65" s="54"/>
      <x:c r="C65" s="54"/>
      <x:c r="D65" s="54"/>
      <x:c r="E65" s="54"/>
      <x:c r="F65" s="54"/>
      <x:c r="G65" s="54"/>
      <x:c r="H65" s="54"/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  <x:c r="AA65" s="54"/>
      <x:c r="AB65" s="54"/>
      <x:c r="AC65" s="54"/>
      <x:c r="AD65" s="54"/>
      <x:c r="AE65" s="54"/>
      <x:c r="AF65" s="54"/>
      <x:c r="AG65" s="54"/>
      <x:c r="AH65" s="54"/>
      <x:c r="AI65" s="54"/>
      <x:c r="AJ65" s="54"/>
      <x:c r="AK65" s="54"/>
      <x:c r="AL65" s="54"/>
      <x:c r="AM65" s="54"/>
      <x:c r="AN65" s="54"/>
      <x:c r="AO65" s="54"/>
      <x:c r="AP65" s="54"/>
      <x:c r="AQ65" s="54"/>
      <x:c r="AR65" s="54"/>
      <x:c r="AS65" s="54"/>
      <x:c r="AT65" s="54"/>
      <x:c r="AU65" s="54"/>
      <x:c r="AV65" s="54"/>
      <x:c r="AW65" s="54"/>
    </x:row>
    <x:row r="66">
      <x:c r="A66" s="54"/>
      <x:c r="B66" s="54"/>
      <x:c r="C66" s="54"/>
      <x:c r="D66" s="54"/>
      <x:c r="E66" s="54"/>
      <x:c r="F66" s="54"/>
      <x:c r="G66" s="54"/>
      <x:c r="H66" s="54"/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  <x:c r="AA66" s="54"/>
      <x:c r="AB66" s="54"/>
      <x:c r="AC66" s="54"/>
      <x:c r="AD66" s="54"/>
      <x:c r="AE66" s="54"/>
      <x:c r="AF66" s="54"/>
      <x:c r="AG66" s="54"/>
      <x:c r="AH66" s="54"/>
      <x:c r="AI66" s="54"/>
      <x:c r="AJ66" s="54"/>
      <x:c r="AK66" s="54"/>
      <x:c r="AL66" s="54"/>
      <x:c r="AM66" s="54"/>
      <x:c r="AN66" s="54"/>
      <x:c r="AO66" s="54"/>
      <x:c r="AP66" s="54"/>
      <x:c r="AQ66" s="54"/>
      <x:c r="AR66" s="54"/>
      <x:c r="AS66" s="54"/>
      <x:c r="AT66" s="54"/>
      <x:c r="AU66" s="54"/>
      <x:c r="AV66" s="54"/>
      <x:c r="AW66" s="54"/>
    </x:row>
    <x:row r="67">
      <x:c r="A67" s="54"/>
      <x:c r="B67" s="54"/>
      <x:c r="C67" s="54"/>
      <x:c r="D67" s="54"/>
      <x:c r="E67" s="54"/>
      <x:c r="F67" s="54"/>
      <x:c r="G67" s="54"/>
      <x:c r="H67" s="54"/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  <x:c r="AA67" s="54"/>
      <x:c r="AB67" s="54"/>
      <x:c r="AC67" s="54"/>
      <x:c r="AD67" s="54"/>
      <x:c r="AE67" s="54"/>
      <x:c r="AF67" s="54"/>
      <x:c r="AG67" s="54"/>
      <x:c r="AH67" s="54"/>
      <x:c r="AI67" s="54"/>
      <x:c r="AJ67" s="54"/>
      <x:c r="AK67" s="54"/>
      <x:c r="AL67" s="54"/>
      <x:c r="AM67" s="54"/>
      <x:c r="AN67" s="54"/>
      <x:c r="AO67" s="54"/>
      <x:c r="AP67" s="54"/>
      <x:c r="AQ67" s="54"/>
      <x:c r="AR67" s="54"/>
      <x:c r="AS67" s="54"/>
      <x:c r="AT67" s="54"/>
      <x:c r="AU67" s="54"/>
      <x:c r="AV67" s="54"/>
      <x:c r="AW67" s="54"/>
    </x:row>
    <x:row r="68">
      <x:c r="A68" s="54"/>
      <x:c r="B68" s="54"/>
      <x:c r="C68" s="54"/>
      <x:c r="D68" s="54"/>
      <x:c r="E68" s="54"/>
      <x:c r="F68" s="54"/>
      <x:c r="G68" s="54"/>
      <x:c r="H68" s="54"/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  <x:c r="AA68" s="54"/>
      <x:c r="AB68" s="54"/>
      <x:c r="AC68" s="54"/>
      <x:c r="AD68" s="54"/>
      <x:c r="AE68" s="54"/>
      <x:c r="AF68" s="54"/>
      <x:c r="AG68" s="54"/>
      <x:c r="AH68" s="54"/>
      <x:c r="AI68" s="54"/>
      <x:c r="AJ68" s="54"/>
      <x:c r="AK68" s="54"/>
      <x:c r="AL68" s="54"/>
      <x:c r="AM68" s="54"/>
      <x:c r="AN68" s="54"/>
      <x:c r="AO68" s="54"/>
      <x:c r="AP68" s="54"/>
      <x:c r="AQ68" s="54"/>
      <x:c r="AR68" s="54"/>
      <x:c r="AS68" s="54"/>
      <x:c r="AT68" s="54"/>
      <x:c r="AU68" s="54"/>
      <x:c r="AV68" s="54"/>
      <x:c r="AW68" s="54"/>
    </x:row>
    <x:row r="69">
      <x:c r="A69" s="54"/>
      <x:c r="B69" s="54"/>
      <x:c r="C69" s="54"/>
      <x:c r="D69" s="54"/>
      <x:c r="E69" s="54"/>
      <x:c r="F69" s="54"/>
      <x:c r="G69" s="54"/>
      <x:c r="H69" s="54"/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  <x:c r="AA69" s="54"/>
      <x:c r="AB69" s="54"/>
      <x:c r="AC69" s="54"/>
      <x:c r="AD69" s="54"/>
      <x:c r="AE69" s="54"/>
      <x:c r="AF69" s="54"/>
      <x:c r="AG69" s="54"/>
      <x:c r="AH69" s="54"/>
      <x:c r="AI69" s="54"/>
      <x:c r="AJ69" s="54"/>
      <x:c r="AK69" s="54"/>
      <x:c r="AL69" s="54"/>
      <x:c r="AM69" s="54"/>
      <x:c r="AN69" s="54"/>
      <x:c r="AO69" s="54"/>
      <x:c r="AP69" s="54"/>
      <x:c r="AQ69" s="54"/>
      <x:c r="AR69" s="54"/>
      <x:c r="AS69" s="54"/>
      <x:c r="AT69" s="54"/>
      <x:c r="AU69" s="54"/>
      <x:c r="AV69" s="54"/>
      <x:c r="AW69" s="54"/>
    </x:row>
    <x:row r="70">
      <x:c r="A70" s="54"/>
      <x:c r="B70" s="54"/>
      <x:c r="C70" s="54"/>
      <x:c r="D70" s="54"/>
      <x:c r="E70" s="54"/>
      <x:c r="F70" s="54"/>
      <x:c r="G70" s="54"/>
      <x:c r="H70" s="54"/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  <x:c r="AA70" s="54"/>
      <x:c r="AB70" s="54"/>
      <x:c r="AC70" s="54"/>
      <x:c r="AD70" s="54"/>
      <x:c r="AE70" s="54"/>
      <x:c r="AF70" s="54"/>
      <x:c r="AG70" s="54"/>
      <x:c r="AH70" s="54"/>
      <x:c r="AI70" s="54"/>
      <x:c r="AJ70" s="54"/>
      <x:c r="AK70" s="54"/>
      <x:c r="AL70" s="54"/>
      <x:c r="AM70" s="54"/>
      <x:c r="AN70" s="54"/>
      <x:c r="AO70" s="54"/>
      <x:c r="AP70" s="54"/>
      <x:c r="AQ70" s="54"/>
      <x:c r="AR70" s="54"/>
      <x:c r="AS70" s="54"/>
      <x:c r="AT70" s="54"/>
      <x:c r="AU70" s="54"/>
      <x:c r="AV70" s="54"/>
      <x:c r="AW70" s="54"/>
    </x:row>
    <x:row r="71">
      <x:c r="A71" s="54"/>
      <x:c r="B71" s="54"/>
      <x:c r="C71" s="54"/>
      <x:c r="D71" s="54"/>
      <x:c r="E71" s="54"/>
      <x:c r="F71" s="54"/>
      <x:c r="G71" s="54"/>
      <x:c r="H71" s="54"/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  <x:c r="AA71" s="54"/>
      <x:c r="AB71" s="54"/>
      <x:c r="AC71" s="54"/>
      <x:c r="AD71" s="54"/>
      <x:c r="AE71" s="54"/>
      <x:c r="AF71" s="54"/>
      <x:c r="AG71" s="54"/>
      <x:c r="AH71" s="54"/>
      <x:c r="AI71" s="54"/>
      <x:c r="AJ71" s="54"/>
      <x:c r="AK71" s="54"/>
      <x:c r="AL71" s="54"/>
      <x:c r="AM71" s="54"/>
      <x:c r="AN71" s="54"/>
      <x:c r="AO71" s="54"/>
      <x:c r="AP71" s="54"/>
      <x:c r="AQ71" s="54"/>
      <x:c r="AR71" s="54"/>
      <x:c r="AS71" s="54"/>
      <x:c r="AT71" s="54"/>
      <x:c r="AU71" s="54"/>
      <x:c r="AV71" s="54"/>
      <x:c r="AW71" s="54"/>
    </x:row>
    <x:row r="72">
      <x:c r="A72" s="54"/>
      <x:c r="B72" s="54"/>
      <x:c r="C72" s="54"/>
      <x:c r="D72" s="54"/>
      <x:c r="E72" s="54"/>
      <x:c r="F72" s="54"/>
      <x:c r="G72" s="54"/>
      <x:c r="H72" s="54"/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  <x:c r="AA72" s="54"/>
      <x:c r="AB72" s="54"/>
      <x:c r="AC72" s="54"/>
      <x:c r="AD72" s="54"/>
      <x:c r="AE72" s="54"/>
      <x:c r="AF72" s="54"/>
      <x:c r="AG72" s="54"/>
      <x:c r="AH72" s="54"/>
      <x:c r="AI72" s="54"/>
      <x:c r="AJ72" s="54"/>
      <x:c r="AK72" s="54"/>
      <x:c r="AL72" s="54"/>
      <x:c r="AM72" s="54"/>
      <x:c r="AN72" s="54"/>
      <x:c r="AO72" s="54"/>
      <x:c r="AP72" s="54"/>
      <x:c r="AQ72" s="54"/>
      <x:c r="AR72" s="54"/>
      <x:c r="AS72" s="54"/>
      <x:c r="AT72" s="54"/>
      <x:c r="AU72" s="54"/>
      <x:c r="AV72" s="54"/>
      <x:c r="AW72" s="54"/>
    </x:row>
    <x:row r="73">
      <x:c r="A73" s="54"/>
      <x:c r="B73" s="54"/>
      <x:c r="C73" s="54"/>
      <x:c r="D73" s="54"/>
      <x:c r="E73" s="54"/>
      <x:c r="F73" s="54"/>
      <x:c r="G73" s="54"/>
      <x:c r="H73" s="54"/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  <x:c r="AA73" s="54"/>
      <x:c r="AB73" s="54"/>
      <x:c r="AC73" s="54"/>
      <x:c r="AD73" s="54"/>
      <x:c r="AE73" s="54"/>
      <x:c r="AF73" s="54"/>
      <x:c r="AG73" s="54"/>
      <x:c r="AH73" s="54"/>
      <x:c r="AI73" s="54"/>
      <x:c r="AJ73" s="54"/>
      <x:c r="AK73" s="54"/>
      <x:c r="AL73" s="54"/>
      <x:c r="AM73" s="54"/>
      <x:c r="AN73" s="54"/>
      <x:c r="AO73" s="54"/>
      <x:c r="AP73" s="54"/>
      <x:c r="AQ73" s="54"/>
      <x:c r="AR73" s="54"/>
      <x:c r="AS73" s="54"/>
      <x:c r="AT73" s="54"/>
      <x:c r="AU73" s="54"/>
      <x:c r="AV73" s="54"/>
      <x:c r="AW73" s="54"/>
    </x:row>
    <x:row r="74">
      <x:c r="A74" s="54"/>
      <x:c r="B74" s="54"/>
      <x:c r="C74" s="54"/>
      <x:c r="D74" s="54"/>
      <x:c r="E74" s="54"/>
      <x:c r="F74" s="54"/>
      <x:c r="G74" s="54"/>
      <x:c r="H74" s="54"/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  <x:c r="AA74" s="54"/>
      <x:c r="AB74" s="54"/>
      <x:c r="AC74" s="54"/>
      <x:c r="AD74" s="54"/>
      <x:c r="AE74" s="54"/>
      <x:c r="AF74" s="54"/>
      <x:c r="AG74" s="54"/>
      <x:c r="AH74" s="54"/>
      <x:c r="AI74" s="54"/>
      <x:c r="AJ74" s="54"/>
      <x:c r="AK74" s="54"/>
      <x:c r="AL74" s="54"/>
      <x:c r="AM74" s="54"/>
      <x:c r="AN74" s="54"/>
      <x:c r="AO74" s="54"/>
      <x:c r="AP74" s="54"/>
      <x:c r="AQ74" s="54"/>
      <x:c r="AR74" s="54"/>
      <x:c r="AS74" s="54"/>
      <x:c r="AT74" s="54"/>
      <x:c r="AU74" s="54"/>
      <x:c r="AV74" s="54"/>
      <x:c r="AW74" s="54"/>
    </x:row>
    <x:row r="75">
      <x:c r="A75" s="54"/>
      <x:c r="B75" s="54"/>
      <x:c r="C75" s="54"/>
      <x:c r="D75" s="54"/>
      <x:c r="E75" s="54"/>
      <x:c r="F75" s="54"/>
      <x:c r="G75" s="54"/>
      <x:c r="H75" s="54"/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  <x:c r="AA75" s="54"/>
      <x:c r="AB75" s="54"/>
      <x:c r="AC75" s="54"/>
      <x:c r="AD75" s="54"/>
      <x:c r="AE75" s="54"/>
      <x:c r="AF75" s="54"/>
      <x:c r="AG75" s="54"/>
      <x:c r="AH75" s="54"/>
      <x:c r="AI75" s="54"/>
      <x:c r="AJ75" s="54"/>
      <x:c r="AK75" s="54"/>
      <x:c r="AL75" s="54"/>
      <x:c r="AM75" s="54"/>
      <x:c r="AN75" s="54"/>
      <x:c r="AO75" s="54"/>
      <x:c r="AP75" s="54"/>
      <x:c r="AQ75" s="54"/>
      <x:c r="AR75" s="54"/>
      <x:c r="AS75" s="54"/>
      <x:c r="AT75" s="54"/>
      <x:c r="AU75" s="54"/>
      <x:c r="AV75" s="54"/>
      <x:c r="AW75" s="54"/>
    </x:row>
    <x:row r="76">
      <x:c r="A76" s="54"/>
      <x:c r="B76" s="54"/>
      <x:c r="C76" s="54"/>
      <x:c r="D76" s="54"/>
      <x:c r="E76" s="54"/>
      <x:c r="F76" s="54"/>
      <x:c r="G76" s="54"/>
      <x:c r="H76" s="54"/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  <x:c r="AA76" s="54"/>
      <x:c r="AB76" s="54"/>
      <x:c r="AC76" s="54"/>
      <x:c r="AD76" s="54"/>
      <x:c r="AE76" s="54"/>
      <x:c r="AF76" s="54"/>
      <x:c r="AG76" s="54"/>
      <x:c r="AH76" s="54"/>
      <x:c r="AI76" s="54"/>
      <x:c r="AJ76" s="54"/>
      <x:c r="AK76" s="54"/>
      <x:c r="AL76" s="54"/>
      <x:c r="AM76" s="54"/>
      <x:c r="AN76" s="54"/>
      <x:c r="AO76" s="54"/>
      <x:c r="AP76" s="54"/>
      <x:c r="AQ76" s="54"/>
      <x:c r="AR76" s="54"/>
      <x:c r="AS76" s="54"/>
      <x:c r="AT76" s="54"/>
      <x:c r="AU76" s="54"/>
      <x:c r="AV76" s="54"/>
      <x:c r="AW76" s="54"/>
    </x:row>
    <x:row r="77">
      <x:c r="A77" s="54"/>
      <x:c r="B77" s="54"/>
      <x:c r="C77" s="54"/>
      <x:c r="D77" s="54"/>
      <x:c r="E77" s="54"/>
      <x:c r="F77" s="54"/>
      <x:c r="G77" s="54"/>
      <x:c r="H77" s="54"/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  <x:c r="AA77" s="54"/>
      <x:c r="AB77" s="54"/>
      <x:c r="AC77" s="54"/>
      <x:c r="AD77" s="54"/>
      <x:c r="AE77" s="54"/>
      <x:c r="AF77" s="54"/>
      <x:c r="AG77" s="54"/>
      <x:c r="AH77" s="54"/>
      <x:c r="AI77" s="54"/>
      <x:c r="AJ77" s="54"/>
      <x:c r="AK77" s="54"/>
      <x:c r="AL77" s="54"/>
      <x:c r="AM77" s="54"/>
      <x:c r="AN77" s="54"/>
      <x:c r="AO77" s="54"/>
      <x:c r="AP77" s="54"/>
      <x:c r="AQ77" s="54"/>
      <x:c r="AR77" s="54"/>
      <x:c r="AS77" s="54"/>
      <x:c r="AT77" s="54"/>
      <x:c r="AU77" s="54"/>
      <x:c r="AV77" s="54"/>
      <x:c r="AW77" s="54"/>
    </x:row>
    <x:row r="78">
      <x:c r="A78" s="54"/>
      <x:c r="B78" s="54"/>
      <x:c r="C78" s="54"/>
      <x:c r="D78" s="54"/>
      <x:c r="E78" s="54"/>
      <x:c r="F78" s="54"/>
      <x:c r="G78" s="54"/>
      <x:c r="H78" s="54"/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  <x:c r="AA78" s="54"/>
      <x:c r="AB78" s="54"/>
      <x:c r="AC78" s="54"/>
      <x:c r="AD78" s="54"/>
      <x:c r="AE78" s="54"/>
      <x:c r="AF78" s="54"/>
      <x:c r="AG78" s="54"/>
      <x:c r="AH78" s="54"/>
      <x:c r="AI78" s="54"/>
      <x:c r="AJ78" s="54"/>
      <x:c r="AK78" s="54"/>
      <x:c r="AL78" s="54"/>
      <x:c r="AM78" s="54"/>
      <x:c r="AN78" s="54"/>
      <x:c r="AO78" s="54"/>
      <x:c r="AP78" s="54"/>
      <x:c r="AQ78" s="54"/>
      <x:c r="AR78" s="54"/>
      <x:c r="AS78" s="54"/>
      <x:c r="AT78" s="54"/>
      <x:c r="AU78" s="54"/>
      <x:c r="AV78" s="54"/>
      <x:c r="AW78" s="54"/>
    </x:row>
    <x:row r="79">
      <x:c r="A79" s="54"/>
      <x:c r="B79" s="54"/>
      <x:c r="C79" s="54"/>
      <x:c r="D79" s="54"/>
      <x:c r="E79" s="54"/>
      <x:c r="F79" s="54"/>
      <x:c r="G79" s="54"/>
      <x:c r="H79" s="54"/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  <x:c r="AA79" s="54"/>
      <x:c r="AB79" s="54"/>
      <x:c r="AC79" s="54"/>
      <x:c r="AD79" s="54"/>
      <x:c r="AE79" s="54"/>
      <x:c r="AF79" s="54"/>
      <x:c r="AG79" s="54"/>
      <x:c r="AH79" s="54"/>
      <x:c r="AI79" s="54"/>
      <x:c r="AJ79" s="54"/>
      <x:c r="AK79" s="54"/>
      <x:c r="AL79" s="54"/>
      <x:c r="AM79" s="54"/>
      <x:c r="AN79" s="54"/>
      <x:c r="AO79" s="54"/>
      <x:c r="AP79" s="54"/>
      <x:c r="AQ79" s="54"/>
      <x:c r="AR79" s="54"/>
      <x:c r="AS79" s="54"/>
      <x:c r="AT79" s="54"/>
      <x:c r="AU79" s="54"/>
      <x:c r="AV79" s="54"/>
      <x:c r="AW79" s="54"/>
    </x:row>
    <x:row r="80">
      <x:c r="A80" s="54"/>
      <x:c r="B80" s="54"/>
      <x:c r="C80" s="54"/>
      <x:c r="D80" s="54"/>
      <x:c r="E80" s="54"/>
      <x:c r="F80" s="54"/>
      <x:c r="G80" s="54"/>
      <x:c r="H80" s="54"/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  <x:c r="AA80" s="54"/>
      <x:c r="AB80" s="54"/>
      <x:c r="AC80" s="54"/>
      <x:c r="AD80" s="54"/>
      <x:c r="AE80" s="54"/>
      <x:c r="AF80" s="54"/>
      <x:c r="AG80" s="54"/>
      <x:c r="AH80" s="54"/>
      <x:c r="AI80" s="54"/>
      <x:c r="AJ80" s="54"/>
      <x:c r="AK80" s="54"/>
      <x:c r="AL80" s="54"/>
      <x:c r="AM80" s="54"/>
      <x:c r="AN80" s="54"/>
      <x:c r="AO80" s="54"/>
      <x:c r="AP80" s="54"/>
      <x:c r="AQ80" s="54"/>
      <x:c r="AR80" s="54"/>
      <x:c r="AS80" s="54"/>
      <x:c r="AT80" s="54"/>
      <x:c r="AU80" s="54"/>
      <x:c r="AV80" s="54"/>
      <x:c r="AW80" s="54"/>
    </x:row>
    <x:row r="81">
      <x:c r="A81" s="54"/>
      <x:c r="B81" s="54"/>
      <x:c r="C81" s="54"/>
      <x:c r="D81" s="54"/>
      <x:c r="E81" s="54"/>
      <x:c r="F81" s="54"/>
      <x:c r="G81" s="54"/>
      <x:c r="H81" s="54"/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  <x:c r="AA81" s="54"/>
      <x:c r="AB81" s="54"/>
      <x:c r="AC81" s="54"/>
      <x:c r="AD81" s="54"/>
      <x:c r="AE81" s="54"/>
      <x:c r="AF81" s="54"/>
      <x:c r="AG81" s="54"/>
      <x:c r="AH81" s="54"/>
      <x:c r="AI81" s="54"/>
      <x:c r="AJ81" s="54"/>
      <x:c r="AK81" s="54"/>
      <x:c r="AL81" s="54"/>
      <x:c r="AM81" s="54"/>
      <x:c r="AN81" s="54"/>
      <x:c r="AO81" s="54"/>
      <x:c r="AP81" s="54"/>
      <x:c r="AQ81" s="54"/>
      <x:c r="AR81" s="54"/>
      <x:c r="AS81" s="54"/>
      <x:c r="AT81" s="54"/>
      <x:c r="AU81" s="54"/>
      <x:c r="AV81" s="54"/>
      <x:c r="AW81" s="54"/>
    </x:row>
    <x:row r="82">
      <x:c r="A82" s="54"/>
      <x:c r="B82" s="54"/>
      <x:c r="C82" s="54"/>
      <x:c r="D82" s="54"/>
      <x:c r="E82" s="54"/>
      <x:c r="F82" s="54"/>
      <x:c r="G82" s="54"/>
      <x:c r="H82" s="54"/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  <x:c r="AA82" s="54"/>
      <x:c r="AB82" s="54"/>
      <x:c r="AC82" s="54"/>
      <x:c r="AD82" s="54"/>
      <x:c r="AE82" s="54"/>
      <x:c r="AF82" s="54"/>
      <x:c r="AG82" s="54"/>
      <x:c r="AH82" s="54"/>
      <x:c r="AI82" s="54"/>
      <x:c r="AJ82" s="54"/>
      <x:c r="AK82" s="54"/>
      <x:c r="AL82" s="54"/>
      <x:c r="AM82" s="54"/>
      <x:c r="AN82" s="54"/>
      <x:c r="AO82" s="54"/>
      <x:c r="AP82" s="54"/>
      <x:c r="AQ82" s="54"/>
      <x:c r="AR82" s="54"/>
      <x:c r="AS82" s="54"/>
      <x:c r="AT82" s="54"/>
      <x:c r="AU82" s="54"/>
      <x:c r="AV82" s="54"/>
      <x:c r="AW82" s="54"/>
    </x:row>
    <x:row r="83">
      <x:c r="A83" s="54"/>
      <x:c r="B83" s="54"/>
      <x:c r="C83" s="54"/>
      <x:c r="D83" s="54"/>
      <x:c r="E83" s="54"/>
      <x:c r="F83" s="54"/>
      <x:c r="G83" s="54"/>
      <x:c r="H83" s="54"/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  <x:c r="AA83" s="54"/>
      <x:c r="AB83" s="54"/>
      <x:c r="AC83" s="54"/>
      <x:c r="AD83" s="54"/>
      <x:c r="AE83" s="54"/>
      <x:c r="AF83" s="54"/>
      <x:c r="AG83" s="54"/>
      <x:c r="AH83" s="54"/>
      <x:c r="AI83" s="54"/>
      <x:c r="AJ83" s="54"/>
      <x:c r="AK83" s="54"/>
      <x:c r="AL83" s="54"/>
      <x:c r="AM83" s="54"/>
      <x:c r="AN83" s="54"/>
      <x:c r="AO83" s="54"/>
      <x:c r="AP83" s="54"/>
      <x:c r="AQ83" s="54"/>
      <x:c r="AR83" s="54"/>
      <x:c r="AS83" s="54"/>
      <x:c r="AT83" s="54"/>
      <x:c r="AU83" s="54"/>
      <x:c r="AV83" s="54"/>
      <x:c r="AW83" s="54"/>
    </x:row>
    <x:row r="84">
      <x:c r="A84" s="54"/>
      <x:c r="B84" s="54"/>
      <x:c r="C84" s="54"/>
      <x:c r="D84" s="54"/>
      <x:c r="E84" s="54"/>
      <x:c r="F84" s="54"/>
      <x:c r="G84" s="54"/>
      <x:c r="H84" s="54"/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  <x:c r="AA84" s="54"/>
      <x:c r="AB84" s="54"/>
      <x:c r="AC84" s="54"/>
      <x:c r="AD84" s="54"/>
      <x:c r="AE84" s="54"/>
      <x:c r="AF84" s="54"/>
      <x:c r="AG84" s="54"/>
      <x:c r="AH84" s="54"/>
      <x:c r="AI84" s="54"/>
      <x:c r="AJ84" s="54"/>
      <x:c r="AK84" s="54"/>
      <x:c r="AL84" s="54"/>
      <x:c r="AM84" s="54"/>
      <x:c r="AN84" s="54"/>
      <x:c r="AO84" s="54"/>
      <x:c r="AP84" s="54"/>
      <x:c r="AQ84" s="54"/>
      <x:c r="AR84" s="54"/>
      <x:c r="AS84" s="54"/>
      <x:c r="AT84" s="54"/>
      <x:c r="AU84" s="54"/>
      <x:c r="AV84" s="54"/>
      <x:c r="AW84" s="54"/>
    </x:row>
    <x:row r="85">
      <x:c r="A85" s="54"/>
      <x:c r="B85" s="54"/>
      <x:c r="C85" s="54"/>
      <x:c r="D85" s="54"/>
      <x:c r="E85" s="54"/>
      <x:c r="F85" s="54"/>
      <x:c r="G85" s="54"/>
      <x:c r="H85" s="54"/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  <x:c r="AA85" s="54"/>
      <x:c r="AB85" s="54"/>
      <x:c r="AC85" s="54"/>
      <x:c r="AD85" s="54"/>
      <x:c r="AE85" s="54"/>
      <x:c r="AF85" s="54"/>
      <x:c r="AG85" s="54"/>
      <x:c r="AH85" s="54"/>
      <x:c r="AI85" s="54"/>
      <x:c r="AJ85" s="54"/>
      <x:c r="AK85" s="54"/>
      <x:c r="AL85" s="54"/>
      <x:c r="AM85" s="54"/>
      <x:c r="AN85" s="54"/>
      <x:c r="AO85" s="54"/>
      <x:c r="AP85" s="54"/>
      <x:c r="AQ85" s="54"/>
      <x:c r="AR85" s="54"/>
      <x:c r="AS85" s="54"/>
      <x:c r="AT85" s="54"/>
      <x:c r="AU85" s="54"/>
      <x:c r="AV85" s="54"/>
      <x:c r="AW85" s="54"/>
    </x:row>
    <x:row r="86">
      <x:c r="A86" s="54"/>
      <x:c r="B86" s="54"/>
      <x:c r="C86" s="54"/>
      <x:c r="D86" s="54"/>
      <x:c r="E86" s="54"/>
      <x:c r="F86" s="54"/>
      <x:c r="G86" s="54"/>
      <x:c r="H86" s="54"/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  <x:c r="AA86" s="54"/>
      <x:c r="AB86" s="54"/>
      <x:c r="AC86" s="54"/>
      <x:c r="AD86" s="54"/>
      <x:c r="AE86" s="54"/>
      <x:c r="AF86" s="54"/>
      <x:c r="AG86" s="54"/>
      <x:c r="AH86" s="54"/>
      <x:c r="AI86" s="54"/>
      <x:c r="AJ86" s="54"/>
      <x:c r="AK86" s="54"/>
      <x:c r="AL86" s="54"/>
      <x:c r="AM86" s="54"/>
      <x:c r="AN86" s="54"/>
      <x:c r="AO86" s="54"/>
      <x:c r="AP86" s="54"/>
      <x:c r="AQ86" s="54"/>
      <x:c r="AR86" s="54"/>
      <x:c r="AS86" s="54"/>
      <x:c r="AT86" s="54"/>
      <x:c r="AU86" s="54"/>
      <x:c r="AV86" s="54"/>
      <x:c r="AW86" s="54"/>
    </x:row>
    <x:row r="87">
      <x:c r="A87" s="54"/>
      <x:c r="B87" s="54"/>
      <x:c r="C87" s="54"/>
      <x:c r="D87" s="54"/>
      <x:c r="E87" s="54"/>
      <x:c r="F87" s="54"/>
      <x:c r="G87" s="54"/>
      <x:c r="H87" s="54"/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  <x:c r="AA87" s="54"/>
      <x:c r="AB87" s="54"/>
      <x:c r="AC87" s="54"/>
      <x:c r="AD87" s="54"/>
      <x:c r="AE87" s="54"/>
      <x:c r="AF87" s="54"/>
      <x:c r="AG87" s="54"/>
      <x:c r="AH87" s="54"/>
      <x:c r="AI87" s="54"/>
      <x:c r="AJ87" s="54"/>
      <x:c r="AK87" s="54"/>
      <x:c r="AL87" s="54"/>
      <x:c r="AM87" s="54"/>
      <x:c r="AN87" s="54"/>
      <x:c r="AO87" s="54"/>
      <x:c r="AP87" s="54"/>
      <x:c r="AQ87" s="54"/>
      <x:c r="AR87" s="54"/>
      <x:c r="AS87" s="54"/>
      <x:c r="AT87" s="54"/>
      <x:c r="AU87" s="54"/>
      <x:c r="AV87" s="54"/>
      <x:c r="AW87" s="54"/>
    </x:row>
    <x:row r="88">
      <x:c r="A88" s="54"/>
      <x:c r="B88" s="54"/>
      <x:c r="C88" s="54"/>
      <x:c r="D88" s="54"/>
      <x:c r="E88" s="54"/>
      <x:c r="F88" s="54"/>
      <x:c r="G88" s="54"/>
      <x:c r="H88" s="54"/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  <x:c r="AA88" s="54"/>
      <x:c r="AB88" s="54"/>
      <x:c r="AC88" s="54"/>
      <x:c r="AD88" s="54"/>
      <x:c r="AE88" s="54"/>
      <x:c r="AF88" s="54"/>
      <x:c r="AG88" s="54"/>
      <x:c r="AH88" s="54"/>
      <x:c r="AI88" s="54"/>
      <x:c r="AJ88" s="54"/>
      <x:c r="AK88" s="54"/>
      <x:c r="AL88" s="54"/>
      <x:c r="AM88" s="54"/>
      <x:c r="AN88" s="54"/>
      <x:c r="AO88" s="54"/>
      <x:c r="AP88" s="54"/>
      <x:c r="AQ88" s="54"/>
      <x:c r="AR88" s="54"/>
      <x:c r="AS88" s="54"/>
      <x:c r="AT88" s="54"/>
      <x:c r="AU88" s="54"/>
      <x:c r="AV88" s="54"/>
      <x:c r="AW88" s="54"/>
    </x:row>
    <x:row r="89">
      <x:c r="A89" s="54"/>
      <x:c r="B89" s="54"/>
      <x:c r="C89" s="54"/>
      <x:c r="D89" s="54"/>
      <x:c r="E89" s="54"/>
      <x:c r="F89" s="54"/>
      <x:c r="G89" s="54"/>
      <x:c r="H89" s="54"/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  <x:c r="AA89" s="54"/>
      <x:c r="AB89" s="54"/>
      <x:c r="AC89" s="54"/>
      <x:c r="AD89" s="54"/>
      <x:c r="AE89" s="54"/>
      <x:c r="AF89" s="54"/>
      <x:c r="AG89" s="54"/>
      <x:c r="AH89" s="54"/>
      <x:c r="AI89" s="54"/>
      <x:c r="AJ89" s="54"/>
      <x:c r="AK89" s="54"/>
      <x:c r="AL89" s="54"/>
      <x:c r="AM89" s="54"/>
      <x:c r="AN89" s="54"/>
      <x:c r="AO89" s="54"/>
      <x:c r="AP89" s="54"/>
      <x:c r="AQ89" s="54"/>
      <x:c r="AR89" s="54"/>
      <x:c r="AS89" s="54"/>
      <x:c r="AT89" s="54"/>
      <x:c r="AU89" s="54"/>
      <x:c r="AV89" s="54"/>
      <x:c r="AW89" s="54"/>
    </x:row>
    <x:row r="90">
      <x:c r="A90" s="54"/>
      <x:c r="B90" s="54"/>
      <x:c r="C90" s="54"/>
      <x:c r="D90" s="54"/>
      <x:c r="E90" s="54"/>
      <x:c r="F90" s="54"/>
      <x:c r="G90" s="54"/>
      <x:c r="H90" s="54"/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  <x:c r="AA90" s="54"/>
      <x:c r="AB90" s="54"/>
      <x:c r="AC90" s="54"/>
      <x:c r="AD90" s="54"/>
      <x:c r="AE90" s="54"/>
      <x:c r="AF90" s="54"/>
      <x:c r="AG90" s="54"/>
      <x:c r="AH90" s="54"/>
      <x:c r="AI90" s="54"/>
      <x:c r="AJ90" s="54"/>
      <x:c r="AK90" s="54"/>
      <x:c r="AL90" s="54"/>
      <x:c r="AM90" s="54"/>
      <x:c r="AN90" s="54"/>
      <x:c r="AO90" s="54"/>
      <x:c r="AP90" s="54"/>
      <x:c r="AQ90" s="54"/>
      <x:c r="AR90" s="54"/>
      <x:c r="AS90" s="54"/>
      <x:c r="AT90" s="54"/>
      <x:c r="AU90" s="54"/>
      <x:c r="AV90" s="54"/>
      <x:c r="AW90" s="54"/>
    </x:row>
    <x:row r="91">
      <x:c r="A91" s="54"/>
      <x:c r="B91" s="54"/>
      <x:c r="C91" s="54"/>
      <x:c r="D91" s="54"/>
      <x:c r="E91" s="54"/>
      <x:c r="F91" s="54"/>
      <x:c r="G91" s="54"/>
      <x:c r="H91" s="54"/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  <x:c r="AA91" s="54"/>
      <x:c r="AB91" s="54"/>
      <x:c r="AC91" s="54"/>
      <x:c r="AD91" s="54"/>
      <x:c r="AE91" s="54"/>
      <x:c r="AF91" s="54"/>
      <x:c r="AG91" s="54"/>
      <x:c r="AH91" s="54"/>
      <x:c r="AI91" s="54"/>
      <x:c r="AJ91" s="54"/>
      <x:c r="AK91" s="54"/>
      <x:c r="AL91" s="54"/>
      <x:c r="AM91" s="54"/>
      <x:c r="AN91" s="54"/>
      <x:c r="AO91" s="54"/>
      <x:c r="AP91" s="54"/>
      <x:c r="AQ91" s="54"/>
      <x:c r="AR91" s="54"/>
      <x:c r="AS91" s="54"/>
      <x:c r="AT91" s="54"/>
      <x:c r="AU91" s="54"/>
      <x:c r="AV91" s="54"/>
      <x:c r="AW91" s="54"/>
    </x:row>
    <x:row r="92">
      <x:c r="A92" s="54"/>
      <x:c r="B92" s="54"/>
      <x:c r="C92" s="54"/>
      <x:c r="D92" s="54"/>
      <x:c r="E92" s="54"/>
      <x:c r="F92" s="54"/>
      <x:c r="G92" s="54"/>
      <x:c r="H92" s="54"/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  <x:c r="AA92" s="54"/>
      <x:c r="AB92" s="54"/>
      <x:c r="AC92" s="54"/>
      <x:c r="AD92" s="54"/>
      <x:c r="AE92" s="54"/>
      <x:c r="AF92" s="54"/>
      <x:c r="AG92" s="54"/>
      <x:c r="AH92" s="54"/>
      <x:c r="AI92" s="54"/>
      <x:c r="AJ92" s="54"/>
      <x:c r="AK92" s="54"/>
      <x:c r="AL92" s="54"/>
      <x:c r="AM92" s="54"/>
      <x:c r="AN92" s="54"/>
      <x:c r="AO92" s="54"/>
      <x:c r="AP92" s="54"/>
      <x:c r="AQ92" s="54"/>
      <x:c r="AR92" s="54"/>
      <x:c r="AS92" s="54"/>
      <x:c r="AT92" s="54"/>
      <x:c r="AU92" s="54"/>
      <x:c r="AV92" s="54"/>
      <x:c r="AW92" s="54"/>
    </x:row>
    <x:row r="93">
      <x:c r="A93" s="54"/>
      <x:c r="B93" s="54"/>
      <x:c r="C93" s="54"/>
      <x:c r="D93" s="54"/>
      <x:c r="E93" s="54"/>
      <x:c r="F93" s="54"/>
      <x:c r="G93" s="54"/>
      <x:c r="H93" s="54"/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  <x:c r="AA93" s="54"/>
      <x:c r="AB93" s="54"/>
      <x:c r="AC93" s="54"/>
      <x:c r="AD93" s="54"/>
      <x:c r="AE93" s="54"/>
      <x:c r="AF93" s="54"/>
      <x:c r="AG93" s="54"/>
      <x:c r="AH93" s="54"/>
      <x:c r="AI93" s="54"/>
      <x:c r="AJ93" s="54"/>
      <x:c r="AK93" s="54"/>
      <x:c r="AL93" s="54"/>
      <x:c r="AM93" s="54"/>
      <x:c r="AN93" s="54"/>
      <x:c r="AO93" s="54"/>
      <x:c r="AP93" s="54"/>
      <x:c r="AQ93" s="54"/>
      <x:c r="AR93" s="54"/>
      <x:c r="AS93" s="54"/>
      <x:c r="AT93" s="54"/>
      <x:c r="AU93" s="54"/>
      <x:c r="AV93" s="54"/>
      <x:c r="AW93" s="54"/>
    </x:row>
    <x:row r="94">
      <x:c r="A94" s="54"/>
      <x:c r="B94" s="54"/>
      <x:c r="C94" s="54"/>
      <x:c r="D94" s="54"/>
      <x:c r="E94" s="54"/>
      <x:c r="F94" s="54"/>
      <x:c r="G94" s="54"/>
      <x:c r="H94" s="54"/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  <x:c r="AA94" s="54"/>
      <x:c r="AB94" s="54"/>
      <x:c r="AC94" s="54"/>
      <x:c r="AD94" s="54"/>
      <x:c r="AE94" s="54"/>
      <x:c r="AF94" s="54"/>
      <x:c r="AG94" s="54"/>
      <x:c r="AH94" s="54"/>
      <x:c r="AI94" s="54"/>
      <x:c r="AJ94" s="54"/>
      <x:c r="AK94" s="54"/>
      <x:c r="AL94" s="54"/>
      <x:c r="AM94" s="54"/>
      <x:c r="AN94" s="54"/>
      <x:c r="AO94" s="54"/>
      <x:c r="AP94" s="54"/>
      <x:c r="AQ94" s="54"/>
      <x:c r="AR94" s="54"/>
      <x:c r="AS94" s="54"/>
      <x:c r="AT94" s="54"/>
      <x:c r="AU94" s="54"/>
      <x:c r="AV94" s="54"/>
      <x:c r="AW94" s="54"/>
    </x:row>
    <x:row r="95">
      <x:c r="A95" s="54"/>
      <x:c r="B95" s="54"/>
      <x:c r="C95" s="54"/>
      <x:c r="D95" s="54"/>
      <x:c r="E95" s="54"/>
      <x:c r="F95" s="54"/>
      <x:c r="G95" s="54"/>
      <x:c r="H95" s="54"/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  <x:c r="AA95" s="54"/>
      <x:c r="AB95" s="54"/>
      <x:c r="AC95" s="54"/>
      <x:c r="AD95" s="54"/>
      <x:c r="AE95" s="54"/>
      <x:c r="AF95" s="54"/>
      <x:c r="AG95" s="54"/>
      <x:c r="AH95" s="54"/>
      <x:c r="AI95" s="54"/>
      <x:c r="AJ95" s="54"/>
      <x:c r="AK95" s="54"/>
      <x:c r="AL95" s="54"/>
      <x:c r="AM95" s="54"/>
      <x:c r="AN95" s="54"/>
      <x:c r="AO95" s="54"/>
      <x:c r="AP95" s="54"/>
      <x:c r="AQ95" s="54"/>
      <x:c r="AR95" s="54"/>
      <x:c r="AS95" s="54"/>
      <x:c r="AT95" s="54"/>
      <x:c r="AU95" s="54"/>
      <x:c r="AV95" s="54"/>
      <x:c r="AW95" s="54"/>
    </x:row>
    <x:row r="96">
      <x:c r="A96" s="54"/>
      <x:c r="B96" s="54"/>
      <x:c r="C96" s="54"/>
      <x:c r="D96" s="54"/>
      <x:c r="E96" s="54"/>
      <x:c r="F96" s="54"/>
      <x:c r="G96" s="54"/>
      <x:c r="H96" s="54"/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  <x:c r="AA96" s="54"/>
      <x:c r="AB96" s="54"/>
      <x:c r="AC96" s="54"/>
      <x:c r="AD96" s="54"/>
      <x:c r="AE96" s="54"/>
      <x:c r="AF96" s="54"/>
      <x:c r="AG96" s="54"/>
      <x:c r="AH96" s="54"/>
      <x:c r="AI96" s="54"/>
      <x:c r="AJ96" s="54"/>
      <x:c r="AK96" s="54"/>
      <x:c r="AL96" s="54"/>
      <x:c r="AM96" s="54"/>
      <x:c r="AN96" s="54"/>
      <x:c r="AO96" s="54"/>
      <x:c r="AP96" s="54"/>
      <x:c r="AQ96" s="54"/>
      <x:c r="AR96" s="54"/>
      <x:c r="AS96" s="54"/>
      <x:c r="AT96" s="54"/>
      <x:c r="AU96" s="54"/>
      <x:c r="AV96" s="54"/>
      <x:c r="AW96" s="54"/>
    </x:row>
    <x:row r="97">
      <x:c r="A97" s="54"/>
      <x:c r="B97" s="54"/>
      <x:c r="C97" s="54"/>
      <x:c r="D97" s="54"/>
      <x:c r="E97" s="54"/>
      <x:c r="F97" s="54"/>
      <x:c r="G97" s="54"/>
      <x:c r="H97" s="54"/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  <x:c r="AA97" s="54"/>
      <x:c r="AB97" s="54"/>
      <x:c r="AC97" s="54"/>
      <x:c r="AD97" s="54"/>
      <x:c r="AE97" s="54"/>
      <x:c r="AF97" s="54"/>
      <x:c r="AG97" s="54"/>
      <x:c r="AH97" s="54"/>
      <x:c r="AI97" s="54"/>
      <x:c r="AJ97" s="54"/>
      <x:c r="AK97" s="54"/>
      <x:c r="AL97" s="54"/>
      <x:c r="AM97" s="54"/>
      <x:c r="AN97" s="54"/>
      <x:c r="AO97" s="54"/>
      <x:c r="AP97" s="54"/>
      <x:c r="AQ97" s="54"/>
      <x:c r="AR97" s="54"/>
      <x:c r="AS97" s="54"/>
      <x:c r="AT97" s="54"/>
      <x:c r="AU97" s="54"/>
      <x:c r="AV97" s="54"/>
      <x:c r="AW97" s="54"/>
    </x:row>
    <x:row r="98">
      <x:c r="A98" s="54"/>
      <x:c r="B98" s="54"/>
      <x:c r="C98" s="54"/>
      <x:c r="D98" s="54"/>
      <x:c r="E98" s="54"/>
      <x:c r="F98" s="54"/>
      <x:c r="G98" s="54"/>
      <x:c r="H98" s="54"/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  <x:c r="AA98" s="54"/>
      <x:c r="AB98" s="54"/>
      <x:c r="AC98" s="54"/>
      <x:c r="AD98" s="54"/>
      <x:c r="AE98" s="54"/>
      <x:c r="AF98" s="54"/>
      <x:c r="AG98" s="54"/>
      <x:c r="AH98" s="54"/>
      <x:c r="AI98" s="54"/>
      <x:c r="AJ98" s="54"/>
      <x:c r="AK98" s="54"/>
      <x:c r="AL98" s="54"/>
      <x:c r="AM98" s="54"/>
      <x:c r="AN98" s="54"/>
      <x:c r="AO98" s="54"/>
      <x:c r="AP98" s="54"/>
      <x:c r="AQ98" s="54"/>
      <x:c r="AR98" s="54"/>
      <x:c r="AS98" s="54"/>
      <x:c r="AT98" s="54"/>
      <x:c r="AU98" s="54"/>
      <x:c r="AV98" s="54"/>
      <x:c r="AW98" s="54"/>
    </x:row>
    <x:row r="99">
      <x:c r="A99" s="54"/>
      <x:c r="B99" s="54"/>
      <x:c r="C99" s="54"/>
      <x:c r="D99" s="54"/>
      <x:c r="E99" s="54"/>
      <x:c r="F99" s="54"/>
      <x:c r="G99" s="54"/>
      <x:c r="H99" s="54"/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  <x:c r="AA99" s="54"/>
      <x:c r="AB99" s="54"/>
      <x:c r="AC99" s="54"/>
      <x:c r="AD99" s="54"/>
      <x:c r="AE99" s="54"/>
      <x:c r="AF99" s="54"/>
      <x:c r="AG99" s="54"/>
      <x:c r="AH99" s="54"/>
      <x:c r="AI99" s="54"/>
      <x:c r="AJ99" s="54"/>
      <x:c r="AK99" s="54"/>
      <x:c r="AL99" s="54"/>
      <x:c r="AM99" s="54"/>
      <x:c r="AN99" s="54"/>
      <x:c r="AO99" s="54"/>
      <x:c r="AP99" s="54"/>
      <x:c r="AQ99" s="54"/>
      <x:c r="AR99" s="54"/>
      <x:c r="AS99" s="54"/>
      <x:c r="AT99" s="54"/>
      <x:c r="AU99" s="54"/>
      <x:c r="AV99" s="54"/>
      <x:c r="AW99" s="54"/>
    </x:row>
    <x:row r="100">
      <x:c r="A100" s="54"/>
      <x:c r="B100" s="54"/>
      <x:c r="C100" s="54"/>
      <x:c r="D100" s="54"/>
      <x:c r="E100" s="54"/>
      <x:c r="F100" s="54"/>
      <x:c r="G100" s="54"/>
      <x:c r="H100" s="54"/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  <x:c r="AA100" s="54"/>
      <x:c r="AB100" s="54"/>
      <x:c r="AC100" s="54"/>
      <x:c r="AD100" s="54"/>
      <x:c r="AE100" s="54"/>
      <x:c r="AF100" s="54"/>
      <x:c r="AG100" s="54"/>
      <x:c r="AH100" s="54"/>
      <x:c r="AI100" s="54"/>
      <x:c r="AJ100" s="54"/>
      <x:c r="AK100" s="54"/>
      <x:c r="AL100" s="54"/>
      <x:c r="AM100" s="54"/>
      <x:c r="AN100" s="54"/>
      <x:c r="AO100" s="54"/>
      <x:c r="AP100" s="54"/>
      <x:c r="AQ100" s="54"/>
      <x:c r="AR100" s="54"/>
      <x:c r="AS100" s="54"/>
      <x:c r="AT100" s="54"/>
      <x:c r="AU100" s="54"/>
      <x:c r="AV100" s="54"/>
      <x:c r="AW100" s="54"/>
    </x:row>
    <x:row r="101">
      <x:c r="A101" s="54"/>
      <x:c r="B101" s="54"/>
      <x:c r="C101" s="54"/>
      <x:c r="D101" s="54"/>
      <x:c r="E101" s="54"/>
      <x:c r="F101" s="54"/>
      <x:c r="G101" s="54"/>
      <x:c r="H101" s="54"/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  <x:c r="AA101" s="54"/>
      <x:c r="AB101" s="54"/>
      <x:c r="AC101" s="54"/>
      <x:c r="AD101" s="54"/>
      <x:c r="AE101" s="54"/>
      <x:c r="AF101" s="54"/>
      <x:c r="AG101" s="54"/>
      <x:c r="AH101" s="54"/>
      <x:c r="AI101" s="54"/>
      <x:c r="AJ101" s="54"/>
      <x:c r="AK101" s="54"/>
      <x:c r="AL101" s="54"/>
      <x:c r="AM101" s="54"/>
      <x:c r="AN101" s="54"/>
      <x:c r="AO101" s="54"/>
      <x:c r="AP101" s="54"/>
      <x:c r="AQ101" s="54"/>
      <x:c r="AR101" s="54"/>
      <x:c r="AS101" s="54"/>
      <x:c r="AT101" s="54"/>
      <x:c r="AU101" s="54"/>
      <x:c r="AV101" s="54"/>
      <x:c r="AW101" s="54"/>
    </x:row>
    <x:row r="102">
      <x:c r="A102" s="54"/>
      <x:c r="B102" s="54"/>
      <x:c r="C102" s="54"/>
      <x:c r="D102" s="54"/>
      <x:c r="E102" s="54"/>
      <x:c r="F102" s="54"/>
      <x:c r="G102" s="54"/>
      <x:c r="H102" s="54"/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  <x:c r="AA102" s="54"/>
      <x:c r="AB102" s="54"/>
      <x:c r="AC102" s="54"/>
      <x:c r="AD102" s="54"/>
      <x:c r="AE102" s="54"/>
      <x:c r="AF102" s="54"/>
      <x:c r="AG102" s="54"/>
      <x:c r="AH102" s="54"/>
      <x:c r="AI102" s="54"/>
      <x:c r="AJ102" s="54"/>
      <x:c r="AK102" s="54"/>
      <x:c r="AL102" s="54"/>
      <x:c r="AM102" s="54"/>
      <x:c r="AN102" s="54"/>
      <x:c r="AO102" s="54"/>
      <x:c r="AP102" s="54"/>
      <x:c r="AQ102" s="54"/>
      <x:c r="AR102" s="54"/>
      <x:c r="AS102" s="54"/>
      <x:c r="AT102" s="54"/>
      <x:c r="AU102" s="54"/>
      <x:c r="AV102" s="54"/>
      <x:c r="AW102" s="54"/>
    </x:row>
    <x:row r="103">
      <x:c r="A103" s="54"/>
      <x:c r="B103" s="54"/>
      <x:c r="C103" s="54"/>
      <x:c r="D103" s="54"/>
      <x:c r="E103" s="54"/>
      <x:c r="F103" s="54"/>
      <x:c r="G103" s="54"/>
      <x:c r="H103" s="54"/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  <x:c r="AA103" s="54"/>
      <x:c r="AB103" s="54"/>
      <x:c r="AC103" s="54"/>
      <x:c r="AD103" s="54"/>
      <x:c r="AE103" s="54"/>
      <x:c r="AF103" s="54"/>
      <x:c r="AG103" s="54"/>
      <x:c r="AH103" s="54"/>
      <x:c r="AI103" s="54"/>
      <x:c r="AJ103" s="54"/>
      <x:c r="AK103" s="54"/>
      <x:c r="AL103" s="54"/>
      <x:c r="AM103" s="54"/>
      <x:c r="AN103" s="54"/>
      <x:c r="AO103" s="54"/>
      <x:c r="AP103" s="54"/>
      <x:c r="AQ103" s="54"/>
      <x:c r="AR103" s="54"/>
      <x:c r="AS103" s="54"/>
      <x:c r="AT103" s="54"/>
      <x:c r="AU103" s="54"/>
      <x:c r="AV103" s="54"/>
      <x:c r="AW103" s="54"/>
    </x:row>
    <x:row r="104">
      <x:c r="A104" s="54"/>
      <x:c r="B104" s="54"/>
      <x:c r="C104" s="54"/>
      <x:c r="D104" s="54"/>
      <x:c r="E104" s="54"/>
      <x:c r="F104" s="54"/>
      <x:c r="G104" s="54"/>
      <x:c r="H104" s="54"/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  <x:c r="AA104" s="54"/>
      <x:c r="AB104" s="54"/>
      <x:c r="AC104" s="54"/>
      <x:c r="AD104" s="54"/>
      <x:c r="AE104" s="54"/>
      <x:c r="AF104" s="54"/>
      <x:c r="AG104" s="54"/>
      <x:c r="AH104" s="54"/>
      <x:c r="AI104" s="54"/>
      <x:c r="AJ104" s="54"/>
      <x:c r="AK104" s="54"/>
      <x:c r="AL104" s="54"/>
      <x:c r="AM104" s="54"/>
      <x:c r="AN104" s="54"/>
      <x:c r="AO104" s="54"/>
      <x:c r="AP104" s="54"/>
      <x:c r="AQ104" s="54"/>
      <x:c r="AR104" s="54"/>
      <x:c r="AS104" s="54"/>
      <x:c r="AT104" s="54"/>
      <x:c r="AU104" s="54"/>
      <x:c r="AV104" s="54"/>
      <x:c r="AW104" s="54"/>
    </x:row>
    <x:row r="105">
      <x:c r="A105" s="54"/>
      <x:c r="B105" s="54"/>
      <x:c r="C105" s="54"/>
      <x:c r="D105" s="54"/>
      <x:c r="E105" s="54"/>
      <x:c r="F105" s="54"/>
      <x:c r="G105" s="54"/>
      <x:c r="H105" s="54"/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  <x:c r="AA105" s="54"/>
      <x:c r="AB105" s="54"/>
      <x:c r="AC105" s="54"/>
      <x:c r="AD105" s="54"/>
      <x:c r="AE105" s="54"/>
      <x:c r="AF105" s="54"/>
      <x:c r="AG105" s="54"/>
      <x:c r="AH105" s="54"/>
      <x:c r="AI105" s="54"/>
      <x:c r="AJ105" s="54"/>
      <x:c r="AK105" s="54"/>
      <x:c r="AL105" s="54"/>
      <x:c r="AM105" s="54"/>
      <x:c r="AN105" s="54"/>
      <x:c r="AO105" s="54"/>
      <x:c r="AP105" s="54"/>
      <x:c r="AQ105" s="54"/>
      <x:c r="AR105" s="54"/>
      <x:c r="AS105" s="54"/>
      <x:c r="AT105" s="54"/>
      <x:c r="AU105" s="54"/>
      <x:c r="AV105" s="54"/>
      <x:c r="AW105" s="54"/>
    </x:row>
    <x:row r="106">
      <x:c r="A106" s="54"/>
      <x:c r="B106" s="54"/>
      <x:c r="C106" s="54"/>
      <x:c r="D106" s="54"/>
      <x:c r="E106" s="54"/>
      <x:c r="F106" s="54"/>
      <x:c r="G106" s="54"/>
      <x:c r="H106" s="54"/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  <x:c r="AA106" s="54"/>
      <x:c r="AB106" s="54"/>
      <x:c r="AC106" s="54"/>
      <x:c r="AD106" s="54"/>
      <x:c r="AE106" s="54"/>
      <x:c r="AF106" s="54"/>
      <x:c r="AG106" s="54"/>
      <x:c r="AH106" s="54"/>
      <x:c r="AI106" s="54"/>
      <x:c r="AJ106" s="54"/>
      <x:c r="AK106" s="54"/>
      <x:c r="AL106" s="54"/>
      <x:c r="AM106" s="54"/>
      <x:c r="AN106" s="54"/>
      <x:c r="AO106" s="54"/>
      <x:c r="AP106" s="54"/>
      <x:c r="AQ106" s="54"/>
      <x:c r="AR106" s="54"/>
      <x:c r="AS106" s="54"/>
      <x:c r="AT106" s="54"/>
      <x:c r="AU106" s="54"/>
      <x:c r="AV106" s="54"/>
      <x:c r="AW106" s="54"/>
    </x:row>
    <x:row r="107">
      <x:c r="A107" s="54"/>
      <x:c r="B107" s="54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  <x:c r="AA107" s="54"/>
      <x:c r="AB107" s="54"/>
      <x:c r="AC107" s="54"/>
      <x:c r="AD107" s="54"/>
      <x:c r="AE107" s="54"/>
      <x:c r="AF107" s="54"/>
      <x:c r="AG107" s="54"/>
      <x:c r="AH107" s="54"/>
      <x:c r="AI107" s="54"/>
      <x:c r="AJ107" s="54"/>
      <x:c r="AK107" s="54"/>
      <x:c r="AL107" s="54"/>
      <x:c r="AM107" s="54"/>
      <x:c r="AN107" s="54"/>
      <x:c r="AO107" s="54"/>
      <x:c r="AP107" s="54"/>
      <x:c r="AQ107" s="54"/>
      <x:c r="AR107" s="54"/>
      <x:c r="AS107" s="54"/>
      <x:c r="AT107" s="54"/>
      <x:c r="AU107" s="54"/>
      <x:c r="AV107" s="54"/>
      <x:c r="AW107" s="54"/>
    </x:row>
    <x:row r="108">
      <x:c r="A108" s="54"/>
      <x:c r="B108" s="54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  <x:c r="AA108" s="54"/>
      <x:c r="AB108" s="54"/>
      <x:c r="AC108" s="54"/>
      <x:c r="AD108" s="54"/>
      <x:c r="AE108" s="54"/>
      <x:c r="AF108" s="54"/>
      <x:c r="AG108" s="54"/>
      <x:c r="AH108" s="54"/>
      <x:c r="AI108" s="54"/>
      <x:c r="AJ108" s="54"/>
      <x:c r="AK108" s="54"/>
      <x:c r="AL108" s="54"/>
      <x:c r="AM108" s="54"/>
      <x:c r="AN108" s="54"/>
      <x:c r="AO108" s="54"/>
      <x:c r="AP108" s="54"/>
      <x:c r="AQ108" s="54"/>
      <x:c r="AR108" s="54"/>
      <x:c r="AS108" s="54"/>
      <x:c r="AT108" s="54"/>
      <x:c r="AU108" s="54"/>
      <x:c r="AV108" s="54"/>
      <x:c r="AW108" s="54"/>
    </x:row>
    <x:row r="109">
      <x:c r="A109" s="54"/>
      <x:c r="B109" s="54"/>
      <x:c r="C109" s="54"/>
      <x:c r="D109" s="54"/>
      <x:c r="E109" s="54"/>
      <x:c r="F109" s="54"/>
      <x:c r="G109" s="54"/>
      <x:c r="H109" s="54"/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  <x:c r="AA109" s="54"/>
      <x:c r="AB109" s="54"/>
      <x:c r="AC109" s="54"/>
      <x:c r="AD109" s="54"/>
      <x:c r="AE109" s="54"/>
      <x:c r="AF109" s="54"/>
      <x:c r="AG109" s="54"/>
      <x:c r="AH109" s="54"/>
      <x:c r="AI109" s="54"/>
      <x:c r="AJ109" s="54"/>
      <x:c r="AK109" s="54"/>
      <x:c r="AL109" s="54"/>
      <x:c r="AM109" s="54"/>
      <x:c r="AN109" s="54"/>
      <x:c r="AO109" s="54"/>
      <x:c r="AP109" s="54"/>
      <x:c r="AQ109" s="54"/>
      <x:c r="AR109" s="54"/>
      <x:c r="AS109" s="54"/>
      <x:c r="AT109" s="54"/>
      <x:c r="AU109" s="54"/>
      <x:c r="AV109" s="54"/>
      <x:c r="AW109" s="54"/>
    </x:row>
    <x:row r="110">
      <x:c r="A110" s="54"/>
      <x:c r="B110" s="54"/>
      <x:c r="C110" s="54"/>
      <x:c r="D110" s="54"/>
      <x:c r="E110" s="54"/>
      <x:c r="F110" s="54"/>
      <x:c r="G110" s="54"/>
      <x:c r="H110" s="54"/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  <x:c r="AA110" s="54"/>
      <x:c r="AB110" s="54"/>
      <x:c r="AC110" s="54"/>
      <x:c r="AD110" s="54"/>
      <x:c r="AE110" s="54"/>
      <x:c r="AF110" s="54"/>
      <x:c r="AG110" s="54"/>
      <x:c r="AH110" s="54"/>
      <x:c r="AI110" s="54"/>
      <x:c r="AJ110" s="54"/>
      <x:c r="AK110" s="54"/>
      <x:c r="AL110" s="54"/>
      <x:c r="AM110" s="54"/>
      <x:c r="AN110" s="54"/>
      <x:c r="AO110" s="54"/>
      <x:c r="AP110" s="54"/>
      <x:c r="AQ110" s="54"/>
      <x:c r="AR110" s="54"/>
      <x:c r="AS110" s="54"/>
      <x:c r="AT110" s="54"/>
      <x:c r="AU110" s="54"/>
      <x:c r="AV110" s="54"/>
      <x:c r="AW110" s="54"/>
    </x:row>
    <x:row r="111">
      <x:c r="A111" s="54"/>
      <x:c r="B111" s="54"/>
      <x:c r="C111" s="54"/>
      <x:c r="D111" s="54"/>
      <x:c r="E111" s="54"/>
      <x:c r="F111" s="54"/>
      <x:c r="G111" s="54"/>
      <x:c r="H111" s="54"/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  <x:c r="AA111" s="54"/>
      <x:c r="AB111" s="54"/>
      <x:c r="AC111" s="54"/>
      <x:c r="AD111" s="54"/>
      <x:c r="AE111" s="54"/>
      <x:c r="AF111" s="54"/>
      <x:c r="AG111" s="54"/>
      <x:c r="AH111" s="54"/>
      <x:c r="AI111" s="54"/>
      <x:c r="AJ111" s="54"/>
      <x:c r="AK111" s="54"/>
      <x:c r="AL111" s="54"/>
      <x:c r="AM111" s="54"/>
      <x:c r="AN111" s="54"/>
      <x:c r="AO111" s="54"/>
      <x:c r="AP111" s="54"/>
      <x:c r="AQ111" s="54"/>
      <x:c r="AR111" s="54"/>
      <x:c r="AS111" s="54"/>
      <x:c r="AT111" s="54"/>
      <x:c r="AU111" s="54"/>
      <x:c r="AV111" s="54"/>
      <x:c r="AW111" s="54"/>
    </x:row>
    <x:row r="112">
      <x:c r="A112" s="54"/>
      <x:c r="B112" s="54"/>
      <x:c r="C112" s="54"/>
      <x:c r="D112" s="54"/>
      <x:c r="E112" s="54"/>
      <x:c r="F112" s="54"/>
      <x:c r="G112" s="54"/>
      <x:c r="H112" s="54"/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  <x:c r="AA112" s="54"/>
      <x:c r="AB112" s="54"/>
      <x:c r="AC112" s="54"/>
      <x:c r="AD112" s="54"/>
      <x:c r="AE112" s="54"/>
      <x:c r="AF112" s="54"/>
      <x:c r="AG112" s="54"/>
      <x:c r="AH112" s="54"/>
      <x:c r="AI112" s="54"/>
      <x:c r="AJ112" s="54"/>
      <x:c r="AK112" s="54"/>
      <x:c r="AL112" s="54"/>
      <x:c r="AM112" s="54"/>
      <x:c r="AN112" s="54"/>
      <x:c r="AO112" s="54"/>
      <x:c r="AP112" s="54"/>
      <x:c r="AQ112" s="54"/>
      <x:c r="AR112" s="54"/>
      <x:c r="AS112" s="54"/>
      <x:c r="AT112" s="54"/>
      <x:c r="AU112" s="54"/>
      <x:c r="AV112" s="54"/>
      <x:c r="AW112" s="54"/>
    </x:row>
    <x:row r="113">
      <x:c r="A113" s="54"/>
      <x:c r="B113" s="54"/>
      <x:c r="C113" s="54"/>
      <x:c r="D113" s="54"/>
      <x:c r="E113" s="54"/>
      <x:c r="F113" s="54"/>
      <x:c r="G113" s="54"/>
      <x:c r="H113" s="54"/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  <x:c r="AA113" s="54"/>
      <x:c r="AB113" s="54"/>
      <x:c r="AC113" s="54"/>
      <x:c r="AD113" s="54"/>
      <x:c r="AE113" s="54"/>
      <x:c r="AF113" s="54"/>
      <x:c r="AG113" s="54"/>
      <x:c r="AH113" s="54"/>
      <x:c r="AI113" s="54"/>
      <x:c r="AJ113" s="54"/>
      <x:c r="AK113" s="54"/>
      <x:c r="AL113" s="54"/>
      <x:c r="AM113" s="54"/>
      <x:c r="AN113" s="54"/>
      <x:c r="AO113" s="54"/>
      <x:c r="AP113" s="54"/>
      <x:c r="AQ113" s="54"/>
      <x:c r="AR113" s="54"/>
      <x:c r="AS113" s="54"/>
      <x:c r="AT113" s="54"/>
      <x:c r="AU113" s="54"/>
      <x:c r="AV113" s="54"/>
      <x:c r="AW113" s="54"/>
    </x:row>
    <x:row r="114">
      <x:c r="A114" s="54"/>
      <x:c r="B114" s="54"/>
      <x:c r="C114" s="54"/>
      <x:c r="D114" s="54"/>
      <x:c r="E114" s="54"/>
      <x:c r="F114" s="54"/>
      <x:c r="G114" s="54"/>
      <x:c r="H114" s="54"/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  <x:c r="AA114" s="54"/>
      <x:c r="AB114" s="54"/>
      <x:c r="AC114" s="54"/>
      <x:c r="AD114" s="54"/>
      <x:c r="AE114" s="54"/>
      <x:c r="AF114" s="54"/>
      <x:c r="AG114" s="54"/>
      <x:c r="AH114" s="54"/>
      <x:c r="AI114" s="54"/>
      <x:c r="AJ114" s="54"/>
      <x:c r="AK114" s="54"/>
      <x:c r="AL114" s="54"/>
      <x:c r="AM114" s="54"/>
      <x:c r="AN114" s="54"/>
      <x:c r="AO114" s="54"/>
      <x:c r="AP114" s="54"/>
      <x:c r="AQ114" s="54"/>
      <x:c r="AR114" s="54"/>
      <x:c r="AS114" s="54"/>
      <x:c r="AT114" s="54"/>
      <x:c r="AU114" s="54"/>
      <x:c r="AV114" s="54"/>
      <x:c r="AW114" s="54"/>
    </x:row>
    <x:row r="115">
      <x:c r="A115" s="54"/>
      <x:c r="B115" s="54"/>
      <x:c r="C115" s="54"/>
      <x:c r="D115" s="54"/>
      <x:c r="E115" s="54"/>
      <x:c r="F115" s="54"/>
      <x:c r="G115" s="54"/>
      <x:c r="H115" s="54"/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  <x:c r="AA115" s="54"/>
      <x:c r="AB115" s="54"/>
      <x:c r="AC115" s="54"/>
      <x:c r="AD115" s="54"/>
      <x:c r="AE115" s="54"/>
      <x:c r="AF115" s="54"/>
      <x:c r="AG115" s="54"/>
      <x:c r="AH115" s="54"/>
      <x:c r="AI115" s="54"/>
      <x:c r="AJ115" s="54"/>
      <x:c r="AK115" s="54"/>
      <x:c r="AL115" s="54"/>
      <x:c r="AM115" s="54"/>
      <x:c r="AN115" s="54"/>
      <x:c r="AO115" s="54"/>
      <x:c r="AP115" s="54"/>
      <x:c r="AQ115" s="54"/>
      <x:c r="AR115" s="54"/>
      <x:c r="AS115" s="54"/>
      <x:c r="AT115" s="54"/>
      <x:c r="AU115" s="54"/>
      <x:c r="AV115" s="54"/>
      <x:c r="AW115" s="54"/>
    </x:row>
    <x:row r="116">
      <x:c r="A116" s="54"/>
      <x:c r="B116" s="54"/>
      <x:c r="C116" s="54"/>
      <x:c r="D116" s="54"/>
      <x:c r="E116" s="54"/>
      <x:c r="F116" s="54"/>
      <x:c r="G116" s="54"/>
      <x:c r="H116" s="54"/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  <x:c r="AA116" s="54"/>
      <x:c r="AB116" s="54"/>
      <x:c r="AC116" s="54"/>
      <x:c r="AD116" s="54"/>
      <x:c r="AE116" s="54"/>
      <x:c r="AF116" s="54"/>
      <x:c r="AG116" s="54"/>
      <x:c r="AH116" s="54"/>
      <x:c r="AI116" s="54"/>
      <x:c r="AJ116" s="54"/>
      <x:c r="AK116" s="54"/>
      <x:c r="AL116" s="54"/>
      <x:c r="AM116" s="54"/>
      <x:c r="AN116" s="54"/>
      <x:c r="AO116" s="54"/>
      <x:c r="AP116" s="54"/>
      <x:c r="AQ116" s="54"/>
      <x:c r="AR116" s="54"/>
      <x:c r="AS116" s="54"/>
      <x:c r="AT116" s="54"/>
      <x:c r="AU116" s="54"/>
      <x:c r="AV116" s="54"/>
      <x:c r="AW116" s="54"/>
    </x:row>
    <x:row r="117">
      <x:c r="A117" s="54"/>
      <x:c r="B117" s="54"/>
      <x:c r="C117" s="54"/>
      <x:c r="D117" s="54"/>
      <x:c r="E117" s="54"/>
      <x:c r="F117" s="54"/>
      <x:c r="G117" s="54"/>
      <x:c r="H117" s="54"/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  <x:c r="AA117" s="54"/>
      <x:c r="AB117" s="54"/>
      <x:c r="AC117" s="54"/>
      <x:c r="AD117" s="54"/>
      <x:c r="AE117" s="54"/>
      <x:c r="AF117" s="54"/>
      <x:c r="AG117" s="54"/>
      <x:c r="AH117" s="54"/>
      <x:c r="AI117" s="54"/>
      <x:c r="AJ117" s="54"/>
      <x:c r="AK117" s="54"/>
      <x:c r="AL117" s="54"/>
      <x:c r="AM117" s="54"/>
      <x:c r="AN117" s="54"/>
      <x:c r="AO117" s="54"/>
      <x:c r="AP117" s="54"/>
      <x:c r="AQ117" s="54"/>
      <x:c r="AR117" s="54"/>
      <x:c r="AS117" s="54"/>
      <x:c r="AT117" s="54"/>
      <x:c r="AU117" s="54"/>
      <x:c r="AV117" s="54"/>
      <x:c r="AW117" s="54"/>
    </x:row>
    <x:row r="118">
      <x:c r="A118" s="54"/>
      <x:c r="B118" s="54"/>
      <x:c r="C118" s="54"/>
      <x:c r="D118" s="54"/>
      <x:c r="E118" s="54"/>
      <x:c r="F118" s="54"/>
      <x:c r="G118" s="54"/>
      <x:c r="H118" s="54"/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  <x:c r="AA118" s="54"/>
      <x:c r="AB118" s="54"/>
      <x:c r="AC118" s="54"/>
      <x:c r="AD118" s="54"/>
      <x:c r="AE118" s="54"/>
      <x:c r="AF118" s="54"/>
      <x:c r="AG118" s="54"/>
      <x:c r="AH118" s="54"/>
      <x:c r="AI118" s="54"/>
      <x:c r="AJ118" s="54"/>
      <x:c r="AK118" s="54"/>
      <x:c r="AL118" s="54"/>
      <x:c r="AM118" s="54"/>
      <x:c r="AN118" s="54"/>
      <x:c r="AO118" s="54"/>
      <x:c r="AP118" s="54"/>
      <x:c r="AQ118" s="54"/>
      <x:c r="AR118" s="54"/>
      <x:c r="AS118" s="54"/>
      <x:c r="AT118" s="54"/>
      <x:c r="AU118" s="54"/>
      <x:c r="AV118" s="54"/>
      <x:c r="AW118" s="54"/>
    </x:row>
    <x:row r="119">
      <x:c r="A119" s="54"/>
      <x:c r="B119" s="54"/>
      <x:c r="C119" s="54"/>
      <x:c r="D119" s="54"/>
      <x:c r="E119" s="54"/>
      <x:c r="F119" s="54"/>
      <x:c r="G119" s="54"/>
      <x:c r="H119" s="54"/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  <x:c r="AA119" s="54"/>
      <x:c r="AB119" s="54"/>
      <x:c r="AC119" s="54"/>
      <x:c r="AD119" s="54"/>
      <x:c r="AE119" s="54"/>
      <x:c r="AF119" s="54"/>
      <x:c r="AG119" s="54"/>
      <x:c r="AH119" s="54"/>
      <x:c r="AI119" s="54"/>
      <x:c r="AJ119" s="54"/>
      <x:c r="AK119" s="54"/>
      <x:c r="AL119" s="54"/>
      <x:c r="AM119" s="54"/>
      <x:c r="AN119" s="54"/>
      <x:c r="AO119" s="54"/>
      <x:c r="AP119" s="54"/>
      <x:c r="AQ119" s="54"/>
      <x:c r="AR119" s="54"/>
      <x:c r="AS119" s="54"/>
      <x:c r="AT119" s="54"/>
      <x:c r="AU119" s="54"/>
      <x:c r="AV119" s="54"/>
      <x:c r="AW119" s="54"/>
    </x:row>
    <x:row r="120">
      <x:c r="A120" s="54"/>
      <x:c r="B120" s="54"/>
      <x:c r="C120" s="54"/>
      <x:c r="D120" s="54"/>
      <x:c r="E120" s="54"/>
      <x:c r="F120" s="54"/>
      <x:c r="G120" s="54"/>
      <x:c r="H120" s="54"/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  <x:c r="AA120" s="54"/>
      <x:c r="AB120" s="54"/>
      <x:c r="AC120" s="54"/>
      <x:c r="AD120" s="54"/>
      <x:c r="AE120" s="54"/>
      <x:c r="AF120" s="54"/>
      <x:c r="AG120" s="54"/>
      <x:c r="AH120" s="54"/>
      <x:c r="AI120" s="54"/>
      <x:c r="AJ120" s="54"/>
      <x:c r="AK120" s="54"/>
      <x:c r="AL120" s="54"/>
      <x:c r="AM120" s="54"/>
      <x:c r="AN120" s="54"/>
      <x:c r="AO120" s="54"/>
      <x:c r="AP120" s="54"/>
      <x:c r="AQ120" s="54"/>
      <x:c r="AR120" s="54"/>
      <x:c r="AS120" s="54"/>
      <x:c r="AT120" s="54"/>
      <x:c r="AU120" s="54"/>
      <x:c r="AV120" s="54"/>
      <x:c r="AW120" s="54"/>
    </x:row>
    <x:row r="121">
      <x:c r="A121" s="54"/>
      <x:c r="B121" s="54"/>
      <x:c r="C121" s="54"/>
      <x:c r="D121" s="54"/>
      <x:c r="E121" s="54"/>
      <x:c r="F121" s="54"/>
      <x:c r="G121" s="54"/>
      <x:c r="H121" s="54"/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  <x:c r="AA121" s="54"/>
      <x:c r="AB121" s="54"/>
      <x:c r="AC121" s="54"/>
      <x:c r="AD121" s="54"/>
      <x:c r="AE121" s="54"/>
      <x:c r="AF121" s="54"/>
      <x:c r="AG121" s="54"/>
      <x:c r="AH121" s="54"/>
      <x:c r="AI121" s="54"/>
      <x:c r="AJ121" s="54"/>
      <x:c r="AK121" s="54"/>
      <x:c r="AL121" s="54"/>
      <x:c r="AM121" s="54"/>
      <x:c r="AN121" s="54"/>
      <x:c r="AO121" s="54"/>
      <x:c r="AP121" s="54"/>
      <x:c r="AQ121" s="54"/>
      <x:c r="AR121" s="54"/>
      <x:c r="AS121" s="54"/>
      <x:c r="AT121" s="54"/>
      <x:c r="AU121" s="54"/>
      <x:c r="AV121" s="54"/>
      <x:c r="AW121" s="54"/>
    </x:row>
    <x:row r="122">
      <x:c r="A122" s="54"/>
      <x:c r="B122" s="54"/>
      <x:c r="C122" s="54"/>
      <x:c r="D122" s="54"/>
      <x:c r="E122" s="54"/>
      <x:c r="F122" s="54"/>
      <x:c r="G122" s="54"/>
      <x:c r="H122" s="54"/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  <x:c r="AA122" s="54"/>
      <x:c r="AB122" s="54"/>
      <x:c r="AC122" s="54"/>
      <x:c r="AD122" s="54"/>
      <x:c r="AE122" s="54"/>
      <x:c r="AF122" s="54"/>
      <x:c r="AG122" s="54"/>
      <x:c r="AH122" s="54"/>
      <x:c r="AI122" s="54"/>
      <x:c r="AJ122" s="54"/>
      <x:c r="AK122" s="54"/>
      <x:c r="AL122" s="54"/>
      <x:c r="AM122" s="54"/>
      <x:c r="AN122" s="54"/>
      <x:c r="AO122" s="54"/>
      <x:c r="AP122" s="54"/>
      <x:c r="AQ122" s="54"/>
      <x:c r="AR122" s="54"/>
      <x:c r="AS122" s="54"/>
      <x:c r="AT122" s="54"/>
      <x:c r="AU122" s="54"/>
      <x:c r="AV122" s="54"/>
      <x:c r="AW122" s="54"/>
    </x:row>
    <x:row r="123">
      <x:c r="A123" s="54"/>
      <x:c r="B123" s="54"/>
      <x:c r="C123" s="54"/>
      <x:c r="D123" s="54"/>
      <x:c r="E123" s="54"/>
      <x:c r="F123" s="54"/>
      <x:c r="G123" s="54"/>
      <x:c r="H123" s="54"/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  <x:c r="AA123" s="54"/>
      <x:c r="AB123" s="54"/>
      <x:c r="AC123" s="54"/>
      <x:c r="AD123" s="54"/>
      <x:c r="AE123" s="54"/>
      <x:c r="AF123" s="54"/>
      <x:c r="AG123" s="54"/>
      <x:c r="AH123" s="54"/>
      <x:c r="AI123" s="54"/>
      <x:c r="AJ123" s="54"/>
      <x:c r="AK123" s="54"/>
      <x:c r="AL123" s="54"/>
      <x:c r="AM123" s="54"/>
      <x:c r="AN123" s="54"/>
      <x:c r="AO123" s="54"/>
      <x:c r="AP123" s="54"/>
      <x:c r="AQ123" s="54"/>
      <x:c r="AR123" s="54"/>
      <x:c r="AS123" s="54"/>
      <x:c r="AT123" s="54"/>
      <x:c r="AU123" s="54"/>
      <x:c r="AV123" s="54"/>
      <x:c r="AW123" s="54"/>
    </x:row>
    <x:row r="124">
      <x:c r="A124" s="54"/>
      <x:c r="B124" s="54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  <x:c r="AA124" s="54"/>
      <x:c r="AB124" s="54"/>
      <x:c r="AC124" s="54"/>
      <x:c r="AD124" s="54"/>
      <x:c r="AE124" s="54"/>
      <x:c r="AF124" s="54"/>
      <x:c r="AG124" s="54"/>
      <x:c r="AH124" s="54"/>
      <x:c r="AI124" s="54"/>
      <x:c r="AJ124" s="54"/>
      <x:c r="AK124" s="54"/>
      <x:c r="AL124" s="54"/>
      <x:c r="AM124" s="54"/>
      <x:c r="AN124" s="54"/>
      <x:c r="AO124" s="54"/>
      <x:c r="AP124" s="54"/>
      <x:c r="AQ124" s="54"/>
      <x:c r="AR124" s="54"/>
      <x:c r="AS124" s="54"/>
      <x:c r="AT124" s="54"/>
      <x:c r="AU124" s="54"/>
      <x:c r="AV124" s="54"/>
      <x:c r="AW124" s="54"/>
    </x:row>
    <x:row r="125">
      <x:c r="A125" s="54"/>
      <x:c r="B125" s="54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  <x:c r="AA125" s="54"/>
      <x:c r="AB125" s="54"/>
      <x:c r="AC125" s="54"/>
      <x:c r="AD125" s="54"/>
      <x:c r="AE125" s="54"/>
      <x:c r="AF125" s="54"/>
      <x:c r="AG125" s="54"/>
      <x:c r="AH125" s="54"/>
      <x:c r="AI125" s="54"/>
      <x:c r="AJ125" s="54"/>
      <x:c r="AK125" s="54"/>
      <x:c r="AL125" s="54"/>
      <x:c r="AM125" s="54"/>
      <x:c r="AN125" s="54"/>
      <x:c r="AO125" s="54"/>
      <x:c r="AP125" s="54"/>
      <x:c r="AQ125" s="54"/>
      <x:c r="AR125" s="54"/>
      <x:c r="AS125" s="54"/>
      <x:c r="AT125" s="54"/>
      <x:c r="AU125" s="54"/>
      <x:c r="AV125" s="54"/>
      <x:c r="AW125" s="54"/>
    </x:row>
    <x:row r="126">
      <x:c r="A126" s="54"/>
      <x:c r="B126" s="54"/>
      <x:c r="C126" s="54"/>
      <x:c r="D126" s="54"/>
      <x:c r="E126" s="54"/>
      <x:c r="F126" s="54"/>
      <x:c r="G126" s="54"/>
      <x:c r="H126" s="54"/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  <x:c r="AA126" s="54"/>
      <x:c r="AB126" s="54"/>
      <x:c r="AC126" s="54"/>
      <x:c r="AD126" s="54"/>
      <x:c r="AE126" s="54"/>
      <x:c r="AF126" s="54"/>
      <x:c r="AG126" s="54"/>
      <x:c r="AH126" s="54"/>
      <x:c r="AI126" s="54"/>
      <x:c r="AJ126" s="54"/>
      <x:c r="AK126" s="54"/>
      <x:c r="AL126" s="54"/>
      <x:c r="AM126" s="54"/>
      <x:c r="AN126" s="54"/>
      <x:c r="AO126" s="54"/>
      <x:c r="AP126" s="54"/>
      <x:c r="AQ126" s="54"/>
      <x:c r="AR126" s="54"/>
      <x:c r="AS126" s="54"/>
      <x:c r="AT126" s="54"/>
      <x:c r="AU126" s="54"/>
      <x:c r="AV126" s="54"/>
      <x:c r="AW126" s="54"/>
    </x:row>
    <x:row r="127">
      <x:c r="A127" s="54"/>
      <x:c r="B127" s="54"/>
      <x:c r="C127" s="54"/>
      <x:c r="D127" s="54"/>
      <x:c r="E127" s="54"/>
      <x:c r="F127" s="54"/>
      <x:c r="G127" s="54"/>
      <x:c r="H127" s="54"/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  <x:c r="AA127" s="54"/>
      <x:c r="AB127" s="54"/>
      <x:c r="AC127" s="54"/>
      <x:c r="AD127" s="54"/>
      <x:c r="AE127" s="54"/>
      <x:c r="AF127" s="54"/>
      <x:c r="AG127" s="54"/>
      <x:c r="AH127" s="54"/>
      <x:c r="AI127" s="54"/>
      <x:c r="AJ127" s="54"/>
      <x:c r="AK127" s="54"/>
      <x:c r="AL127" s="54"/>
      <x:c r="AM127" s="54"/>
      <x:c r="AN127" s="54"/>
      <x:c r="AO127" s="54"/>
      <x:c r="AP127" s="54"/>
      <x:c r="AQ127" s="54"/>
      <x:c r="AR127" s="54"/>
      <x:c r="AS127" s="54"/>
      <x:c r="AT127" s="54"/>
      <x:c r="AU127" s="54"/>
      <x:c r="AV127" s="54"/>
      <x:c r="AW127" s="54"/>
    </x:row>
    <x:row r="128">
      <x:c r="A128" s="54"/>
      <x:c r="B128" s="54"/>
      <x:c r="C128" s="54"/>
      <x:c r="D128" s="54"/>
      <x:c r="E128" s="54"/>
      <x:c r="F128" s="54"/>
      <x:c r="G128" s="54"/>
      <x:c r="H128" s="54"/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  <x:c r="AA128" s="54"/>
      <x:c r="AB128" s="54"/>
      <x:c r="AC128" s="54"/>
      <x:c r="AD128" s="54"/>
      <x:c r="AE128" s="54"/>
      <x:c r="AF128" s="54"/>
      <x:c r="AG128" s="54"/>
      <x:c r="AH128" s="54"/>
      <x:c r="AI128" s="54"/>
      <x:c r="AJ128" s="54"/>
      <x:c r="AK128" s="54"/>
      <x:c r="AL128" s="54"/>
      <x:c r="AM128" s="54"/>
      <x:c r="AN128" s="54"/>
      <x:c r="AO128" s="54"/>
      <x:c r="AP128" s="54"/>
      <x:c r="AQ128" s="54"/>
      <x:c r="AR128" s="54"/>
      <x:c r="AS128" s="54"/>
      <x:c r="AT128" s="54"/>
      <x:c r="AU128" s="54"/>
      <x:c r="AV128" s="54"/>
      <x:c r="AW128" s="54"/>
    </x:row>
    <x:row r="129">
      <x:c r="A129" s="54"/>
      <x:c r="B129" s="54"/>
      <x:c r="C129" s="54"/>
      <x:c r="D129" s="54"/>
      <x:c r="E129" s="54"/>
      <x:c r="F129" s="54"/>
      <x:c r="G129" s="54"/>
      <x:c r="H129" s="54"/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  <x:c r="AA129" s="54"/>
      <x:c r="AB129" s="54"/>
      <x:c r="AC129" s="54"/>
      <x:c r="AD129" s="54"/>
      <x:c r="AE129" s="54"/>
      <x:c r="AF129" s="54"/>
      <x:c r="AG129" s="54"/>
      <x:c r="AH129" s="54"/>
      <x:c r="AI129" s="54"/>
      <x:c r="AJ129" s="54"/>
      <x:c r="AK129" s="54"/>
      <x:c r="AL129" s="54"/>
      <x:c r="AM129" s="54"/>
      <x:c r="AN129" s="54"/>
      <x:c r="AO129" s="54"/>
      <x:c r="AP129" s="54"/>
      <x:c r="AQ129" s="54"/>
      <x:c r="AR129" s="54"/>
      <x:c r="AS129" s="54"/>
      <x:c r="AT129" s="54"/>
      <x:c r="AU129" s="54"/>
      <x:c r="AV129" s="54"/>
      <x:c r="AW129" s="54"/>
    </x:row>
    <x:row r="130">
      <x:c r="A130" s="54"/>
      <x:c r="B130" s="54"/>
      <x:c r="C130" s="54"/>
      <x:c r="D130" s="54"/>
      <x:c r="E130" s="54"/>
      <x:c r="F130" s="54"/>
      <x:c r="G130" s="54"/>
      <x:c r="H130" s="54"/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  <x:c r="AA130" s="54"/>
      <x:c r="AB130" s="54"/>
      <x:c r="AC130" s="54"/>
      <x:c r="AD130" s="54"/>
      <x:c r="AE130" s="54"/>
      <x:c r="AF130" s="54"/>
      <x:c r="AG130" s="54"/>
      <x:c r="AH130" s="54"/>
      <x:c r="AI130" s="54"/>
      <x:c r="AJ130" s="54"/>
      <x:c r="AK130" s="54"/>
      <x:c r="AL130" s="54"/>
      <x:c r="AM130" s="54"/>
      <x:c r="AN130" s="54"/>
      <x:c r="AO130" s="54"/>
      <x:c r="AP130" s="54"/>
      <x:c r="AQ130" s="54"/>
      <x:c r="AR130" s="54"/>
      <x:c r="AS130" s="54"/>
      <x:c r="AT130" s="54"/>
      <x:c r="AU130" s="54"/>
      <x:c r="AV130" s="54"/>
      <x:c r="AW130" s="54"/>
    </x:row>
    <x:row r="131">
      <x:c r="A131" s="54"/>
      <x:c r="B131" s="54"/>
      <x:c r="C131" s="54"/>
      <x:c r="D131" s="54"/>
      <x:c r="E131" s="54"/>
      <x:c r="F131" s="54"/>
      <x:c r="G131" s="54"/>
      <x:c r="H131" s="54"/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  <x:c r="AA131" s="54"/>
      <x:c r="AB131" s="54"/>
      <x:c r="AC131" s="54"/>
      <x:c r="AD131" s="54"/>
      <x:c r="AE131" s="54"/>
      <x:c r="AF131" s="54"/>
      <x:c r="AG131" s="54"/>
      <x:c r="AH131" s="54"/>
      <x:c r="AI131" s="54"/>
      <x:c r="AJ131" s="54"/>
      <x:c r="AK131" s="54"/>
      <x:c r="AL131" s="54"/>
      <x:c r="AM131" s="54"/>
      <x:c r="AN131" s="54"/>
      <x:c r="AO131" s="54"/>
      <x:c r="AP131" s="54"/>
      <x:c r="AQ131" s="54"/>
      <x:c r="AR131" s="54"/>
      <x:c r="AS131" s="54"/>
      <x:c r="AT131" s="54"/>
      <x:c r="AU131" s="54"/>
      <x:c r="AV131" s="54"/>
      <x:c r="AW131" s="54"/>
    </x:row>
    <x:row r="132">
      <x:c r="A132" s="54"/>
      <x:c r="B132" s="54"/>
      <x:c r="C132" s="54"/>
      <x:c r="D132" s="54"/>
      <x:c r="E132" s="54"/>
      <x:c r="F132" s="54"/>
      <x:c r="G132" s="54"/>
      <x:c r="H132" s="54"/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  <x:c r="AA132" s="54"/>
      <x:c r="AB132" s="54"/>
      <x:c r="AC132" s="54"/>
      <x:c r="AD132" s="54"/>
      <x:c r="AE132" s="54"/>
      <x:c r="AF132" s="54"/>
      <x:c r="AG132" s="54"/>
      <x:c r="AH132" s="54"/>
      <x:c r="AI132" s="54"/>
      <x:c r="AJ132" s="54"/>
      <x:c r="AK132" s="54"/>
      <x:c r="AL132" s="54"/>
      <x:c r="AM132" s="54"/>
      <x:c r="AN132" s="54"/>
      <x:c r="AO132" s="54"/>
      <x:c r="AP132" s="54"/>
      <x:c r="AQ132" s="54"/>
      <x:c r="AR132" s="54"/>
      <x:c r="AS132" s="54"/>
      <x:c r="AT132" s="54"/>
      <x:c r="AU132" s="54"/>
      <x:c r="AV132" s="54"/>
      <x:c r="AW132" s="54"/>
    </x:row>
    <x:row r="133">
      <x:c r="A133" s="54"/>
      <x:c r="B133" s="54"/>
      <x:c r="C133" s="54"/>
      <x:c r="D133" s="54"/>
      <x:c r="E133" s="54"/>
      <x:c r="F133" s="54"/>
      <x:c r="G133" s="54"/>
      <x:c r="H133" s="54"/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  <x:c r="AA133" s="54"/>
      <x:c r="AB133" s="54"/>
      <x:c r="AC133" s="54"/>
      <x:c r="AD133" s="54"/>
      <x:c r="AE133" s="54"/>
      <x:c r="AF133" s="54"/>
      <x:c r="AG133" s="54"/>
      <x:c r="AH133" s="54"/>
      <x:c r="AI133" s="54"/>
      <x:c r="AJ133" s="54"/>
      <x:c r="AK133" s="54"/>
      <x:c r="AL133" s="54"/>
      <x:c r="AM133" s="54"/>
      <x:c r="AN133" s="54"/>
      <x:c r="AO133" s="54"/>
      <x:c r="AP133" s="54"/>
      <x:c r="AQ133" s="54"/>
      <x:c r="AR133" s="54"/>
      <x:c r="AS133" s="54"/>
      <x:c r="AT133" s="54"/>
      <x:c r="AU133" s="54"/>
      <x:c r="AV133" s="54"/>
      <x:c r="AW133" s="54"/>
    </x:row>
    <x:row r="134">
      <x:c r="A134" s="54"/>
      <x:c r="B134" s="54"/>
      <x:c r="C134" s="54"/>
      <x:c r="D134" s="54"/>
      <x:c r="E134" s="54"/>
      <x:c r="F134" s="54"/>
      <x:c r="G134" s="54"/>
      <x:c r="H134" s="54"/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  <x:c r="AA134" s="54"/>
      <x:c r="AB134" s="54"/>
      <x:c r="AC134" s="54"/>
      <x:c r="AD134" s="54"/>
      <x:c r="AE134" s="54"/>
      <x:c r="AF134" s="54"/>
      <x:c r="AG134" s="54"/>
      <x:c r="AH134" s="54"/>
      <x:c r="AI134" s="54"/>
      <x:c r="AJ134" s="54"/>
      <x:c r="AK134" s="54"/>
      <x:c r="AL134" s="54"/>
      <x:c r="AM134" s="54"/>
      <x:c r="AN134" s="54"/>
      <x:c r="AO134" s="54"/>
      <x:c r="AP134" s="54"/>
      <x:c r="AQ134" s="54"/>
      <x:c r="AR134" s="54"/>
      <x:c r="AS134" s="54"/>
      <x:c r="AT134" s="54"/>
      <x:c r="AU134" s="54"/>
      <x:c r="AV134" s="54"/>
      <x:c r="AW134" s="54"/>
    </x:row>
    <x:row r="135">
      <x:c r="A135" s="54"/>
      <x:c r="B135" s="54"/>
      <x:c r="C135" s="54"/>
      <x:c r="D135" s="54"/>
      <x:c r="E135" s="54"/>
      <x:c r="F135" s="54"/>
      <x:c r="G135" s="54"/>
      <x:c r="H135" s="54"/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  <x:c r="AA135" s="54"/>
      <x:c r="AB135" s="54"/>
      <x:c r="AC135" s="54"/>
      <x:c r="AD135" s="54"/>
      <x:c r="AE135" s="54"/>
      <x:c r="AF135" s="54"/>
      <x:c r="AG135" s="54"/>
      <x:c r="AH135" s="54"/>
      <x:c r="AI135" s="54"/>
      <x:c r="AJ135" s="54"/>
      <x:c r="AK135" s="54"/>
      <x:c r="AL135" s="54"/>
      <x:c r="AM135" s="54"/>
      <x:c r="AN135" s="54"/>
      <x:c r="AO135" s="54"/>
      <x:c r="AP135" s="54"/>
      <x:c r="AQ135" s="54"/>
      <x:c r="AR135" s="54"/>
      <x:c r="AS135" s="54"/>
      <x:c r="AT135" s="54"/>
      <x:c r="AU135" s="54"/>
      <x:c r="AV135" s="54"/>
      <x:c r="AW135" s="54"/>
    </x:row>
    <x:row r="136">
      <x:c r="A136" s="54"/>
      <x:c r="B136" s="54"/>
      <x:c r="C136" s="54"/>
      <x:c r="D136" s="54"/>
      <x:c r="E136" s="54"/>
      <x:c r="F136" s="54"/>
      <x:c r="G136" s="54"/>
      <x:c r="H136" s="54"/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  <x:c r="AA136" s="54"/>
      <x:c r="AB136" s="54"/>
      <x:c r="AC136" s="54"/>
      <x:c r="AD136" s="54"/>
      <x:c r="AE136" s="54"/>
      <x:c r="AF136" s="54"/>
      <x:c r="AG136" s="54"/>
      <x:c r="AH136" s="54"/>
      <x:c r="AI136" s="54"/>
      <x:c r="AJ136" s="54"/>
      <x:c r="AK136" s="54"/>
      <x:c r="AL136" s="54"/>
      <x:c r="AM136" s="54"/>
      <x:c r="AN136" s="54"/>
      <x:c r="AO136" s="54"/>
      <x:c r="AP136" s="54"/>
      <x:c r="AQ136" s="54"/>
      <x:c r="AR136" s="54"/>
      <x:c r="AS136" s="54"/>
      <x:c r="AT136" s="54"/>
      <x:c r="AU136" s="54"/>
      <x:c r="AV136" s="54"/>
      <x:c r="AW136" s="54"/>
    </x:row>
    <x:row r="137">
      <x:c r="A137" s="54"/>
      <x:c r="B137" s="54"/>
      <x:c r="C137" s="54"/>
      <x:c r="D137" s="54"/>
      <x:c r="E137" s="54"/>
      <x:c r="F137" s="54"/>
      <x:c r="G137" s="54"/>
      <x:c r="H137" s="54"/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  <x:c r="AA137" s="54"/>
      <x:c r="AB137" s="54"/>
      <x:c r="AC137" s="54"/>
      <x:c r="AD137" s="54"/>
      <x:c r="AE137" s="54"/>
      <x:c r="AF137" s="54"/>
      <x:c r="AG137" s="54"/>
      <x:c r="AH137" s="54"/>
      <x:c r="AI137" s="54"/>
      <x:c r="AJ137" s="54"/>
      <x:c r="AK137" s="54"/>
      <x:c r="AL137" s="54"/>
      <x:c r="AM137" s="54"/>
      <x:c r="AN137" s="54"/>
      <x:c r="AO137" s="54"/>
      <x:c r="AP137" s="54"/>
      <x:c r="AQ137" s="54"/>
      <x:c r="AR137" s="54"/>
      <x:c r="AS137" s="54"/>
      <x:c r="AT137" s="54"/>
      <x:c r="AU137" s="54"/>
      <x:c r="AV137" s="54"/>
      <x:c r="AW137" s="54"/>
    </x:row>
    <x:row r="138">
      <x:c r="A138" s="54"/>
      <x:c r="B138" s="54"/>
      <x:c r="C138" s="54"/>
      <x:c r="D138" s="54"/>
      <x:c r="E138" s="54"/>
      <x:c r="F138" s="54"/>
      <x:c r="G138" s="54"/>
      <x:c r="H138" s="54"/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  <x:c r="AA138" s="54"/>
      <x:c r="AB138" s="54"/>
      <x:c r="AC138" s="54"/>
      <x:c r="AD138" s="54"/>
      <x:c r="AE138" s="54"/>
      <x:c r="AF138" s="54"/>
      <x:c r="AG138" s="54"/>
      <x:c r="AH138" s="54"/>
      <x:c r="AI138" s="54"/>
      <x:c r="AJ138" s="54"/>
      <x:c r="AK138" s="54"/>
      <x:c r="AL138" s="54"/>
      <x:c r="AM138" s="54"/>
      <x:c r="AN138" s="54"/>
      <x:c r="AO138" s="54"/>
      <x:c r="AP138" s="54"/>
      <x:c r="AQ138" s="54"/>
      <x:c r="AR138" s="54"/>
      <x:c r="AS138" s="54"/>
      <x:c r="AT138" s="54"/>
      <x:c r="AU138" s="54"/>
      <x:c r="AV138" s="54"/>
      <x:c r="AW138" s="54"/>
    </x:row>
    <x:row r="139">
      <x:c r="A139" s="54"/>
      <x:c r="B139" s="54"/>
      <x:c r="C139" s="54"/>
      <x:c r="D139" s="54"/>
      <x:c r="E139" s="54"/>
      <x:c r="F139" s="54"/>
      <x:c r="G139" s="54"/>
      <x:c r="H139" s="54"/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  <x:c r="AA139" s="54"/>
      <x:c r="AB139" s="54"/>
      <x:c r="AC139" s="54"/>
      <x:c r="AD139" s="54"/>
      <x:c r="AE139" s="54"/>
      <x:c r="AF139" s="54"/>
      <x:c r="AG139" s="54"/>
      <x:c r="AH139" s="54"/>
      <x:c r="AI139" s="54"/>
      <x:c r="AJ139" s="54"/>
      <x:c r="AK139" s="54"/>
      <x:c r="AL139" s="54"/>
      <x:c r="AM139" s="54"/>
      <x:c r="AN139" s="54"/>
      <x:c r="AO139" s="54"/>
      <x:c r="AP139" s="54"/>
      <x:c r="AQ139" s="54"/>
      <x:c r="AR139" s="54"/>
      <x:c r="AS139" s="54"/>
      <x:c r="AT139" s="54"/>
      <x:c r="AU139" s="54"/>
      <x:c r="AV139" s="54"/>
      <x:c r="AW139" s="54"/>
    </x:row>
    <x:row r="140">
      <x:c r="A140" s="54"/>
      <x:c r="B140" s="54"/>
      <x:c r="C140" s="54"/>
      <x:c r="D140" s="54"/>
      <x:c r="E140" s="54"/>
      <x:c r="F140" s="54"/>
      <x:c r="G140" s="54"/>
      <x:c r="H140" s="54"/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  <x:c r="AA140" s="54"/>
      <x:c r="AB140" s="54"/>
      <x:c r="AC140" s="54"/>
      <x:c r="AD140" s="54"/>
      <x:c r="AE140" s="54"/>
      <x:c r="AF140" s="54"/>
      <x:c r="AG140" s="54"/>
      <x:c r="AH140" s="54"/>
      <x:c r="AI140" s="54"/>
      <x:c r="AJ140" s="54"/>
      <x:c r="AK140" s="54"/>
      <x:c r="AL140" s="54"/>
      <x:c r="AM140" s="54"/>
      <x:c r="AN140" s="54"/>
      <x:c r="AO140" s="54"/>
      <x:c r="AP140" s="54"/>
      <x:c r="AQ140" s="54"/>
      <x:c r="AR140" s="54"/>
      <x:c r="AS140" s="54"/>
      <x:c r="AT140" s="54"/>
      <x:c r="AU140" s="54"/>
      <x:c r="AV140" s="54"/>
      <x:c r="AW140" s="54"/>
    </x:row>
    <x:row r="141">
      <x:c r="A141" s="54"/>
      <x:c r="B141" s="54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  <x:c r="AA141" s="54"/>
      <x:c r="AB141" s="54"/>
      <x:c r="AC141" s="54"/>
      <x:c r="AD141" s="54"/>
      <x:c r="AE141" s="54"/>
      <x:c r="AF141" s="54"/>
      <x:c r="AG141" s="54"/>
      <x:c r="AH141" s="54"/>
      <x:c r="AI141" s="54"/>
      <x:c r="AJ141" s="54"/>
      <x:c r="AK141" s="54"/>
      <x:c r="AL141" s="54"/>
      <x:c r="AM141" s="54"/>
      <x:c r="AN141" s="54"/>
      <x:c r="AO141" s="54"/>
      <x:c r="AP141" s="54"/>
      <x:c r="AQ141" s="54"/>
      <x:c r="AR141" s="54"/>
      <x:c r="AS141" s="54"/>
      <x:c r="AT141" s="54"/>
      <x:c r="AU141" s="54"/>
      <x:c r="AV141" s="54"/>
      <x:c r="AW141" s="54"/>
    </x:row>
    <x:row r="142">
      <x:c r="A142" s="54"/>
      <x:c r="B142" s="54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  <x:c r="AA142" s="54"/>
      <x:c r="AB142" s="54"/>
      <x:c r="AC142" s="54"/>
      <x:c r="AD142" s="54"/>
      <x:c r="AE142" s="54"/>
      <x:c r="AF142" s="54"/>
      <x:c r="AG142" s="54"/>
      <x:c r="AH142" s="54"/>
      <x:c r="AI142" s="54"/>
      <x:c r="AJ142" s="54"/>
      <x:c r="AK142" s="54"/>
      <x:c r="AL142" s="54"/>
      <x:c r="AM142" s="54"/>
      <x:c r="AN142" s="54"/>
      <x:c r="AO142" s="54"/>
      <x:c r="AP142" s="54"/>
      <x:c r="AQ142" s="54"/>
      <x:c r="AR142" s="54"/>
      <x:c r="AS142" s="54"/>
      <x:c r="AT142" s="54"/>
      <x:c r="AU142" s="54"/>
      <x:c r="AV142" s="54"/>
      <x:c r="AW142" s="54"/>
    </x:row>
    <x:row r="143">
      <x:c r="A143" s="54"/>
      <x:c r="B143" s="54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  <x:c r="AA143" s="54"/>
      <x:c r="AB143" s="54"/>
      <x:c r="AC143" s="54"/>
      <x:c r="AD143" s="54"/>
      <x:c r="AE143" s="54"/>
      <x:c r="AF143" s="54"/>
      <x:c r="AG143" s="54"/>
      <x:c r="AH143" s="54"/>
      <x:c r="AI143" s="54"/>
      <x:c r="AJ143" s="54"/>
      <x:c r="AK143" s="54"/>
      <x:c r="AL143" s="54"/>
      <x:c r="AM143" s="54"/>
      <x:c r="AN143" s="54"/>
      <x:c r="AO143" s="54"/>
      <x:c r="AP143" s="54"/>
      <x:c r="AQ143" s="54"/>
      <x:c r="AR143" s="54"/>
      <x:c r="AS143" s="54"/>
      <x:c r="AT143" s="54"/>
      <x:c r="AU143" s="54"/>
      <x:c r="AV143" s="54"/>
      <x:c r="AW143" s="54"/>
    </x:row>
    <x:row r="144">
      <x:c r="A144" s="54"/>
      <x:c r="B144" s="54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  <x:c r="AA144" s="54"/>
      <x:c r="AB144" s="54"/>
      <x:c r="AC144" s="54"/>
      <x:c r="AD144" s="54"/>
      <x:c r="AE144" s="54"/>
      <x:c r="AF144" s="54"/>
      <x:c r="AG144" s="54"/>
      <x:c r="AH144" s="54"/>
      <x:c r="AI144" s="54"/>
      <x:c r="AJ144" s="54"/>
      <x:c r="AK144" s="54"/>
      <x:c r="AL144" s="54"/>
      <x:c r="AM144" s="54"/>
      <x:c r="AN144" s="54"/>
      <x:c r="AO144" s="54"/>
      <x:c r="AP144" s="54"/>
      <x:c r="AQ144" s="54"/>
      <x:c r="AR144" s="54"/>
      <x:c r="AS144" s="54"/>
      <x:c r="AT144" s="54"/>
      <x:c r="AU144" s="54"/>
      <x:c r="AV144" s="54"/>
      <x:c r="AW144" s="54"/>
    </x:row>
    <x:row r="145">
      <x:c r="A145" s="54"/>
      <x:c r="B145" s="54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  <x:c r="AA145" s="54"/>
      <x:c r="AB145" s="54"/>
      <x:c r="AC145" s="54"/>
      <x:c r="AD145" s="54"/>
      <x:c r="AE145" s="54"/>
      <x:c r="AF145" s="54"/>
      <x:c r="AG145" s="54"/>
      <x:c r="AH145" s="54"/>
      <x:c r="AI145" s="54"/>
      <x:c r="AJ145" s="54"/>
      <x:c r="AK145" s="54"/>
      <x:c r="AL145" s="54"/>
      <x:c r="AM145" s="54"/>
      <x:c r="AN145" s="54"/>
      <x:c r="AO145" s="54"/>
      <x:c r="AP145" s="54"/>
      <x:c r="AQ145" s="54"/>
      <x:c r="AR145" s="54"/>
      <x:c r="AS145" s="54"/>
      <x:c r="AT145" s="54"/>
      <x:c r="AU145" s="54"/>
      <x:c r="AV145" s="54"/>
      <x:c r="AW145" s="54"/>
    </x:row>
    <x:row r="146">
      <x:c r="A146" s="54"/>
      <x:c r="B146" s="54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  <x:c r="AA146" s="54"/>
      <x:c r="AB146" s="54"/>
      <x:c r="AC146" s="54"/>
      <x:c r="AD146" s="54"/>
      <x:c r="AE146" s="54"/>
      <x:c r="AF146" s="54"/>
      <x:c r="AG146" s="54"/>
      <x:c r="AH146" s="54"/>
      <x:c r="AI146" s="54"/>
      <x:c r="AJ146" s="54"/>
      <x:c r="AK146" s="54"/>
      <x:c r="AL146" s="54"/>
      <x:c r="AM146" s="54"/>
      <x:c r="AN146" s="54"/>
      <x:c r="AO146" s="54"/>
      <x:c r="AP146" s="54"/>
      <x:c r="AQ146" s="54"/>
      <x:c r="AR146" s="54"/>
      <x:c r="AS146" s="54"/>
      <x:c r="AT146" s="54"/>
      <x:c r="AU146" s="54"/>
      <x:c r="AV146" s="54"/>
      <x:c r="AW146" s="54"/>
    </x:row>
    <x:row r="147">
      <x:c r="A147" s="54"/>
      <x:c r="B147" s="54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  <x:c r="AA147" s="54"/>
      <x:c r="AB147" s="54"/>
      <x:c r="AC147" s="54"/>
      <x:c r="AD147" s="54"/>
      <x:c r="AE147" s="54"/>
      <x:c r="AF147" s="54"/>
      <x:c r="AG147" s="54"/>
      <x:c r="AH147" s="54"/>
      <x:c r="AI147" s="54"/>
      <x:c r="AJ147" s="54"/>
      <x:c r="AK147" s="54"/>
      <x:c r="AL147" s="54"/>
      <x:c r="AM147" s="54"/>
      <x:c r="AN147" s="54"/>
      <x:c r="AO147" s="54"/>
      <x:c r="AP147" s="54"/>
      <x:c r="AQ147" s="54"/>
      <x:c r="AR147" s="54"/>
      <x:c r="AS147" s="54"/>
      <x:c r="AT147" s="54"/>
      <x:c r="AU147" s="54"/>
      <x:c r="AV147" s="54"/>
      <x:c r="AW147" s="54"/>
    </x:row>
    <x:row r="148">
      <x:c r="A148" s="54"/>
      <x:c r="B148" s="54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  <x:c r="AA148" s="54"/>
      <x:c r="AB148" s="54"/>
      <x:c r="AC148" s="54"/>
      <x:c r="AD148" s="54"/>
      <x:c r="AE148" s="54"/>
      <x:c r="AF148" s="54"/>
      <x:c r="AG148" s="54"/>
      <x:c r="AH148" s="54"/>
      <x:c r="AI148" s="54"/>
      <x:c r="AJ148" s="54"/>
      <x:c r="AK148" s="54"/>
      <x:c r="AL148" s="54"/>
      <x:c r="AM148" s="54"/>
      <x:c r="AN148" s="54"/>
      <x:c r="AO148" s="54"/>
      <x:c r="AP148" s="54"/>
      <x:c r="AQ148" s="54"/>
      <x:c r="AR148" s="54"/>
      <x:c r="AS148" s="54"/>
      <x:c r="AT148" s="54"/>
      <x:c r="AU148" s="54"/>
      <x:c r="AV148" s="54"/>
      <x:c r="AW148" s="54"/>
    </x:row>
    <x:row r="149">
      <x:c r="A149" s="54"/>
      <x:c r="B149" s="54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  <x:c r="AA149" s="54"/>
      <x:c r="AB149" s="54"/>
      <x:c r="AC149" s="54"/>
      <x:c r="AD149" s="54"/>
      <x:c r="AE149" s="54"/>
      <x:c r="AF149" s="54"/>
      <x:c r="AG149" s="54"/>
      <x:c r="AH149" s="54"/>
      <x:c r="AI149" s="54"/>
      <x:c r="AJ149" s="54"/>
      <x:c r="AK149" s="54"/>
      <x:c r="AL149" s="54"/>
      <x:c r="AM149" s="54"/>
      <x:c r="AN149" s="54"/>
      <x:c r="AO149" s="54"/>
      <x:c r="AP149" s="54"/>
      <x:c r="AQ149" s="54"/>
      <x:c r="AR149" s="54"/>
      <x:c r="AS149" s="54"/>
      <x:c r="AT149" s="54"/>
      <x:c r="AU149" s="54"/>
      <x:c r="AV149" s="54"/>
      <x:c r="AW149" s="54"/>
    </x:row>
    <x:row r="150">
      <x:c r="A150" s="54"/>
      <x:c r="B150" s="54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  <x:c r="AA150" s="54"/>
      <x:c r="AB150" s="54"/>
      <x:c r="AC150" s="54"/>
      <x:c r="AD150" s="54"/>
      <x:c r="AE150" s="54"/>
      <x:c r="AF150" s="54"/>
      <x:c r="AG150" s="54"/>
      <x:c r="AH150" s="54"/>
      <x:c r="AI150" s="54"/>
      <x:c r="AJ150" s="54"/>
      <x:c r="AK150" s="54"/>
      <x:c r="AL150" s="54"/>
      <x:c r="AM150" s="54"/>
      <x:c r="AN150" s="54"/>
      <x:c r="AO150" s="54"/>
      <x:c r="AP150" s="54"/>
      <x:c r="AQ150" s="54"/>
      <x:c r="AR150" s="54"/>
      <x:c r="AS150" s="54"/>
      <x:c r="AT150" s="54"/>
      <x:c r="AU150" s="54"/>
      <x:c r="AV150" s="54"/>
      <x:c r="AW150" s="54"/>
    </x:row>
    <x:row r="151">
      <x:c r="A151" s="54"/>
      <x:c r="B151" s="54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  <x:c r="AA151" s="54"/>
      <x:c r="AB151" s="54"/>
      <x:c r="AC151" s="54"/>
      <x:c r="AD151" s="54"/>
      <x:c r="AE151" s="54"/>
      <x:c r="AF151" s="54"/>
      <x:c r="AG151" s="54"/>
      <x:c r="AH151" s="54"/>
      <x:c r="AI151" s="54"/>
      <x:c r="AJ151" s="54"/>
      <x:c r="AK151" s="54"/>
      <x:c r="AL151" s="54"/>
      <x:c r="AM151" s="54"/>
      <x:c r="AN151" s="54"/>
      <x:c r="AO151" s="54"/>
      <x:c r="AP151" s="54"/>
      <x:c r="AQ151" s="54"/>
      <x:c r="AR151" s="54"/>
      <x:c r="AS151" s="54"/>
      <x:c r="AT151" s="54"/>
      <x:c r="AU151" s="54"/>
      <x:c r="AV151" s="54"/>
      <x:c r="AW151" s="54"/>
    </x:row>
    <x:row r="152">
      <x:c r="A152" s="54"/>
      <x:c r="B152" s="54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  <x:c r="AA152" s="54"/>
      <x:c r="AB152" s="54"/>
      <x:c r="AC152" s="54"/>
      <x:c r="AD152" s="54"/>
      <x:c r="AE152" s="54"/>
      <x:c r="AF152" s="54"/>
      <x:c r="AG152" s="54"/>
      <x:c r="AH152" s="54"/>
      <x:c r="AI152" s="54"/>
      <x:c r="AJ152" s="54"/>
      <x:c r="AK152" s="54"/>
      <x:c r="AL152" s="54"/>
      <x:c r="AM152" s="54"/>
      <x:c r="AN152" s="54"/>
      <x:c r="AO152" s="54"/>
      <x:c r="AP152" s="54"/>
      <x:c r="AQ152" s="54"/>
      <x:c r="AR152" s="54"/>
      <x:c r="AS152" s="54"/>
      <x:c r="AT152" s="54"/>
      <x:c r="AU152" s="54"/>
      <x:c r="AV152" s="54"/>
      <x:c r="AW152" s="54"/>
    </x:row>
    <x:row r="153">
      <x:c r="A153" s="54"/>
      <x:c r="B153" s="54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  <x:c r="AA153" s="54"/>
      <x:c r="AB153" s="54"/>
      <x:c r="AC153" s="54"/>
      <x:c r="AD153" s="54"/>
      <x:c r="AE153" s="54"/>
      <x:c r="AF153" s="54"/>
      <x:c r="AG153" s="54"/>
      <x:c r="AH153" s="54"/>
      <x:c r="AI153" s="54"/>
      <x:c r="AJ153" s="54"/>
      <x:c r="AK153" s="54"/>
      <x:c r="AL153" s="54"/>
      <x:c r="AM153" s="54"/>
      <x:c r="AN153" s="54"/>
      <x:c r="AO153" s="54"/>
      <x:c r="AP153" s="54"/>
      <x:c r="AQ153" s="54"/>
      <x:c r="AR153" s="54"/>
      <x:c r="AS153" s="54"/>
      <x:c r="AT153" s="54"/>
      <x:c r="AU153" s="54"/>
      <x:c r="AV153" s="54"/>
      <x:c r="AW153" s="54"/>
    </x:row>
    <x:row r="154">
      <x:c r="A154" s="54"/>
      <x:c r="B154" s="54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  <x:c r="AA154" s="54"/>
      <x:c r="AB154" s="54"/>
      <x:c r="AC154" s="54"/>
      <x:c r="AD154" s="54"/>
      <x:c r="AE154" s="54"/>
      <x:c r="AF154" s="54"/>
      <x:c r="AG154" s="54"/>
      <x:c r="AH154" s="54"/>
      <x:c r="AI154" s="54"/>
      <x:c r="AJ154" s="54"/>
      <x:c r="AK154" s="54"/>
      <x:c r="AL154" s="54"/>
      <x:c r="AM154" s="54"/>
      <x:c r="AN154" s="54"/>
      <x:c r="AO154" s="54"/>
      <x:c r="AP154" s="54"/>
      <x:c r="AQ154" s="54"/>
      <x:c r="AR154" s="54"/>
      <x:c r="AS154" s="54"/>
      <x:c r="AT154" s="54"/>
      <x:c r="AU154" s="54"/>
      <x:c r="AV154" s="54"/>
      <x:c r="AW154" s="54"/>
    </x:row>
    <x:row r="155">
      <x:c r="A155" s="54"/>
      <x:c r="B155" s="54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  <x:c r="AA155" s="54"/>
      <x:c r="AB155" s="54"/>
      <x:c r="AC155" s="54"/>
      <x:c r="AD155" s="54"/>
      <x:c r="AE155" s="54"/>
      <x:c r="AF155" s="54"/>
      <x:c r="AG155" s="54"/>
      <x:c r="AH155" s="54"/>
      <x:c r="AI155" s="54"/>
      <x:c r="AJ155" s="54"/>
      <x:c r="AK155" s="54"/>
      <x:c r="AL155" s="54"/>
      <x:c r="AM155" s="54"/>
      <x:c r="AN155" s="54"/>
      <x:c r="AO155" s="54"/>
      <x:c r="AP155" s="54"/>
      <x:c r="AQ155" s="54"/>
      <x:c r="AR155" s="54"/>
      <x:c r="AS155" s="54"/>
      <x:c r="AT155" s="54"/>
      <x:c r="AU155" s="54"/>
      <x:c r="AV155" s="54"/>
      <x:c r="AW155" s="54"/>
    </x:row>
    <x:row r="156">
      <x:c r="A156" s="54"/>
      <x:c r="B156" s="54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  <x:c r="AA156" s="54"/>
      <x:c r="AB156" s="54"/>
      <x:c r="AC156" s="54"/>
      <x:c r="AD156" s="54"/>
      <x:c r="AE156" s="54"/>
      <x:c r="AF156" s="54"/>
      <x:c r="AG156" s="54"/>
      <x:c r="AH156" s="54"/>
      <x:c r="AI156" s="54"/>
      <x:c r="AJ156" s="54"/>
      <x:c r="AK156" s="54"/>
      <x:c r="AL156" s="54"/>
      <x:c r="AM156" s="54"/>
      <x:c r="AN156" s="54"/>
      <x:c r="AO156" s="54"/>
      <x:c r="AP156" s="54"/>
      <x:c r="AQ156" s="54"/>
      <x:c r="AR156" s="54"/>
      <x:c r="AS156" s="54"/>
      <x:c r="AT156" s="54"/>
      <x:c r="AU156" s="54"/>
      <x:c r="AV156" s="54"/>
      <x:c r="AW156" s="54"/>
    </x:row>
    <x:row r="157">
      <x:c r="A157" s="54"/>
      <x:c r="B157" s="54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  <x:c r="AA157" s="54"/>
      <x:c r="AB157" s="54"/>
      <x:c r="AC157" s="54"/>
      <x:c r="AD157" s="54"/>
      <x:c r="AE157" s="54"/>
      <x:c r="AF157" s="54"/>
      <x:c r="AG157" s="54"/>
      <x:c r="AH157" s="54"/>
      <x:c r="AI157" s="54"/>
      <x:c r="AJ157" s="54"/>
      <x:c r="AK157" s="54"/>
      <x:c r="AL157" s="54"/>
      <x:c r="AM157" s="54"/>
      <x:c r="AN157" s="54"/>
      <x:c r="AO157" s="54"/>
      <x:c r="AP157" s="54"/>
      <x:c r="AQ157" s="54"/>
      <x:c r="AR157" s="54"/>
      <x:c r="AS157" s="54"/>
      <x:c r="AT157" s="54"/>
      <x:c r="AU157" s="54"/>
      <x:c r="AV157" s="54"/>
      <x:c r="AW157" s="54"/>
    </x:row>
    <x:row r="158">
      <x:c r="A158" s="54"/>
      <x:c r="B158" s="54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  <x:c r="AA158" s="54"/>
      <x:c r="AB158" s="54"/>
      <x:c r="AC158" s="54"/>
      <x:c r="AD158" s="54"/>
      <x:c r="AE158" s="54"/>
      <x:c r="AF158" s="54"/>
      <x:c r="AG158" s="54"/>
      <x:c r="AH158" s="54"/>
      <x:c r="AI158" s="54"/>
      <x:c r="AJ158" s="54"/>
      <x:c r="AK158" s="54"/>
      <x:c r="AL158" s="54"/>
      <x:c r="AM158" s="54"/>
      <x:c r="AN158" s="54"/>
      <x:c r="AO158" s="54"/>
      <x:c r="AP158" s="54"/>
      <x:c r="AQ158" s="54"/>
      <x:c r="AR158" s="54"/>
      <x:c r="AS158" s="54"/>
      <x:c r="AT158" s="54"/>
      <x:c r="AU158" s="54"/>
      <x:c r="AV158" s="54"/>
      <x:c r="AW158" s="54"/>
    </x:row>
    <x:row r="159">
      <x:c r="A159" s="54"/>
      <x:c r="B159" s="54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  <x:c r="AA159" s="54"/>
      <x:c r="AB159" s="54"/>
      <x:c r="AC159" s="54"/>
      <x:c r="AD159" s="54"/>
      <x:c r="AE159" s="54"/>
      <x:c r="AF159" s="54"/>
      <x:c r="AG159" s="54"/>
      <x:c r="AH159" s="54"/>
      <x:c r="AI159" s="54"/>
      <x:c r="AJ159" s="54"/>
      <x:c r="AK159" s="54"/>
      <x:c r="AL159" s="54"/>
      <x:c r="AM159" s="54"/>
      <x:c r="AN159" s="54"/>
      <x:c r="AO159" s="54"/>
      <x:c r="AP159" s="54"/>
      <x:c r="AQ159" s="54"/>
      <x:c r="AR159" s="54"/>
      <x:c r="AS159" s="54"/>
      <x:c r="AT159" s="54"/>
      <x:c r="AU159" s="54"/>
      <x:c r="AV159" s="54"/>
      <x:c r="AW159" s="54"/>
    </x:row>
    <x:row r="160">
      <x:c r="A160" s="54"/>
      <x:c r="B160" s="54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  <x:c r="AA160" s="54"/>
      <x:c r="AB160" s="54"/>
      <x:c r="AC160" s="54"/>
      <x:c r="AD160" s="54"/>
      <x:c r="AE160" s="54"/>
      <x:c r="AF160" s="54"/>
      <x:c r="AG160" s="54"/>
      <x:c r="AH160" s="54"/>
      <x:c r="AI160" s="54"/>
      <x:c r="AJ160" s="54"/>
      <x:c r="AK160" s="54"/>
      <x:c r="AL160" s="54"/>
      <x:c r="AM160" s="54"/>
      <x:c r="AN160" s="54"/>
      <x:c r="AO160" s="54"/>
      <x:c r="AP160" s="54"/>
      <x:c r="AQ160" s="54"/>
      <x:c r="AR160" s="54"/>
      <x:c r="AS160" s="54"/>
      <x:c r="AT160" s="54"/>
      <x:c r="AU160" s="54"/>
      <x:c r="AV160" s="54"/>
      <x:c r="AW160" s="5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</x:cols>
  <x:sheetData>
    <x:row r="1">
      <x:c r="A1" s="86" t="str">
        <x:v>Deck 2: 5×15 — formula model, fixed m=15</x:v>
      </x:c>
      <x:c r="B1" s="86" t="str"/>
      <x:c r="C1" s="86" t="str"/>
      <x:c r="D1" s="86" t="str"/>
      <x:c r="E1" s="86" t="str"/>
      <x:c r="F1" s="86" t="str"/>
      <x:c r="G1" s="86" t="str"/>
      <x:c r="H1" s="86" t="str"/>
      <x:c r="I1" s="86" t="str"/>
      <x:c r="J1" s="86" t="str"/>
      <x:c r="K1" s="86" t="str"/>
      <x:c r="L1" s="86" t="str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  <x:c r="AA1" s="54"/>
      <x:c r="AB1" s="54"/>
      <x:c r="AC1" s="54"/>
      <x:c r="AD1" s="54"/>
      <x:c r="AE1" s="54"/>
      <x:c r="AF1" s="54"/>
      <x:c r="AG1" s="54"/>
      <x:c r="AH1" s="54"/>
      <x:c r="AI1" s="54"/>
      <x:c r="AJ1" s="54"/>
      <x:c r="AK1" s="54"/>
      <x:c r="AL1" s="54"/>
      <x:c r="AM1" s="54"/>
      <x:c r="AN1" s="54"/>
      <x:c r="AO1" s="54"/>
      <x:c r="AP1" s="54"/>
      <x:c r="AQ1" s="54"/>
      <x:c r="AR1" s="54"/>
      <x:c r="AS1" s="54"/>
      <x:c r="AT1" s="54"/>
      <x:c r="AU1" s="54"/>
      <x:c r="AV1" s="54"/>
      <x:c r="AW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  <x:c r="AA2" s="54"/>
      <x:c r="AB2" s="54"/>
      <x:c r="AC2" s="54"/>
      <x:c r="AD2" s="54"/>
      <x:c r="AE2" s="54"/>
      <x:c r="AF2" s="54"/>
      <x:c r="AG2" s="54"/>
      <x:c r="AH2" s="54"/>
      <x:c r="AI2" s="54"/>
      <x:c r="AJ2" s="54"/>
      <x:c r="AK2" s="54"/>
      <x:c r="AL2" s="54"/>
      <x:c r="AM2" s="54"/>
      <x:c r="AN2" s="54"/>
      <x:c r="AO2" s="54"/>
      <x:c r="AP2" s="54"/>
      <x:c r="AQ2" s="54"/>
      <x:c r="AR2" s="54"/>
      <x:c r="AS2" s="54"/>
      <x:c r="AT2" s="54"/>
      <x:c r="AU2" s="54"/>
      <x:c r="AV2" s="54"/>
      <x:c r="AW2" s="54"/>
    </x:row>
    <x:row r="3">
      <x:c r="A3" s="72" t="str">
        <x:v>Deck</x:v>
      </x:c>
      <x:c r="B3" s="72" t="str">
        <x:v>Deck 2: 5×15</x:v>
      </x:c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  <x:c r="AA3" s="54"/>
      <x:c r="AB3" s="54"/>
      <x:c r="AC3" s="54"/>
      <x:c r="AD3" s="54"/>
      <x:c r="AE3" s="54"/>
      <x:c r="AF3" s="54"/>
      <x:c r="AG3" s="54"/>
      <x:c r="AH3" s="54"/>
      <x:c r="AI3" s="54"/>
      <x:c r="AJ3" s="54"/>
      <x:c r="AK3" s="54"/>
      <x:c r="AL3" s="54"/>
      <x:c r="AM3" s="54"/>
      <x:c r="AN3" s="54"/>
      <x:c r="AO3" s="54"/>
      <x:c r="AP3" s="54"/>
      <x:c r="AQ3" s="54"/>
      <x:c r="AR3" s="54"/>
      <x:c r="AS3" s="54"/>
      <x:c r="AT3" s="54"/>
      <x:c r="AU3" s="54"/>
      <x:c r="AV3" s="54"/>
      <x:c r="AW3" s="54"/>
    </x:row>
    <x:row r="4">
      <x:c r="A4" s="72" t="str">
        <x:v>Energy count</x:v>
      </x:c>
      <x:c r="B4" s="72" t="n">
        <x:f>Inputs!$B$26</x:f>
        <x:v>5</x:v>
      </x:c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  <x:c r="AJ4" s="54"/>
      <x:c r="AK4" s="54"/>
      <x:c r="AL4" s="54"/>
      <x:c r="AM4" s="54"/>
      <x:c r="AN4" s="54"/>
      <x:c r="AO4" s="54"/>
      <x:c r="AP4" s="54"/>
      <x:c r="AQ4" s="54"/>
      <x:c r="AR4" s="54"/>
      <x:c r="AS4" s="54"/>
      <x:c r="AT4" s="54"/>
      <x:c r="AU4" s="54"/>
      <x:c r="AV4" s="54"/>
      <x:c r="AW4" s="54"/>
    </x:row>
    <x:row r="5">
      <x:c r="A5" s="72" t="str">
        <x:v>Deck size</x:v>
      </x:c>
      <x:c r="B5" s="72" t="n">
        <x:f>Inputs!$B$4*B4</x:f>
        <x:v>75</x:v>
      </x:c>
      <x:c r="C5" s="54"/>
      <x:c r="D5" s="54"/>
      <x:c r="E5" s="54"/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  <x:c r="AA5" s="54"/>
      <x:c r="AB5" s="54"/>
      <x:c r="AC5" s="54"/>
      <x:c r="AD5" s="54"/>
      <x:c r="AE5" s="54"/>
      <x:c r="AF5" s="54"/>
      <x:c r="AG5" s="54"/>
      <x:c r="AH5" s="54"/>
      <x:c r="AI5" s="54"/>
      <x:c r="AJ5" s="54"/>
      <x:c r="AK5" s="54"/>
      <x:c r="AL5" s="54"/>
      <x:c r="AM5" s="54"/>
      <x:c r="AN5" s="54"/>
      <x:c r="AO5" s="54"/>
      <x:c r="AP5" s="54"/>
      <x:c r="AQ5" s="54"/>
      <x:c r="AR5" s="54"/>
      <x:c r="AS5" s="54"/>
      <x:c r="AT5" s="54"/>
      <x:c r="AU5" s="54"/>
      <x:c r="AV5" s="54"/>
      <x:c r="AW5" s="54"/>
    </x:row>
    <x:row r="6">
      <x:c r="A6" s="73" t="str">
        <x:v>Fixed m</x:v>
      </x:c>
      <x:c r="B6" s="73" t="n">
        <x:f>Inputs!$B$5</x:f>
        <x:v>15</x:v>
      </x:c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54"/>
      <x:c r="AA6" s="54"/>
      <x:c r="AB6" s="54"/>
      <x:c r="AC6" s="54"/>
      <x:c r="AD6" s="54"/>
      <x:c r="AE6" s="54"/>
      <x:c r="AF6" s="54"/>
      <x:c r="AG6" s="54"/>
      <x:c r="AH6" s="54"/>
      <x:c r="AI6" s="54"/>
      <x:c r="AJ6" s="54"/>
      <x:c r="AK6" s="54"/>
      <x:c r="AL6" s="54"/>
      <x:c r="AM6" s="54"/>
      <x:c r="AN6" s="54"/>
      <x:c r="AO6" s="54"/>
      <x:c r="AP6" s="54"/>
      <x:c r="AQ6" s="54"/>
      <x:c r="AR6" s="54"/>
      <x:c r="AS6" s="54"/>
      <x:c r="AT6" s="54"/>
      <x:c r="AU6" s="54"/>
      <x:c r="AV6" s="54"/>
      <x:c r="AW6" s="54"/>
    </x:row>
    <x:row r="7">
      <x:c r="A7" s="65" t="str">
        <x:v>Size</x:v>
      </x:c>
      <x:c r="B7" s="74" t="str">
        <x:v>C_Patterns</x:v>
      </x:c>
      <x:c r="C7" s="74" t="str">
        <x:v>C_ExpOpp</x:v>
      </x:c>
      <x:c r="D7" s="74" t="str">
        <x:v>C_P_fixed</x:v>
      </x:c>
      <x:c r="E7" s="74" t="str">
        <x:v>C_D_fixed</x:v>
      </x:c>
      <x:c r="F7" s="74" t="str">
        <x:v>C_P_extend</x:v>
      </x:c>
      <x:c r="G7" s="74" t="str">
        <x:v>C_P_marginal</x:v>
      </x:c>
      <x:c r="H7" s="74" t="str">
        <x:v>C_D_marginal</x:v>
      </x:c>
      <x:c r="I7" s="74" t="str">
        <x:v>C_BaselineD</x:v>
      </x:c>
      <x:c r="J7" s="74" t="str">
        <x:v>C_Utility</x:v>
      </x:c>
      <x:c r="K7" s="74" t="str">
        <x:v>C_Role</x:v>
      </x:c>
      <x:c r="L7" s="74" t="str">
        <x:v>C_AdjD</x:v>
      </x:c>
      <x:c r="M7" s="74" t="str">
        <x:v>C_AdjScore</x:v>
      </x:c>
      <x:c r="N7" s="75" t="str">
        <x:v>T_Patterns</x:v>
      </x:c>
      <x:c r="O7" s="75" t="str">
        <x:v>T_ExpOpp</x:v>
      </x:c>
      <x:c r="P7" s="75" t="str">
        <x:v>T_P_fixed</x:v>
      </x:c>
      <x:c r="Q7" s="75" t="str">
        <x:v>T_D_fixed</x:v>
      </x:c>
      <x:c r="R7" s="75" t="str">
        <x:v>T_P_extend</x:v>
      </x:c>
      <x:c r="S7" s="75" t="str">
        <x:v>T_P_marginal</x:v>
      </x:c>
      <x:c r="T7" s="75" t="str">
        <x:v>T_D_marginal</x:v>
      </x:c>
      <x:c r="U7" s="75" t="str">
        <x:v>T_BaselineD</x:v>
      </x:c>
      <x:c r="V7" s="75" t="str">
        <x:v>T_Utility</x:v>
      </x:c>
      <x:c r="W7" s="75" t="str">
        <x:v>T_Role</x:v>
      </x:c>
      <x:c r="X7" s="75" t="str">
        <x:v>T_AdjD</x:v>
      </x:c>
      <x:c r="Y7" s="75" t="str">
        <x:v>T_AdjScore</x:v>
      </x:c>
      <x:c r="Z7" s="76" t="str">
        <x:v>PT_Patterns</x:v>
      </x:c>
      <x:c r="AA7" s="76" t="str">
        <x:v>PT_ExpOpp</x:v>
      </x:c>
      <x:c r="AB7" s="76" t="str">
        <x:v>PT_P_fixed</x:v>
      </x:c>
      <x:c r="AC7" s="76" t="str">
        <x:v>PT_D_fixed</x:v>
      </x:c>
      <x:c r="AD7" s="76" t="str">
        <x:v>PT_P_extend</x:v>
      </x:c>
      <x:c r="AE7" s="76" t="str">
        <x:v>PT_P_marginal</x:v>
      </x:c>
      <x:c r="AF7" s="76" t="str">
        <x:v>PT_D_marginal</x:v>
      </x:c>
      <x:c r="AG7" s="76" t="str">
        <x:v>PT_BaselineD</x:v>
      </x:c>
      <x:c r="AH7" s="76" t="str">
        <x:v>PT_Utility</x:v>
      </x:c>
      <x:c r="AI7" s="76" t="str">
        <x:v>PT_Role</x:v>
      </x:c>
      <x:c r="AJ7" s="76" t="str">
        <x:v>PT_AdjD</x:v>
      </x:c>
      <x:c r="AK7" s="76" t="str">
        <x:v>PT_AdjScore</x:v>
      </x:c>
      <x:c r="AL7" s="77" t="str">
        <x:v>E_Patterns</x:v>
      </x:c>
      <x:c r="AM7" s="77" t="str">
        <x:v>E_ExpOpp</x:v>
      </x:c>
      <x:c r="AN7" s="77" t="str">
        <x:v>E_P_fixed</x:v>
      </x:c>
      <x:c r="AO7" s="77" t="str">
        <x:v>E_D_fixed</x:v>
      </x:c>
      <x:c r="AP7" s="77" t="str">
        <x:v>E_P_extend</x:v>
      </x:c>
      <x:c r="AQ7" s="77" t="str">
        <x:v>E_P_marginal</x:v>
      </x:c>
      <x:c r="AR7" s="77" t="str">
        <x:v>E_D_marginal</x:v>
      </x:c>
      <x:c r="AS7" s="77" t="str">
        <x:v>E_BaselineD</x:v>
      </x:c>
      <x:c r="AT7" s="77" t="str">
        <x:v>E_Utility</x:v>
      </x:c>
      <x:c r="AU7" s="77" t="str">
        <x:v>E_Role</x:v>
      </x:c>
      <x:c r="AV7" s="77" t="str">
        <x:v>E_AdjD</x:v>
      </x:c>
      <x:c r="AW7" s="77" t="str">
        <x:v>E_AdjScore</x:v>
      </x:c>
    </x:row>
    <x:row r="8">
      <x:c r="A8" s="66" t="n">
        <x:v>3</x:v>
      </x:c>
      <x:c r="B8" s="78" t="n">
        <x:f>$B$4*COMBIN(Inputs!$B$4,$A8)</x:f>
        <x:v>2275</x:v>
      </x:c>
      <x:c r="C8" s="78" t="n">
        <x:f>IF(B8="","",B8*COMBIN($B$5-$A8,Inputs!$B$5-$A8)/COMBIN($B$5,Inputs!$B$5))</x:f>
        <x:v>15.329507589781565</x:v>
      </x:c>
      <x:c r="D8" s="78" t="n">
        <x:f>IF(C8="","",IF(C8&lt;1E-6,C8,1-EXP(-C8)))</x:f>
        <x:v>0.9999997799712439</x:v>
      </x:c>
      <x:c r="E8" s="78" t="n">
        <x:f>IF(D8="","",-LN(D8))</x:f>
        <x:v>2.2002878031015974e-7</x:v>
      </x:c>
      <x:c r="F8" s="78" t="str">
        <x:f>IF($A8=3,"",(Inputs!$B$4-($A8-1))/($B$5-($A8-1)))</x:f>
      </x:c>
      <x:c r="G8" s="78" t="n">
        <x:f>IF(B8="","",IF($A8=3,D8,G7*F8))</x:f>
        <x:v>0.9999997799712439</x:v>
      </x:c>
      <x:c r="H8" s="78" t="n">
        <x:f>IF(G8="","",-LN(G8))</x:f>
        <x:v>2.2002878031015974e-7</x:v>
      </x:c>
      <x:c r="I8" s="78" t="n">
        <x:f>IF(H8="","",Inputs!$B$7*E8+(1-Inputs!$B$7)*H8)</x:f>
        <x:v>2.2002878031015974e-7</x:v>
      </x:c>
      <x:c r="J8" s="78" t="n">
        <x:f>Inputs!$B$12*IF($A8&gt;=6,2,1)*(Inputs!$B$13-Inputs!$B$14)</x:f>
        <x:v>1.5</x:v>
      </x:c>
      <x:c r="K8" s="78" t="n">
        <x:f>0</x:f>
        <x:v>0</x:v>
      </x:c>
      <x:c r="L8" s="78" t="n">
        <x:f>IF(I8="","",MAX(0,I8-Inputs!$B$8*J8+Inputs!$B$9*K8))</x:f>
        <x:v>0</x:v>
      </x:c>
      <x:c r="M8" s="78" t="str">
        <x:f>IF(L8="","",L8*Inputs!$B$10)</x:f>
      </x:c>
      <x:c r="N8" s="78" t="n">
        <x:f>(Inputs!$B$4-$A8+1)*($B$4^$A8)</x:f>
        <x:v>1625</x:v>
      </x:c>
      <x:c r="O8" s="78" t="n">
        <x:f>IF(N8="","",N8*COMBIN($B$5-$A8,Inputs!$B$5-$A8)/COMBIN($B$5,Inputs!$B$5))</x:f>
        <x:v>10.949648278415403</x:v>
      </x:c>
      <x:c r="P8" s="78" t="n">
        <x:f>IF(O8="","",IF(O8&lt;1E-6,O8,1-EXP(-O8)))</x:f>
        <x:v>0.9999824358080798</x:v>
      </x:c>
      <x:c r="Q8" s="78" t="n">
        <x:f>IF(P8="","",-LN(P8))</x:f>
        <x:v>0.00001756434617245252</x:v>
      </x:c>
      <x:c r="R8" s="78" t="str">
        <x:f>IF($A8=3,"",((MAX(0,Inputs!$B$4-($A8-1)-1)*2*$B$4+2*$B$4)/(Inputs!$B$4-($A8-1)+1))/($B$5-($A8-1)))</x:f>
      </x:c>
      <x:c r="S8" s="78" t="n">
        <x:f>IF(N8="","",IF($A8=3,P8,S7*R8))</x:f>
        <x:v>0.9999824358080798</x:v>
      </x:c>
      <x:c r="T8" s="78" t="n">
        <x:f>IF(S8="","",-LN(S8))</x:f>
        <x:v>0.00001756434617245252</x:v>
      </x:c>
      <x:c r="U8" s="78" t="n">
        <x:f>IF(T8="","",Inputs!$B$7*Q8+(1-Inputs!$B$7)*T8)</x:f>
        <x:v>0.00001756434617245252</x:v>
      </x:c>
      <x:c r="V8" s="78" t="n">
        <x:f>Inputs!$B$12*MAX(0,Inputs!$B$15-Inputs!$B$16)</x:f>
        <x:v>1</x:v>
      </x:c>
      <x:c r="W8" s="78" t="n">
        <x:f>Inputs!$B$22</x:f>
        <x:v>1.5</x:v>
      </x:c>
      <x:c r="X8" s="78" t="n">
        <x:f>IF(U8="","",MAX(0,U8-Inputs!$B$8*V8+Inputs!$B$9*W8))</x:f>
        <x:v>1.0000175643461724</x:v>
      </x:c>
      <x:c r="Y8" s="78" t="n">
        <x:f>IF(X8="","",X8*Inputs!$B$10)</x:f>
        <x:v>2.000035128692345</x:v>
      </x:c>
      <x:c r="Z8" s="78" t="n">
        <x:f>$B$4*(Inputs!$B$4-$A8+1)</x:f>
        <x:v>65</x:v>
      </x:c>
      <x:c r="AA8" s="78" t="n">
        <x:f>IF(Z8="","",Z8*COMBIN($B$5-$A8,Inputs!$B$5-$A8)/COMBIN($B$5,Inputs!$B$5))</x:f>
        <x:v>0.43798593113661616</x:v>
      </x:c>
      <x:c r="AB8" s="78" t="n">
        <x:f>IF(AA8="","",IF(AA8&lt;1E-6,AA8,1-EXP(-AA8)))</x:f>
        <x:v>0.3546651380785625</x:v>
      </x:c>
      <x:c r="AC8" s="78" t="n">
        <x:f>IF(AB8="","",-LN(AB8))</x:f>
        <x:v>1.03658120768681</x:v>
      </x:c>
      <x:c r="AD8" s="78" t="str">
        <x:f>IF($A8=3,"",((MAX(0,Inputs!$B$4-($A8-1)-1)*2+2)/(Inputs!$B$4-($A8-1)+1))/($B$5-($A8-1)))</x:f>
      </x:c>
      <x:c r="AE8" s="78" t="n">
        <x:f>IF(Z8="","",IF($A8=3,AB8,AE7*AD8))</x:f>
        <x:v>0.3546651380785625</x:v>
      </x:c>
      <x:c r="AF8" s="78" t="n">
        <x:f>IF(AE8="","",-LN(AE8))</x:f>
        <x:v>1.03658120768681</x:v>
      </x:c>
      <x:c r="AG8" s="78" t="n">
        <x:f>IF(AF8="","",Inputs!$B$7*AC8+(1-Inputs!$B$7)*AF8)</x:f>
        <x:v>1.03658120768681</x:v>
      </x:c>
      <x:c r="AH8" s="78" t="n">
        <x:f>Inputs!$B$17*(Inputs!$B$12*IF($A8&gt;=6,2,1)*(Inputs!$B$13-Inputs!$B$14)+Inputs!$B$12*MAX(0,Inputs!$B$15-Inputs!$B$16))</x:f>
        <x:v>1.625</x:v>
      </x:c>
      <x:c r="AI8" s="78" t="n">
        <x:f>0</x:f>
        <x:v>0</x:v>
      </x:c>
      <x:c r="AJ8" s="78" t="n">
        <x:f>IF(AG8="","",IF(AND($A8=Inputs!$B$4,Inputs!$B$23=1),L8,MAX(0,AG8-Inputs!$B$8*AH8+Inputs!$B$9*AI8)))</x:f>
        <x:v>0.22408120768680995</x:v>
      </x:c>
      <x:c r="AK8" s="78" t="n">
        <x:f>IF(AJ8="","",AJ8*Inputs!$B$10)</x:f>
        <x:v>0.4481624153736199</x:v>
      </x:c>
      <x:c r="AL8" s="78" t="n">
        <x:f>IF($A8&lt;=$B$4,Inputs!$B$4*COMBIN($B$4,$A8),"")</x:f>
        <x:v>150</x:v>
      </x:c>
      <x:c r="AM8" s="78" t="n">
        <x:f>IF(AL8="","",AL8*COMBIN($B$5-$A8,Inputs!$B$5-$A8)/COMBIN($B$5,Inputs!$B$5))</x:f>
        <x:v>1.010736764161422</x:v>
      </x:c>
      <x:c r="AN8" s="78" t="n">
        <x:f>IF(AM8="","",IF(AM8&lt;1E-6,AM8,1-EXP(-AM8)))</x:f>
        <x:v>0.6360492650908738</x:v>
      </x:c>
      <x:c r="AO8" s="78" t="n">
        <x:f>IF(AN8="","",-LN(AN8))</x:f>
        <x:v>0.45247925780724324</x:v>
      </x:c>
      <x:c r="AP8" s="78" t="str">
        <x:f>IF(OR($A8=3,$A8&gt;$B$4),"",($B$4-($A8-1))/($B$5-($A8-1)))</x:f>
      </x:c>
      <x:c r="AQ8" s="78" t="n">
        <x:f>IF(AL8="","",IF($A8=3,AN8,AQ7*AP8))</x:f>
        <x:v>0.6360492650908738</x:v>
      </x:c>
      <x:c r="AR8" s="78" t="n">
        <x:f>IF(AQ8="","",-LN(AQ8))</x:f>
        <x:v>0.45247925780724324</x:v>
      </x:c>
      <x:c r="AS8" s="78" t="n">
        <x:f>IF(AR8="","",Inputs!$B$7*AO8+(1-Inputs!$B$7)*AR8)</x:f>
        <x:v>0.45247925780724324</x:v>
      </x:c>
      <x:c r="AT8" s="78" t="n">
        <x:f>IF($A8&gt;$B$4,"",Inputs!$B$12*Inputs!$B$18*IF($A8=3,Inputs!$B$19,IF($A8=4,Inputs!$B$20,IF($A8=5,Inputs!$B$21,0))))</x:f>
        <x:v>1.5</x:v>
      </x:c>
      <x:c r="AU8" s="78" t="n">
        <x:f>IF($A8&gt;$B$4,"",0)</x:f>
        <x:v>0</x:v>
      </x:c>
      <x:c r="AV8" s="78" t="n">
        <x:f>IF(AS8="","",MAX(0,AS8-Inputs!$B$8*AT8+Inputs!$B$9*AU8))</x:f>
        <x:v>0</x:v>
      </x:c>
      <x:c r="AW8" s="78" t="str">
        <x:f>IF(AV8="","",AV8*Inputs!$B$10)</x:f>
      </x:c>
    </x:row>
    <x:row r="9">
      <x:c r="A9" s="66" t="n">
        <x:v>4</x:v>
      </x:c>
      <x:c r="B9" s="78" t="n">
        <x:f>$B$4*COMBIN(Inputs!$B$4,$A9)</x:f>
        <x:v>6825</x:v>
      </x:c>
      <x:c r="C9" s="78" t="n">
        <x:f>IF(B9="","",B9*COMBIN($B$5-$A9,Inputs!$B$5-$A9)/COMBIN($B$5,Inputs!$B$5))</x:f>
        <x:v>7.664753794890782</x:v>
      </x:c>
      <x:c r="D9" s="78" t="n">
        <x:f>IF(C9="","",IF(C9&lt;1E-6,C9,1-EXP(-C9)))</x:f>
        <x:v>0.9995309277709585</x:v>
      </x:c>
      <x:c r="E9" s="78" t="n">
        <x:f>IF(D9="","",-LN(D9))</x:f>
        <x:v>0.00046918227783473033</x:v>
      </x:c>
      <x:c r="F9" s="78" t="n">
        <x:f>IF($A9=3,"",(Inputs!$B$4-($A9-1))/($B$5-($A9-1)))</x:f>
        <x:v>0.16666666666666666</x:v>
      </x:c>
      <x:c r="G9" s="78" t="n">
        <x:f>IF(B9="","",IF($A9=3,D9,G8*F9))</x:f>
        <x:v>0.16666662999520732</x:v>
      </x:c>
      <x:c r="H9" s="78" t="n">
        <x:f>IF(G9="","",-LN(G9))</x:f>
        <x:v>1.7917596892568353</x:v>
      </x:c>
      <x:c r="I9" s="78" t="n">
        <x:f>IF(H9="","",Inputs!$B$7*E9+(1-Inputs!$B$7)*H9)</x:f>
        <x:v>0.44829180902258486</x:v>
      </x:c>
      <x:c r="J9" s="78" t="n">
        <x:f>Inputs!$B$12*IF($A9&gt;=6,2,1)*(Inputs!$B$13-Inputs!$B$14)</x:f>
        <x:v>1.5</x:v>
      </x:c>
      <x:c r="K9" s="78" t="n">
        <x:f>0</x:f>
        <x:v>0</x:v>
      </x:c>
      <x:c r="L9" s="78" t="n">
        <x:f>IF(I9="","",MAX(0,I9-Inputs!$B$8*J9+Inputs!$B$9*K9))</x:f>
        <x:v>0</x:v>
      </x:c>
      <x:c r="M9" s="78" t="str">
        <x:f>IF(L9="","",L9*Inputs!$B$10)</x:f>
      </x:c>
      <x:c r="N9" s="78" t="n">
        <x:f>(Inputs!$B$4-$A9+1)*($B$4^$A9)</x:f>
        <x:v>7500</x:v>
      </x:c>
      <x:c r="O9" s="78" t="n">
        <x:f>IF(N9="","",N9*COMBIN($B$5-$A9,Inputs!$B$5-$A9)/COMBIN($B$5,Inputs!$B$5))</x:f>
        <x:v>8.422806368011848</x:v>
      </x:c>
      <x:c r="P9" s="78" t="n">
        <x:f>IF(O9="","",IF(O9&lt;1E-6,O9,1-EXP(-O9)))</x:f>
        <x:v>0.9997802030446523</x:v>
      </x:c>
      <x:c r="Q9" s="78" t="n">
        <x:f>IF(P9="","",-LN(P9))</x:f>
        <x:v>0.00021982111423857285</x:v>
      </x:c>
      <x:c r="R9" s="78" t="n">
        <x:f>IF($A9=3,"",((MAX(0,Inputs!$B$4-($A9-1)-1)*2*$B$4+2*$B$4)/(Inputs!$B$4-($A9-1)+1))/($B$5-($A9-1)))</x:f>
        <x:v>0.1282051282051282</x:v>
      </x:c>
      <x:c r="S9" s="78" t="n">
        <x:f>IF(N9="","",IF($A9=3,P9,S8*R9))</x:f>
        <x:v>0.12820287638565125</x:v>
      </x:c>
      <x:c r="T9" s="78" t="n">
        <x:f>IF(S9="","",-LN(S9))</x:f>
        <x:v>2.0541412980417184</x:v>
      </x:c>
      <x:c r="U9" s="78" t="n">
        <x:f>IF(T9="","",Inputs!$B$7*Q9+(1-Inputs!$B$7)*T9)</x:f>
        <x:v>0.5137001903461086</x:v>
      </x:c>
      <x:c r="V9" s="78" t="n">
        <x:f>Inputs!$B$12*MAX(0,Inputs!$B$15-Inputs!$B$16)</x:f>
        <x:v>1</x:v>
      </x:c>
      <x:c r="W9" s="78" t="n">
        <x:f>Inputs!$B$22</x:f>
        <x:v>1.5</x:v>
      </x:c>
      <x:c r="X9" s="78" t="n">
        <x:f>IF(U9="","",MAX(0,U9-Inputs!$B$8*V9+Inputs!$B$9*W9))</x:f>
        <x:v>1.5137001903461087</x:v>
      </x:c>
      <x:c r="Y9" s="78" t="n">
        <x:f>IF(X9="","",X9*Inputs!$B$10)</x:f>
        <x:v>3.0274003806922174</x:v>
      </x:c>
      <x:c r="Z9" s="78" t="n">
        <x:f>$B$4*(Inputs!$B$4-$A9+1)</x:f>
        <x:v>60</x:v>
      </x:c>
      <x:c r="AA9" s="78" t="n">
        <x:f>IF(Z9="","",Z9*COMBIN($B$5-$A9,Inputs!$B$5-$A9)/COMBIN($B$5,Inputs!$B$5))</x:f>
        <x:v>0.06738245094409478</x:v>
      </x:c>
      <x:c r="AB9" s="78" t="n">
        <x:f>IF(AA9="","",IF(AA9&lt;1E-6,AA9,1-EXP(-AA9)))</x:f>
        <x:v>0.06516239656470135</x:v>
      </x:c>
      <x:c r="AC9" s="78" t="n">
        <x:f>IF(AB9="","",-LN(AB9))</x:f>
        <x:v>2.7308727162330997</x:v>
      </x:c>
      <x:c r="AD9" s="78" t="n">
        <x:f>IF($A9=3,"",((MAX(0,Inputs!$B$4-($A9-1)-1)*2+2)/(Inputs!$B$4-($A9-1)+1))/($B$5-($A9-1)))</x:f>
        <x:v>0.025641025641025644</x:v>
      </x:c>
      <x:c r="AE9" s="78" t="n">
        <x:f>IF(Z9="","",IF($A9=3,AB9,AE8*AD9))</x:f>
        <x:v>0.009093977899450321</x:v>
      </x:c>
      <x:c r="AF9" s="78" t="n">
        <x:f>IF(AE9="","",-LN(AE9))</x:f>
        <x:v>4.700142853816456</x:v>
      </x:c>
      <x:c r="AG9" s="78" t="n">
        <x:f>IF(AF9="","",Inputs!$B$7*AC9+(1-Inputs!$B$7)*AF9)</x:f>
        <x:v>3.2231902506289387</x:v>
      </x:c>
      <x:c r="AH9" s="78" t="n">
        <x:f>Inputs!$B$17*(Inputs!$B$12*IF($A9&gt;=6,2,1)*(Inputs!$B$13-Inputs!$B$14)+Inputs!$B$12*MAX(0,Inputs!$B$15-Inputs!$B$16))</x:f>
        <x:v>1.625</x:v>
      </x:c>
      <x:c r="AI9" s="78" t="n">
        <x:f>0</x:f>
        <x:v>0</x:v>
      </x:c>
      <x:c r="AJ9" s="78" t="n">
        <x:f>IF(AG9="","",IF(AND($A9=Inputs!$B$4,Inputs!$B$23=1),L9,MAX(0,AG9-Inputs!$B$8*AH9+Inputs!$B$9*AI9)))</x:f>
        <x:v>2.4106902506289387</x:v>
      </x:c>
      <x:c r="AK9" s="78" t="n">
        <x:f>IF(AJ9="","",AJ9*Inputs!$B$10)</x:f>
        <x:v>4.821380501257877</x:v>
      </x:c>
      <x:c r="AL9" s="78" t="n">
        <x:f>IF($A9&lt;=$B$4,Inputs!$B$4*COMBIN($B$4,$A9),"")</x:f>
        <x:v>75</x:v>
      </x:c>
      <x:c r="AM9" s="78" t="n">
        <x:f>IF(AL9="","",AL9*COMBIN($B$5-$A9,Inputs!$B$5-$A9)/COMBIN($B$5,Inputs!$B$5))</x:f>
        <x:v>0.08422806368011848</x:v>
      </x:c>
      <x:c r="AN9" s="78" t="n">
        <x:f>IF(AM9="","",IF(AM9&lt;1E-6,AM9,1-EXP(-AM9)))</x:f>
        <x:v>0.08077840887136567</x:v>
      </x:c>
      <x:c r="AO9" s="78" t="n">
        <x:f>IF(AN9="","",-LN(AN9))</x:f>
        <x:v>2.516045566102439</x:v>
      </x:c>
      <x:c r="AP9" s="78" t="n">
        <x:f>IF(OR($A9=3,$A9&gt;$B$4),"",($B$4-($A9-1))/($B$5-($A9-1)))</x:f>
        <x:v>0.027777777777777776</x:v>
      </x:c>
      <x:c r="AQ9" s="78" t="n">
        <x:f>IF(AL9="","",IF($A9=3,AN9,AQ8*AP9))</x:f>
        <x:v>0.01766803514141316</x:v>
      </x:c>
      <x:c r="AR9" s="78" t="n">
        <x:f>IF(AQ9="","",-LN(AQ9))</x:f>
        <x:v>4.035998196263353</x:v>
      </x:c>
      <x:c r="AS9" s="78" t="n">
        <x:f>IF(AR9="","",Inputs!$B$7*AO9+(1-Inputs!$B$7)*AR9)</x:f>
        <x:v>2.8960337236426676</x:v>
      </x:c>
      <x:c r="AT9" s="78" t="n">
        <x:f>IF($A9&gt;$B$4,"",Inputs!$B$12*Inputs!$B$18*IF($A9=3,Inputs!$B$19,IF($A9=4,Inputs!$B$20,IF($A9=5,Inputs!$B$21,0))))</x:f>
        <x:v>4.5</x:v>
      </x:c>
      <x:c r="AU9" s="78" t="n">
        <x:f>IF($A9&gt;$B$4,"",0)</x:f>
        <x:v>0</x:v>
      </x:c>
      <x:c r="AV9" s="78" t="n">
        <x:f>IF(AS9="","",MAX(0,AS9-Inputs!$B$8*AT9+Inputs!$B$9*AU9))</x:f>
        <x:v>0.6460337236426676</x:v>
      </x:c>
      <x:c r="AW9" s="78" t="n">
        <x:f>IF(AV9="","",AV9*Inputs!$B$10)</x:f>
        <x:v>1.2920674472853353</x:v>
      </x:c>
    </x:row>
    <x:row r="10">
      <x:c r="A10" s="66" t="n">
        <x:v>5</x:v>
      </x:c>
      <x:c r="B10" s="78" t="n">
        <x:f>$B$4*COMBIN(Inputs!$B$4,$A10)</x:f>
        <x:v>15015</x:v>
      </x:c>
      <x:c r="C10" s="78" t="n">
        <x:f>IF(B10="","",B10*COMBIN($B$5-$A10,Inputs!$B$5-$A10)/COMBIN($B$5,Inputs!$B$5))</x:f>
        <x:v>2.6124935469909425</x:v>
      </x:c>
      <x:c r="D10" s="78" t="n">
        <x:f>IF(C10="","",IF(C10&lt;1E-6,C10,1-EXP(-C10)))</x:f>
        <x:v>0.9266485896564898</x:v>
      </x:c>
      <x:c r="E10" s="78" t="n">
        <x:f>IF(D10="","",-LN(D10))</x:f>
        <x:v>0.0761808687207781</x:v>
      </x:c>
      <x:c r="F10" s="78" t="n">
        <x:f>IF($A10=3,"",(Inputs!$B$4-($A10-1))/($B$5-($A10-1)))</x:f>
        <x:v>0.15492957746478872</x:v>
      </x:c>
      <x:c r="G10" s="78" t="n">
        <x:f>IF(B10="","",IF($A10=3,D10,G9*F10))</x:f>
        <x:v>0.02582159056263775</x:v>
      </x:c>
      <x:c r="H10" s="78" t="n">
        <x:f>IF(G10="","",-LN(G10))</x:f>
        <x:v>3.6565442934997803</x:v>
      </x:c>
      <x:c r="I10" s="78" t="n">
        <x:f>IF(H10="","",Inputs!$B$7*E10+(1-Inputs!$B$7)*H10)</x:f>
        <x:v>0.9712717249155286</x:v>
      </x:c>
      <x:c r="J10" s="78" t="n">
        <x:f>Inputs!$B$12*IF($A10&gt;=6,2,1)*(Inputs!$B$13-Inputs!$B$14)</x:f>
        <x:v>1.5</x:v>
      </x:c>
      <x:c r="K10" s="78" t="n">
        <x:f>0</x:f>
        <x:v>0</x:v>
      </x:c>
      <x:c r="L10" s="78" t="n">
        <x:f>IF(I10="","",MAX(0,I10-Inputs!$B$8*J10+Inputs!$B$9*K10))</x:f>
        <x:v>0.2212717249155286</x:v>
      </x:c>
      <x:c r="M10" s="78" t="n">
        <x:f>IF(L10="","",L10*Inputs!$B$10)</x:f>
        <x:v>0.4425434498310572</x:v>
      </x:c>
      <x:c r="N10" s="78" t="n">
        <x:f>(Inputs!$B$4-$A10+1)*($B$4^$A10)</x:f>
        <x:v>34375</x:v>
      </x:c>
      <x:c r="O10" s="78" t="n">
        <x:f>IF(N10="","",N10*COMBIN($B$5-$A10,Inputs!$B$5-$A10)/COMBIN($B$5,Inputs!$B$5))</x:f>
        <x:v>5.980983395125785</x:v>
      </x:c>
      <x:c r="P10" s="78" t="n">
        <x:f>IF(O10="","",IF(O10&lt;1E-6,O10,1-EXP(-O10)))</x:f>
        <x:v>0.9974736593208503</x:v>
      </x:c>
      <x:c r="Q10" s="78" t="n">
        <x:f>IF(P10="","",-LN(P10))</x:f>
        <x:v>0.0025295372626708825</x:v>
      </x:c>
      <x:c r="R10" s="78" t="n">
        <x:f>IF($A10=3,"",((MAX(0,Inputs!$B$4-($A10-1)-1)*2*$B$4+2*$B$4)/(Inputs!$B$4-($A10-1)+1))/($B$5-($A10-1)))</x:f>
        <x:v>0.12910798122065728</x:v>
      </x:c>
      <x:c r="S10" s="78" t="n">
        <x:f>IF(N10="","",IF($A10=3,P10,S9*R10))</x:f>
        <x:v>0.01655201455683291</x:v>
      </x:c>
      <x:c r="T10" s="78" t="n">
        <x:f>IF(S10="","",-LN(S10))</x:f>
        <x:v>4.101247459078618</x:v>
      </x:c>
      <x:c r="U10" s="78" t="n">
        <x:f>IF(T10="","",Inputs!$B$7*Q10+(1-Inputs!$B$7)*T10)</x:f>
        <x:v>1.0272090177166575</x:v>
      </x:c>
      <x:c r="V10" s="78" t="n">
        <x:f>Inputs!$B$12*MAX(0,Inputs!$B$15-Inputs!$B$16)</x:f>
        <x:v>1</x:v>
      </x:c>
      <x:c r="W10" s="78" t="n">
        <x:f>Inputs!$B$22</x:f>
        <x:v>1.5</x:v>
      </x:c>
      <x:c r="X10" s="78" t="n">
        <x:f>IF(U10="","",MAX(0,U10-Inputs!$B$8*V10+Inputs!$B$9*W10))</x:f>
        <x:v>2.0272090177166575</x:v>
      </x:c>
      <x:c r="Y10" s="78" t="n">
        <x:f>IF(X10="","",X10*Inputs!$B$10)</x:f>
        <x:v>4.054418035433315</x:v>
      </x:c>
      <x:c r="Z10" s="78" t="n">
        <x:f>$B$4*(Inputs!$B$4-$A10+1)</x:f>
        <x:v>55</x:v>
      </x:c>
      <x:c r="AA10" s="78" t="n">
        <x:f>IF(Z10="","",Z10*COMBIN($B$5-$A10,Inputs!$B$5-$A10)/COMBIN($B$5,Inputs!$B$5))</x:f>
        <x:v>0.009569573432201255</x:v>
      </x:c>
      <x:c r="AB10" s="78" t="n">
        <x:f>IF(AA10="","",IF(AA10&lt;1E-6,AA10,1-EXP(-AA10)))</x:f>
        <x:v>0.0095239307739855</x:v>
      </x:c>
      <x:c r="AC10" s="78" t="n">
        <x:f>IF(AB10="","",-LN(AB10))</x:f>
        <x:v>4.653947618970088</x:v>
      </x:c>
      <x:c r="AD10" s="78" t="n">
        <x:f>IF($A10=3,"",((MAX(0,Inputs!$B$4-($A10-1)-1)*2+2)/(Inputs!$B$4-($A10-1)+1))/($B$5-($A10-1)))</x:f>
        <x:v>0.025821596244131453</x:v>
      </x:c>
      <x:c r="AE10" s="78" t="n">
        <x:f>IF(Z10="","",IF($A10=3,AB10,AE9*AD10))</x:f>
        <x:v>0.00023482102557266084</x:v>
      </x:c>
      <x:c r="AF10" s="78" t="n">
        <x:f>IF(AE10="","",-LN(AE10))</x:f>
        <x:v>8.356686927287456</x:v>
      </x:c>
      <x:c r="AG10" s="78" t="n">
        <x:f>IF(AF10="","",Inputs!$B$7*AC10+(1-Inputs!$B$7)*AF10)</x:f>
        <x:v>5.57963244604943</x:v>
      </x:c>
      <x:c r="AH10" s="78" t="n">
        <x:f>Inputs!$B$17*(Inputs!$B$12*IF($A10&gt;=6,2,1)*(Inputs!$B$13-Inputs!$B$14)+Inputs!$B$12*MAX(0,Inputs!$B$15-Inputs!$B$16))</x:f>
        <x:v>1.625</x:v>
      </x:c>
      <x:c r="AI10" s="78" t="n">
        <x:f>0</x:f>
        <x:v>0</x:v>
      </x:c>
      <x:c r="AJ10" s="78" t="n">
        <x:f>IF(AG10="","",IF(AND($A10=Inputs!$B$4,Inputs!$B$23=1),L10,MAX(0,AG10-Inputs!$B$8*AH10+Inputs!$B$9*AI10)))</x:f>
        <x:v>4.76713244604943</x:v>
      </x:c>
      <x:c r="AK10" s="78" t="n">
        <x:f>IF(AJ10="","",AJ10*Inputs!$B$10)</x:f>
        <x:v>9.53426489209886</x:v>
      </x:c>
      <x:c r="AL10" s="78" t="n">
        <x:f>IF($A10&lt;=$B$4,Inputs!$B$4*COMBIN($B$4,$A10),"")</x:f>
        <x:v>15</x:v>
      </x:c>
      <x:c r="AM10" s="78" t="n">
        <x:f>IF(AL10="","",AL10*COMBIN($B$5-$A10,Inputs!$B$5-$A10)/COMBIN($B$5,Inputs!$B$5))</x:f>
        <x:v>0.002609883663327615</x:v>
      </x:c>
      <x:c r="AN10" s="78" t="n">
        <x:f>IF(AM10="","",IF(AM10&lt;1E-6,AM10,1-EXP(-AM10)))</x:f>
        <x:v>0.0026064808778946125</x:v>
      </x:c>
      <x:c r="AO10" s="78" t="n">
        <x:f>IF(AN10="","",-LN(AN10))</x:f>
        <x:v>5.949754290098155</x:v>
      </x:c>
      <x:c r="AP10" s="78" t="n">
        <x:f>IF(OR($A10=3,$A10&gt;$B$4),"",($B$4-($A10-1))/($B$5-($A10-1)))</x:f>
        <x:v>0.014084507042253521</x:v>
      </x:c>
      <x:c r="AQ10" s="78" t="n">
        <x:f>IF(AL10="","",IF($A10=3,AN10,AQ9*AP10))</x:f>
        <x:v>0.0002488455653720164</x:v>
      </x:c>
      <x:c r="AR10" s="78" t="n">
        <x:f>IF(AQ10="","",-LN(AQ10))</x:f>
        <x:v>8.298678073304668</x:v>
      </x:c>
      <x:c r="AS10" s="78" t="n">
        <x:f>IF(AR10="","",Inputs!$B$7*AO10+(1-Inputs!$B$7)*AR10)</x:f>
        <x:v>6.536985235899783</x:v>
      </x:c>
      <x:c r="AT10" s="78" t="n">
        <x:f>IF($A10&gt;$B$4,"",Inputs!$B$12*Inputs!$B$18*IF($A10=3,Inputs!$B$19,IF($A10=4,Inputs!$B$20,IF($A10=5,Inputs!$B$21,0))))</x:f>
        <x:v>7.5</x:v>
      </x:c>
      <x:c r="AU10" s="78" t="n">
        <x:f>IF($A10&gt;$B$4,"",0)</x:f>
        <x:v>0</x:v>
      </x:c>
      <x:c r="AV10" s="78" t="n">
        <x:f>IF(AS10="","",MAX(0,AS10-Inputs!$B$8*AT10+Inputs!$B$9*AU10))</x:f>
        <x:v>2.786985235899783</x:v>
      </x:c>
      <x:c r="AW10" s="78" t="n">
        <x:f>IF(AV10="","",AV10*Inputs!$B$10)</x:f>
        <x:v>5.573970471799566</x:v>
      </x:c>
    </x:row>
    <x:row r="11">
      <x:c r="A11" s="66" t="n">
        <x:v>6</x:v>
      </x:c>
      <x:c r="B11" s="78" t="n">
        <x:f>$B$4*COMBIN(Inputs!$B$4,$A11)</x:f>
        <x:v>25025</x:v>
      </x:c>
      <x:c r="C11" s="78" t="n">
        <x:f>IF(B11="","",B11*COMBIN($B$5-$A11,Inputs!$B$5-$A11)/COMBIN($B$5,Inputs!$B$5))</x:f>
        <x:v>0.6220222730930816</x:v>
      </x:c>
      <x:c r="D11" s="78" t="n">
        <x:f>IF(C11="","",IF(C11&lt;1E-6,C11,1-EXP(-C11)))</x:f>
        <x:v>0.46314233372247904</x:v>
      </x:c>
      <x:c r="E11" s="78" t="n">
        <x:f>IF(D11="","",-LN(D11))</x:f>
        <x:v>0.7697208558913408</x:v>
      </x:c>
      <x:c r="F11" s="78" t="n">
        <x:f>IF($A11=3,"",(Inputs!$B$4-($A11-1))/($B$5-($A11-1)))</x:f>
        <x:v>0.14285714285714285</x:v>
      </x:c>
      <x:c r="G11" s="78" t="n">
        <x:f>IF(B11="","",IF($A11=3,D11,G10*F11))</x:f>
        <x:v>0.0036887986518053927</x:v>
      </x:c>
      <x:c r="H11" s="78" t="n">
        <x:f>IF(G11="","",-LN(G11))</x:f>
        <x:v>5.602454442555094</x:v>
      </x:c>
      <x:c r="I11" s="78" t="n">
        <x:f>IF(H11="","",Inputs!$B$7*E11+(1-Inputs!$B$7)*H11)</x:f>
        <x:v>1.977904252557279</x:v>
      </x:c>
      <x:c r="J11" s="78" t="n">
        <x:f>Inputs!$B$12*IF($A11&gt;=6,2,1)*(Inputs!$B$13-Inputs!$B$14)</x:f>
        <x:v>3</x:v>
      </x:c>
      <x:c r="K11" s="78" t="n">
        <x:f>0</x:f>
        <x:v>0</x:v>
      </x:c>
      <x:c r="L11" s="78" t="n">
        <x:f>IF(I11="","",MAX(0,I11-Inputs!$B$8*J11+Inputs!$B$9*K11))</x:f>
        <x:v>0.477904252557279</x:v>
      </x:c>
      <x:c r="M11" s="78" t="n">
        <x:f>IF(L11="","",L11*Inputs!$B$10)</x:f>
        <x:v>0.955808505114558</x:v>
      </x:c>
      <x:c r="N11" s="78" t="n">
        <x:f>(Inputs!$B$4-$A11+1)*($B$4^$A11)</x:f>
        <x:v>156250</x:v>
      </x:c>
      <x:c r="O11" s="78" t="n">
        <x:f>IF(N11="","",N11*COMBIN($B$5-$A11,Inputs!$B$5-$A11)/COMBIN($B$5,Inputs!$B$5))</x:f>
        <x:v>3.88375545138038</x:v>
      </x:c>
      <x:c r="P11" s="78" t="n">
        <x:f>IF(O11="","",IF(O11&lt;1E-6,O11,1-EXP(-O11)))</x:f>
        <x:v>0.9794265825467656</x:v>
      </x:c>
      <x:c r="Q11" s="78" t="n">
        <x:f>IF(P11="","",-LN(P11))</x:f>
        <x:v>0.020787998417182398</x:v>
      </x:c>
      <x:c r="R11" s="78" t="n">
        <x:f>IF($A11=3,"",((MAX(0,Inputs!$B$4-($A11-1)-1)*2*$B$4+2*$B$4)/(Inputs!$B$4-($A11-1)+1))/($B$5-($A11-1)))</x:f>
        <x:v>0.12987012987012989</x:v>
      </x:c>
      <x:c r="S11" s="78" t="n">
        <x:f>IF(N11="","",IF($A11=3,P11,S10*R11))</x:f>
        <x:v>0.0021496122801081706</x:v>
      </x:c>
      <x:c r="T11" s="78" t="n">
        <x:f>IF(S11="","",-LN(S11))</x:f>
        <x:v>6.142467787938256</x:v>
      </x:c>
      <x:c r="U11" s="78" t="n">
        <x:f>IF(T11="","",Inputs!$B$7*Q11+(1-Inputs!$B$7)*T11)</x:f>
        <x:v>1.5512079457974508</x:v>
      </x:c>
      <x:c r="V11" s="78" t="n">
        <x:f>Inputs!$B$12*MAX(0,Inputs!$B$15-Inputs!$B$16)</x:f>
        <x:v>1</x:v>
      </x:c>
      <x:c r="W11" s="78" t="n">
        <x:f>Inputs!$B$22</x:f>
        <x:v>1.5</x:v>
      </x:c>
      <x:c r="X11" s="78" t="n">
        <x:f>IF(U11="","",MAX(0,U11-Inputs!$B$8*V11+Inputs!$B$9*W11))</x:f>
        <x:v>2.551207945797451</x:v>
      </x:c>
      <x:c r="Y11" s="78" t="n">
        <x:f>IF(X11="","",X11*Inputs!$B$10)</x:f>
        <x:v>5.102415891594902</x:v>
      </x:c>
      <x:c r="Z11" s="78" t="n">
        <x:f>$B$4*(Inputs!$B$4-$A11+1)</x:f>
        <x:v>50</x:v>
      </x:c>
      <x:c r="AA11" s="78" t="n">
        <x:f>IF(Z11="","",Z11*COMBIN($B$5-$A11,Inputs!$B$5-$A11)/COMBIN($B$5,Inputs!$B$5))</x:f>
        <x:v>0.0012428017444417214</x:v>
      </x:c>
      <x:c r="AB11" s="78" t="n">
        <x:f>IF(AA11="","",IF(AA11&lt;1E-6,AA11,1-EXP(-AA11)))</x:f>
        <x:v>0.001242029786183818</x:v>
      </x:c>
      <x:c r="AC11" s="78" t="n">
        <x:f>IF(AB11="","",-LN(AB11))</x:f>
        <x:v>6.691008313323787</x:v>
      </x:c>
      <x:c r="AD11" s="78" t="n">
        <x:f>IF($A11=3,"",((MAX(0,Inputs!$B$4-($A11-1)-1)*2+2)/(Inputs!$B$4-($A11-1)+1))/($B$5-($A11-1)))</x:f>
        <x:v>0.025974025974025972</x:v>
      </x:c>
      <x:c r="AE11" s="78" t="n">
        <x:f>IF(Z11="","",IF($A11=3,AB11,AE10*AD11))</x:f>
        <x:v>0.00000609924741747171</x:v>
      </x:c>
      <x:c r="AF11" s="78" t="n">
        <x:f>IF(AE11="","",-LN(AE11))</x:f>
        <x:v>12.007345168581194</x:v>
      </x:c>
      <x:c r="AG11" s="78" t="n">
        <x:f>IF(AF11="","",Inputs!$B$7*AC11+(1-Inputs!$B$7)*AF11)</x:f>
        <x:v>8.02009252713814</x:v>
      </x:c>
      <x:c r="AH11" s="78" t="n">
        <x:f>Inputs!$B$17*(Inputs!$B$12*IF($A11&gt;=6,2,1)*(Inputs!$B$13-Inputs!$B$14)+Inputs!$B$12*MAX(0,Inputs!$B$15-Inputs!$B$16))</x:f>
        <x:v>2.6</x:v>
      </x:c>
      <x:c r="AI11" s="78" t="n">
        <x:f>0</x:f>
        <x:v>0</x:v>
      </x:c>
      <x:c r="AJ11" s="78" t="n">
        <x:f>IF(AG11="","",IF(AND($A11=Inputs!$B$4,Inputs!$B$23=1),L11,MAX(0,AG11-Inputs!$B$8*AH11+Inputs!$B$9*AI11)))</x:f>
        <x:v>6.7200925271381395</x:v>
      </x:c>
      <x:c r="AK11" s="78" t="n">
        <x:f>IF(AJ11="","",AJ11*Inputs!$B$10)</x:f>
        <x:v>13.440185054276279</x:v>
      </x:c>
      <x:c r="AL11" s="78" t="str">
        <x:f>IF($A11&lt;=$B$4,Inputs!$B$4*COMBIN($B$4,$A11),"")</x:f>
      </x:c>
      <x:c r="AM11" s="78" t="str">
        <x:f>IF(AL11="","",AL11*COMBIN($B$5-$A11,Inputs!$B$5-$A11)/COMBIN($B$5,Inputs!$B$5))</x:f>
      </x:c>
      <x:c r="AN11" s="78" t="str">
        <x:f>IF(AM11="","",IF(AM11&lt;1E-6,AM11,1-EXP(-AM11)))</x:f>
      </x:c>
      <x:c r="AO11" s="78" t="str">
        <x:f>IF(AN11="","",-LN(AN11))</x:f>
      </x:c>
      <x:c r="AP11" s="78" t="str">
        <x:f>IF(OR($A11=3,$A11&gt;$B$4),"",($B$4-($A11-1))/($B$5-($A11-1)))</x:f>
      </x:c>
      <x:c r="AQ11" s="78" t="str">
        <x:f>IF(AL11="","",IF($A11=3,AN11,AQ10*AP11))</x:f>
      </x:c>
      <x:c r="AR11" s="78" t="str">
        <x:f>IF(AQ11="","",-LN(AQ11))</x:f>
      </x:c>
      <x:c r="AS11" s="78" t="str">
        <x:f>IF(AR11="","",Inputs!$B$7*AO11+(1-Inputs!$B$7)*AR11)</x:f>
      </x:c>
      <x:c r="AT11" s="78" t="str">
        <x:f>IF($A11&gt;$B$4,"",Inputs!$B$12*Inputs!$B$18*IF($A11=3,Inputs!$B$19,IF($A11=4,Inputs!$B$20,IF($A11=5,Inputs!$B$21,0))))</x:f>
      </x:c>
      <x:c r="AU11" s="78" t="str">
        <x:f>IF($A11&gt;$B$4,"",0)</x:f>
      </x:c>
      <x:c r="AV11" s="78" t="str">
        <x:f>IF(AS11="","",MAX(0,AS11-Inputs!$B$8*AT11+Inputs!$B$9*AU11))</x:f>
      </x:c>
      <x:c r="AW11" s="78" t="str">
        <x:f>IF(AV11="","",AV11*Inputs!$B$10)</x:f>
      </x:c>
    </x:row>
    <x:row r="12">
      <x:c r="A12" s="66" t="n">
        <x:v>7</x:v>
      </x:c>
      <x:c r="B12" s="78" t="n">
        <x:f>$B$4*COMBIN(Inputs!$B$4,$A12)</x:f>
        <x:v>32175</x:v>
      </x:c>
      <x:c r="C12" s="78" t="n">
        <x:f>IF(B12="","",B12*COMBIN($B$5-$A12,Inputs!$B$5-$A12)/COMBIN($B$5,Inputs!$B$5))</x:f>
        <x:v>0.10431429424542363</x:v>
      </x:c>
      <x:c r="D12" s="78" t="n">
        <x:f>IF(C12="","",IF(C12&lt;1E-6,C12,1-EXP(-C12)))</x:f>
        <x:v>0.09905790799635716</x:v>
      </x:c>
      <x:c r="E12" s="78" t="n">
        <x:f>IF(D12="","",-LN(D12))</x:f>
        <x:v>2.312050670595851</x:v>
      </x:c>
      <x:c r="F12" s="78" t="n">
        <x:f>IF($A12=3,"",(Inputs!$B$4-($A12-1))/($B$5-($A12-1)))</x:f>
        <x:v>0.13043478260869565</x:v>
      </x:c>
      <x:c r="G12" s="78" t="n">
        <x:f>IF(B12="","",IF($A12=3,D12,G11*F12))</x:f>
        <x:v>0.00048114765023548597</x:v>
      </x:c>
      <x:c r="H12" s="78" t="n">
        <x:f>IF(G12="","",-LN(G12))</x:f>
        <x:v>7.639336369816133</x:v>
      </x:c>
      <x:c r="I12" s="78" t="n">
        <x:f>IF(H12="","",Inputs!$B$7*E12+(1-Inputs!$B$7)*H12)</x:f>
        <x:v>3.643872095400922</x:v>
      </x:c>
      <x:c r="J12" s="78" t="n">
        <x:f>Inputs!$B$12*IF($A12&gt;=6,2,1)*(Inputs!$B$13-Inputs!$B$14)</x:f>
        <x:v>3</x:v>
      </x:c>
      <x:c r="K12" s="78" t="n">
        <x:f>0</x:f>
        <x:v>0</x:v>
      </x:c>
      <x:c r="L12" s="78" t="n">
        <x:f>IF(I12="","",MAX(0,I12-Inputs!$B$8*J12+Inputs!$B$9*K12))</x:f>
        <x:v>2.143872095400922</x:v>
      </x:c>
      <x:c r="M12" s="78" t="n">
        <x:f>IF(L12="","",L12*Inputs!$B$10)</x:f>
        <x:v>4.287744190801844</x:v>
      </x:c>
      <x:c r="N12" s="78" t="n">
        <x:f>(Inputs!$B$4-$A12+1)*($B$4^$A12)</x:f>
        <x:v>703125</x:v>
      </x:c>
      <x:c r="O12" s="78" t="n">
        <x:f>IF(N12="","",N12*COMBIN($B$5-$A12,Inputs!$B$5-$A12)/COMBIN($B$5,Inputs!$B$5))</x:f>
        <x:v>2.2795955910276144</x:v>
      </x:c>
      <x:c r="P12" s="78" t="n">
        <x:f>IF(O12="","",IF(O12&lt;1E-6,O12,1-EXP(-O12)))</x:f>
        <x:v>0.8976744202682878</x:v>
      </x:c>
      <x:c r="Q12" s="78" t="n">
        <x:f>IF(P12="","",-LN(P12))</x:f>
        <x:v>0.10794783736950327</x:v>
      </x:c>
      <x:c r="R12" s="78" t="n">
        <x:f>IF($A12=3,"",((MAX(0,Inputs!$B$4-($A12-1)-1)*2*$B$4+2*$B$4)/(Inputs!$B$4-($A12-1)+1))/($B$5-($A12-1)))</x:f>
        <x:v>0.13043478260869565</x:v>
      </x:c>
      <x:c r="S12" s="78" t="n">
        <x:f>IF(N12="","",IF($A12=3,P12,S11*R12))</x:f>
        <x:v>0.0002803842104488918</x:v>
      </x:c>
      <x:c r="T12" s="78" t="n">
        <x:f>IF(S12="","",-LN(S12))</x:f>
        <x:v>8.179349715199296</x:v>
      </x:c>
      <x:c r="U12" s="78" t="n">
        <x:f>IF(T12="","",Inputs!$B$7*Q12+(1-Inputs!$B$7)*T12)</x:f>
        <x:v>2.1257983068269515</x:v>
      </x:c>
      <x:c r="V12" s="78" t="n">
        <x:f>Inputs!$B$12*MAX(0,Inputs!$B$15-Inputs!$B$16)</x:f>
        <x:v>1</x:v>
      </x:c>
      <x:c r="W12" s="78" t="n">
        <x:f>Inputs!$B$22</x:f>
        <x:v>1.5</x:v>
      </x:c>
      <x:c r="X12" s="78" t="n">
        <x:f>IF(U12="","",MAX(0,U12-Inputs!$B$8*V12+Inputs!$B$9*W12))</x:f>
        <x:v>3.1257983068269515</x:v>
      </x:c>
      <x:c r="Y12" s="78" t="n">
        <x:f>IF(X12="","",X12*Inputs!$B$10)</x:f>
        <x:v>6.251596613653903</x:v>
      </x:c>
      <x:c r="Z12" s="78" t="n">
        <x:f>$B$4*(Inputs!$B$4-$A12+1)</x:f>
        <x:v>45</x:v>
      </x:c>
      <x:c r="AA12" s="78" t="n">
        <x:f>IF(Z12="","",Z12*COMBIN($B$5-$A12,Inputs!$B$5-$A12)/COMBIN($B$5,Inputs!$B$5))</x:f>
        <x:v>0.00014589411782576733</x:v>
      </x:c>
      <x:c r="AB12" s="78" t="n">
        <x:f>IF(AA12="","",IF(AA12&lt;1E-6,AA12,1-EXP(-AA12)))</x:f>
        <x:v>0.0001458834757964711</x:v>
      </x:c>
      <x:c r="AC12" s="78" t="n">
        <x:f>IF(AB12="","",-LN(AB12))</x:f>
        <x:v>8.832702365899145</x:v>
      </x:c>
      <x:c r="AD12" s="78" t="n">
        <x:f>IF($A12=3,"",((MAX(0,Inputs!$B$4-($A12-1)-1)*2+2)/(Inputs!$B$4-($A12-1)+1))/($B$5-($A12-1)))</x:f>
        <x:v>0.026086956521739132</x:v>
      </x:c>
      <x:c r="AE12" s="78" t="n">
        <x:f>IF(Z12="","",IF($A12=3,AB12,AE11*AD12))</x:f>
        <x:v>1.5911080219491416e-7</x:v>
      </x:c>
      <x:c r="AF12" s="78" t="n">
        <x:f>IF(AE12="","",-LN(AE12))</x:f>
        <x:v>15.653665008276334</x:v>
      </x:c>
      <x:c r="AG12" s="78" t="n">
        <x:f>IF(AF12="","",Inputs!$B$7*AC12+(1-Inputs!$B$7)*AF12)</x:f>
        <x:v>10.537943026493442</x:v>
      </x:c>
      <x:c r="AH12" s="78" t="n">
        <x:f>Inputs!$B$17*(Inputs!$B$12*IF($A12&gt;=6,2,1)*(Inputs!$B$13-Inputs!$B$14)+Inputs!$B$12*MAX(0,Inputs!$B$15-Inputs!$B$16))</x:f>
        <x:v>2.6</x:v>
      </x:c>
      <x:c r="AI12" s="78" t="n">
        <x:f>0</x:f>
        <x:v>0</x:v>
      </x:c>
      <x:c r="AJ12" s="78" t="n">
        <x:f>IF(AG12="","",IF(AND($A12=Inputs!$B$4,Inputs!$B$23=1),L12,MAX(0,AG12-Inputs!$B$8*AH12+Inputs!$B$9*AI12)))</x:f>
        <x:v>9.237943026493442</x:v>
      </x:c>
      <x:c r="AK12" s="78" t="n">
        <x:f>IF(AJ12="","",AJ12*Inputs!$B$10)</x:f>
        <x:v>18.475886052986883</x:v>
      </x:c>
      <x:c r="AL12" s="78" t="str">
        <x:f>IF($A12&lt;=$B$4,Inputs!$B$4*COMBIN($B$4,$A12),"")</x:f>
      </x:c>
      <x:c r="AM12" s="78" t="str">
        <x:f>IF(AL12="","",AL12*COMBIN($B$5-$A12,Inputs!$B$5-$A12)/COMBIN($B$5,Inputs!$B$5))</x:f>
      </x:c>
      <x:c r="AN12" s="78" t="str">
        <x:f>IF(AM12="","",IF(AM12&lt;1E-6,AM12,1-EXP(-AM12)))</x:f>
      </x:c>
      <x:c r="AO12" s="78" t="str">
        <x:f>IF(AN12="","",-LN(AN12))</x:f>
      </x:c>
      <x:c r="AP12" s="78" t="str">
        <x:f>IF(OR($A12=3,$A12&gt;$B$4),"",($B$4-($A12-1))/($B$5-($A12-1)))</x:f>
      </x:c>
      <x:c r="AQ12" s="78" t="str">
        <x:f>IF(AL12="","",IF($A12=3,AN12,AQ11*AP12))</x:f>
      </x:c>
      <x:c r="AR12" s="78" t="str">
        <x:f>IF(AQ12="","",-LN(AQ12))</x:f>
      </x:c>
      <x:c r="AS12" s="78" t="str">
        <x:f>IF(AR12="","",Inputs!$B$7*AO12+(1-Inputs!$B$7)*AR12)</x:f>
      </x:c>
      <x:c r="AT12" s="78" t="str">
        <x:f>IF($A12&gt;$B$4,"",Inputs!$B$12*Inputs!$B$18*IF($A12=3,Inputs!$B$19,IF($A12=4,Inputs!$B$20,IF($A12=5,Inputs!$B$21,0))))</x:f>
      </x:c>
      <x:c r="AU12" s="78" t="str">
        <x:f>IF($A12&gt;$B$4,"",0)</x:f>
      </x:c>
      <x:c r="AV12" s="78" t="str">
        <x:f>IF(AS12="","",MAX(0,AS12-Inputs!$B$8*AT12+Inputs!$B$9*AU12))</x:f>
      </x:c>
      <x:c r="AW12" s="78" t="str">
        <x:f>IF(AV12="","",AV12*Inputs!$B$10)</x:f>
      </x:c>
    </x:row>
    <x:row r="13">
      <x:c r="A13" s="66" t="n">
        <x:v>8</x:v>
      </x:c>
      <x:c r="B13" s="78" t="n">
        <x:f>$B$4*COMBIN(Inputs!$B$4,$A13)</x:f>
        <x:v>32175</x:v>
      </x:c>
      <x:c r="C13" s="78" t="n">
        <x:f>IF(B13="","",B13*COMBIN($B$5-$A13,Inputs!$B$5-$A13)/COMBIN($B$5,Inputs!$B$5))</x:f>
        <x:v>0.012272269911226309</x:v>
      </x:c>
      <x:c r="D13" s="78" t="n">
        <x:f>IF(C13="","",IF(C13&lt;1E-6,C13,1-EXP(-C13)))</x:f>
        <x:v>0.012197272715614216</x:v>
      </x:c>
      <x:c r="E13" s="78" t="n">
        <x:f>IF(D13="","",-LN(D13))</x:f>
        <x:v>4.406542900133957</x:v>
      </x:c>
      <x:c r="F13" s="78" t="n">
        <x:f>IF($A13=3,"",(Inputs!$B$4-($A13-1))/($B$5-($A13-1)))</x:f>
        <x:v>0.11764705882352941</x:v>
      </x:c>
      <x:c r="G13" s="78" t="n">
        <x:f>IF(B13="","",IF($A13=3,D13,G12*F13))</x:f>
        <x:v>0.00005660560591005717</x:v>
      </x:c>
      <x:c r="H13" s="78" t="n">
        <x:f>IF(G13="","",-LN(G13))</x:f>
        <x:v>9.779402533312405</x:v>
      </x:c>
      <x:c r="I13" s="78" t="n">
        <x:f>IF(H13="","",Inputs!$B$7*E13+(1-Inputs!$B$7)*H13)</x:f>
        <x:v>5.749757808428569</x:v>
      </x:c>
      <x:c r="J13" s="78" t="n">
        <x:f>Inputs!$B$12*IF($A13&gt;=6,2,1)*(Inputs!$B$13-Inputs!$B$14)</x:f>
        <x:v>3</x:v>
      </x:c>
      <x:c r="K13" s="78" t="n">
        <x:f>0</x:f>
        <x:v>0</x:v>
      </x:c>
      <x:c r="L13" s="78" t="n">
        <x:f>IF(I13="","",MAX(0,I13-Inputs!$B$8*J13+Inputs!$B$9*K13))</x:f>
        <x:v>4.249757808428569</x:v>
      </x:c>
      <x:c r="M13" s="78" t="n">
        <x:f>IF(L13="","",L13*Inputs!$B$10)</x:f>
        <x:v>8.499515616857138</x:v>
      </x:c>
      <x:c r="N13" s="78" t="n">
        <x:f>(Inputs!$B$4-$A13+1)*($B$4^$A13)</x:f>
        <x:v>3125000</x:v>
      </x:c>
      <x:c r="O13" s="78" t="n">
        <x:f>IF(N13="","",N13*COMBIN($B$5-$A13,Inputs!$B$5-$A13)/COMBIN($B$5,Inputs!$B$5))</x:f>
        <x:v>1.1919454070732625</x:v>
      </x:c>
      <x:c r="P13" s="78" t="n">
        <x:f>IF(O13="","",IF(O13&lt;1E-6,O13,1-EXP(-O13)))</x:f>
        <x:v>0.6963699948261584</x:v>
      </x:c>
      <x:c r="Q13" s="78" t="n">
        <x:f>IF(P13="","",-LN(P13))</x:f>
        <x:v>0.36187415813615514</x:v>
      </x:c>
      <x:c r="R13" s="78" t="n">
        <x:f>IF($A13=3,"",((MAX(0,Inputs!$B$4-($A13-1)-1)*2*$B$4+2*$B$4)/(Inputs!$B$4-($A13-1)+1))/($B$5-($A13-1)))</x:f>
        <x:v>0.13071895424836602</x:v>
      </x:c>
      <x:c r="S13" s="78" t="n">
        <x:f>IF(N13="","",IF($A13=3,P13,S12*R13))</x:f>
        <x:v>0.00003665153077763292</x:v>
      </x:c>
      <x:c r="T13" s="78" t="n">
        <x:f>IF(S13="","",-LN(S13))</x:f>
        <x:v>10.21405536303774</x:v>
      </x:c>
      <x:c r="U13" s="78" t="n">
        <x:f>IF(T13="","",Inputs!$B$7*Q13+(1-Inputs!$B$7)*T13)</x:f>
        <x:v>2.8249194593615514</x:v>
      </x:c>
      <x:c r="V13" s="78" t="n">
        <x:f>Inputs!$B$12*MAX(0,Inputs!$B$15-Inputs!$B$16)</x:f>
        <x:v>1</x:v>
      </x:c>
      <x:c r="W13" s="78" t="n">
        <x:f>Inputs!$B$22</x:f>
        <x:v>1.5</x:v>
      </x:c>
      <x:c r="X13" s="78" t="n">
        <x:f>IF(U13="","",MAX(0,U13-Inputs!$B$8*V13+Inputs!$B$9*W13))</x:f>
        <x:v>3.8249194593615514</x:v>
      </x:c>
      <x:c r="Y13" s="78" t="n">
        <x:f>IF(X13="","",X13*Inputs!$B$10)</x:f>
        <x:v>7.649838918723103</x:v>
      </x:c>
      <x:c r="Z13" s="78" t="n">
        <x:f>$B$4*(Inputs!$B$4-$A13+1)</x:f>
        <x:v>40</x:v>
      </x:c>
      <x:c r="AA13" s="78" t="n">
        <x:f>IF(Z13="","",Z13*COMBIN($B$5-$A13,Inputs!$B$5-$A13)/COMBIN($B$5,Inputs!$B$5))</x:f>
        <x:v>0.000015256901210537758</x:v>
      </x:c>
      <x:c r="AB13" s="78" t="n">
        <x:f>IF(AA13="","",IF(AA13&lt;1E-6,AA13,1-EXP(-AA13)))</x:f>
        <x:v>0.000015256784824613234</x:v>
      </x:c>
      <x:c r="AC13" s="78" t="n">
        <x:f>IF(AB13="","",-LN(AB13))</x:f>
        <x:v>11.090486247320404</x:v>
      </x:c>
      <x:c r="AD13" s="78" t="n">
        <x:f>IF($A13=3,"",((MAX(0,Inputs!$B$4-($A13-1)-1)*2+2)/(Inputs!$B$4-($A13-1)+1))/($B$5-($A13-1)))</x:f>
        <x:v>0.0261437908496732</x:v>
      </x:c>
      <x:c r="AE13" s="78" t="n">
        <x:f>IF(Z13="","",IF($A13=3,AB13,AE12*AD13))</x:f>
        <x:v>4.15975953450756e-9</x:v>
      </x:c>
      <x:c r="AF13" s="78" t="n">
        <x:f>IF(AE13="","",-LN(AE13))</x:f>
        <x:v>19.29780856854888</x:v>
      </x:c>
      <x:c r="AG13" s="78" t="n">
        <x:f>IF(AF13="","",Inputs!$B$7*AC13+(1-Inputs!$B$7)*AF13)</x:f>
        <x:v>13.142316827627523</x:v>
      </x:c>
      <x:c r="AH13" s="78" t="n">
        <x:f>Inputs!$B$17*(Inputs!$B$12*IF($A13&gt;=6,2,1)*(Inputs!$B$13-Inputs!$B$14)+Inputs!$B$12*MAX(0,Inputs!$B$15-Inputs!$B$16))</x:f>
        <x:v>2.6</x:v>
      </x:c>
      <x:c r="AI13" s="78" t="n">
        <x:f>0</x:f>
        <x:v>0</x:v>
      </x:c>
      <x:c r="AJ13" s="78" t="n">
        <x:f>IF(AG13="","",IF(AND($A13=Inputs!$B$4,Inputs!$B$23=1),L13,MAX(0,AG13-Inputs!$B$8*AH13+Inputs!$B$9*AI13)))</x:f>
        <x:v>11.842316827627522</x:v>
      </x:c>
      <x:c r="AK13" s="78" t="n">
        <x:f>IF(AJ13="","",AJ13*Inputs!$B$10)</x:f>
        <x:v>23.684633655255045</x:v>
      </x:c>
      <x:c r="AL13" s="78" t="str">
        <x:f>IF($A13&lt;=$B$4,Inputs!$B$4*COMBIN($B$4,$A13),"")</x:f>
      </x:c>
      <x:c r="AM13" s="78" t="str">
        <x:f>IF(AL13="","",AL13*COMBIN($B$5-$A13,Inputs!$B$5-$A13)/COMBIN($B$5,Inputs!$B$5))</x:f>
      </x:c>
      <x:c r="AN13" s="78" t="str">
        <x:f>IF(AM13="","",IF(AM13&lt;1E-6,AM13,1-EXP(-AM13)))</x:f>
      </x:c>
      <x:c r="AO13" s="78" t="str">
        <x:f>IF(AN13="","",-LN(AN13))</x:f>
      </x:c>
      <x:c r="AP13" s="78" t="str">
        <x:f>IF(OR($A13=3,$A13&gt;$B$4),"",($B$4-($A13-1))/($B$5-($A13-1)))</x:f>
      </x:c>
      <x:c r="AQ13" s="78" t="str">
        <x:f>IF(AL13="","",IF($A13=3,AN13,AQ12*AP13))</x:f>
      </x:c>
      <x:c r="AR13" s="78" t="str">
        <x:f>IF(AQ13="","",-LN(AQ13))</x:f>
      </x:c>
      <x:c r="AS13" s="78" t="str">
        <x:f>IF(AR13="","",Inputs!$B$7*AO13+(1-Inputs!$B$7)*AR13)</x:f>
      </x:c>
      <x:c r="AT13" s="78" t="str">
        <x:f>IF($A13&gt;$B$4,"",Inputs!$B$12*Inputs!$B$18*IF($A13=3,Inputs!$B$19,IF($A13=4,Inputs!$B$20,IF($A13=5,Inputs!$B$21,0))))</x:f>
      </x:c>
      <x:c r="AU13" s="78" t="str">
        <x:f>IF($A13&gt;$B$4,"",0)</x:f>
      </x:c>
      <x:c r="AV13" s="78" t="str">
        <x:f>IF(AS13="","",MAX(0,AS13-Inputs!$B$8*AT13+Inputs!$B$9*AU13))</x:f>
      </x:c>
      <x:c r="AW13" s="78" t="str">
        <x:f>IF(AV13="","",AV13*Inputs!$B$10)</x:f>
      </x:c>
    </x:row>
    <x:row r="14">
      <x:c r="A14" s="66" t="n">
        <x:v>9</x:v>
      </x:c>
      <x:c r="B14" s="78" t="n">
        <x:f>$B$4*COMBIN(Inputs!$B$4,$A14)</x:f>
        <x:v>25025</x:v>
      </x:c>
      <x:c r="C14" s="78" t="n">
        <x:f>IF(B14="","",B14*COMBIN($B$5-$A14,Inputs!$B$5-$A14)/COMBIN($B$5,Inputs!$B$5))</x:f>
        <x:v>0.0009972491304313252</x:v>
      </x:c>
      <x:c r="D14" s="78" t="n">
        <x:f>IF(C14="","",IF(C14&lt;1E-6,C14,1-EXP(-C14)))</x:f>
        <x:v>0.0009967520427710541</x:v>
      </x:c>
      <x:c r="E14" s="78" t="n">
        <x:f>IF(D14="","",-LN(D14))</x:f>
        <x:v>6.911008522273202</x:v>
      </x:c>
      <x:c r="F14" s="78" t="n">
        <x:f>IF($A14=3,"",(Inputs!$B$4-($A14-1))/($B$5-($A14-1)))</x:f>
        <x:v>0.1044776119402985</x:v>
      </x:c>
      <x:c r="G14" s="78" t="n">
        <x:f>IF(B14="","",IF($A14=3,D14,G13*F14))</x:f>
        <x:v>0.000005914018527916421</x:v>
      </x:c>
      <x:c r="H14" s="78" t="n">
        <x:f>IF(G14="","",-LN(G14))</x:f>
        <x:v>12.038185003648058</x:v>
      </x:c>
      <x:c r="I14" s="78" t="n">
        <x:f>IF(H14="","",Inputs!$B$7*E14+(1-Inputs!$B$7)*H14)</x:f>
        <x:v>8.192802642616916</x:v>
      </x:c>
      <x:c r="J14" s="78" t="n">
        <x:f>Inputs!$B$12*IF($A14&gt;=6,2,1)*(Inputs!$B$13-Inputs!$B$14)</x:f>
        <x:v>3</x:v>
      </x:c>
      <x:c r="K14" s="78" t="n">
        <x:f>0</x:f>
        <x:v>0</x:v>
      </x:c>
      <x:c r="L14" s="78" t="n">
        <x:f>IF(I14="","",MAX(0,I14-Inputs!$B$8*J14+Inputs!$B$9*K14))</x:f>
        <x:v>6.6928026426169165</x:v>
      </x:c>
      <x:c r="M14" s="78" t="n">
        <x:f>IF(L14="","",L14*Inputs!$B$10)</x:f>
        <x:v>13.385605285233833</x:v>
      </x:c>
      <x:c r="N14" s="78" t="n">
        <x:f>(Inputs!$B$4-$A14+1)*($B$4^$A14)</x:f>
        <x:v>13671875</x:v>
      </x:c>
      <x:c r="O14" s="78" t="n">
        <x:f>IF(N14="","",N14*COMBIN($B$5-$A14,Inputs!$B$5-$A14)/COMBIN($B$5,Inputs!$B$5))</x:f>
        <x:v>0.5448257924122188</x:v>
      </x:c>
      <x:c r="P14" s="78" t="n">
        <x:f>IF(O14="","",IF(O14&lt;1E-6,O14,1-EXP(-O14)))</x:f>
        <x:v>0.4200571950226709</x:v>
      </x:c>
      <x:c r="Q14" s="78" t="n">
        <x:f>IF(P14="","",-LN(P14))</x:f>
        <x:v>0.8673643983507834</x:v>
      </x:c>
      <x:c r="R14" s="78" t="n">
        <x:f>IF($A14=3,"",((MAX(0,Inputs!$B$4-($A14-1)-1)*2*$B$4+2*$B$4)/(Inputs!$B$4-($A14-1)+1))/($B$5-($A14-1)))</x:f>
        <x:v>0.13059701492537312</x:v>
      </x:c>
      <x:c r="S14" s="78" t="n">
        <x:f>IF(N14="","",IF($A14=3,P14,S13*R14))</x:f>
        <x:v>0.000004786580512004298</x:v>
      </x:c>
      <x:c r="T14" s="78" t="n">
        <x:f>IF(S14="","",-LN(S14))</x:f>
        <x:v>12.249694282059183</x:v>
      </x:c>
      <x:c r="U14" s="78" t="n">
        <x:f>IF(T14="","",Inputs!$B$7*Q14+(1-Inputs!$B$7)*T14)</x:f>
        <x:v>3.712946869277883</x:v>
      </x:c>
      <x:c r="V14" s="78" t="n">
        <x:f>Inputs!$B$12*MAX(0,Inputs!$B$15-Inputs!$B$16)</x:f>
        <x:v>1</x:v>
      </x:c>
      <x:c r="W14" s="78" t="n">
        <x:f>Inputs!$B$22</x:f>
        <x:v>1.5</x:v>
      </x:c>
      <x:c r="X14" s="78" t="n">
        <x:f>IF(U14="","",MAX(0,U14-Inputs!$B$8*V14+Inputs!$B$9*W14))</x:f>
        <x:v>4.712946869277883</x:v>
      </x:c>
      <x:c r="Y14" s="78" t="n">
        <x:f>IF(X14="","",X14*Inputs!$B$10)</x:f>
        <x:v>9.425893738555766</x:v>
      </x:c>
      <x:c r="Z14" s="78" t="n">
        <x:f>$B$4*(Inputs!$B$4-$A14+1)</x:f>
        <x:v>35</x:v>
      </x:c>
      <x:c r="AA14" s="78" t="n">
        <x:f>IF(Z14="","",Z14*COMBIN($B$5-$A14,Inputs!$B$5-$A14)/COMBIN($B$5,Inputs!$B$5))</x:f>
        <x:v>0.0000013947540285752803</x:v>
      </x:c>
      <x:c r="AB14" s="78" t="n">
        <x:f>IF(AA14="","",IF(AA14&lt;1E-6,AA14,1-EXP(-AA14)))</x:f>
        <x:v>0.0000013947530559388355</x:v>
      </x:c>
      <x:c r="AC14" s="78" t="n">
        <x:f>IF(AB14="","",-LN(AB14))</x:f>
        <x:v>13.482793179193358</x:v>
      </x:c>
      <x:c r="AD14" s="78" t="n">
        <x:f>IF($A14=3,"",((MAX(0,Inputs!$B$4-($A14-1)-1)*2+2)/(Inputs!$B$4-($A14-1)+1))/($B$5-($A14-1)))</x:f>
        <x:v>0.026119402985074626</x:v>
      </x:c>
      <x:c r="AE14" s="78" t="n">
        <x:f>IF(Z14="","",IF($A14=3,AB14,AE13*AD14))</x:f>
        <x:v>1.0865043560280939e-10</x:v>
      </x:c>
      <x:c r="AF14" s="78" t="n">
        <x:f>IF(AE14="","",-LN(AE14))</x:f>
        <x:v>22.942885400004425</x:v>
      </x:c>
      <x:c r="AG14" s="78" t="n">
        <x:f>IF(AF14="","",Inputs!$B$7*AC14+(1-Inputs!$B$7)*AF14)</x:f>
        <x:v>15.847816234396124</x:v>
      </x:c>
      <x:c r="AH14" s="78" t="n">
        <x:f>Inputs!$B$17*(Inputs!$B$12*IF($A14&gt;=6,2,1)*(Inputs!$B$13-Inputs!$B$14)+Inputs!$B$12*MAX(0,Inputs!$B$15-Inputs!$B$16))</x:f>
        <x:v>2.6</x:v>
      </x:c>
      <x:c r="AI14" s="78" t="n">
        <x:f>0</x:f>
        <x:v>0</x:v>
      </x:c>
      <x:c r="AJ14" s="78" t="n">
        <x:f>IF(AG14="","",IF(AND($A14=Inputs!$B$4,Inputs!$B$23=1),L14,MAX(0,AG14-Inputs!$B$8*AH14+Inputs!$B$9*AI14)))</x:f>
        <x:v>14.547816234396123</x:v>
      </x:c>
      <x:c r="AK14" s="78" t="n">
        <x:f>IF(AJ14="","",AJ14*Inputs!$B$10)</x:f>
        <x:v>29.095632468792246</x:v>
      </x:c>
      <x:c r="AL14" s="78" t="str">
        <x:f>IF($A14&lt;=$B$4,Inputs!$B$4*COMBIN($B$4,$A14),"")</x:f>
      </x:c>
      <x:c r="AM14" s="78" t="str">
        <x:f>IF(AL14="","",AL14*COMBIN($B$5-$A14,Inputs!$B$5-$A14)/COMBIN($B$5,Inputs!$B$5))</x:f>
      </x:c>
      <x:c r="AN14" s="78" t="str">
        <x:f>IF(AM14="","",IF(AM14&lt;1E-6,AM14,1-EXP(-AM14)))</x:f>
      </x:c>
      <x:c r="AO14" s="78" t="str">
        <x:f>IF(AN14="","",-LN(AN14))</x:f>
      </x:c>
      <x:c r="AP14" s="78" t="str">
        <x:f>IF(OR($A14=3,$A14&gt;$B$4),"",($B$4-($A14-1))/($B$5-($A14-1)))</x:f>
      </x:c>
      <x:c r="AQ14" s="78" t="str">
        <x:f>IF(AL14="","",IF($A14=3,AN14,AQ13*AP14))</x:f>
      </x:c>
      <x:c r="AR14" s="78" t="str">
        <x:f>IF(AQ14="","",-LN(AQ14))</x:f>
      </x:c>
      <x:c r="AS14" s="78" t="str">
        <x:f>IF(AR14="","",Inputs!$B$7*AO14+(1-Inputs!$B$7)*AR14)</x:f>
      </x:c>
      <x:c r="AT14" s="78" t="str">
        <x:f>IF($A14&gt;$B$4,"",Inputs!$B$12*Inputs!$B$18*IF($A14=3,Inputs!$B$19,IF($A14=4,Inputs!$B$20,IF($A14=5,Inputs!$B$21,0))))</x:f>
      </x:c>
      <x:c r="AU14" s="78" t="str">
        <x:f>IF($A14&gt;$B$4,"",0)</x:f>
      </x:c>
      <x:c r="AV14" s="78" t="str">
        <x:f>IF(AS14="","",MAX(0,AS14-Inputs!$B$8*AT14+Inputs!$B$9*AU14))</x:f>
      </x:c>
      <x:c r="AW14" s="78" t="str">
        <x:f>IF(AV14="","",AV14*Inputs!$B$10)</x:f>
      </x:c>
    </x:row>
    <x:row r="15">
      <x:c r="A15" s="66" t="n">
        <x:v>10</x:v>
      </x:c>
      <x:c r="B15" s="78" t="n">
        <x:f>$B$4*COMBIN(Inputs!$B$4,$A15)</x:f>
        <x:v>15015</x:v>
      </x:c>
      <x:c r="C15" s="78" t="n">
        <x:f>IF(B15="","",B15*COMBIN($B$5-$A15,Inputs!$B$5-$A15)/COMBIN($B$5,Inputs!$B$5))</x:f>
        <x:v>0.00005439540711443593</x:v>
      </x:c>
      <x:c r="D15" s="78" t="n">
        <x:f>IF(C15="","",IF(C15&lt;1E-6,C15,1-EXP(-C15)))</x:f>
        <x:v>0.000054393927711116064</x:v>
      </x:c>
      <x:c r="E15" s="78" t="n">
        <x:f>IF(D15="","",-LN(D15))</x:f>
        <x:v>9.819258033290108</x:v>
      </x:c>
      <x:c r="F15" s="78" t="n">
        <x:f>IF($A15=3,"",(Inputs!$B$4-($A15-1))/($B$5-($A15-1)))</x:f>
        <x:v>0.09090909090909091</x:v>
      </x:c>
      <x:c r="G15" s="78" t="n">
        <x:f>IF(B15="","",IF($A15=3,D15,G14*F15))</x:f>
        <x:v>5.376380479924019e-7</x:v>
      </x:c>
      <x:c r="H15" s="78" t="n">
        <x:f>IF(G15="","",-LN(G15))</x:f>
        <x:v>14.436080276446427</x:v>
      </x:c>
      <x:c r="I15" s="78" t="n">
        <x:f>IF(H15="","",Inputs!$B$7*E15+(1-Inputs!$B$7)*H15)</x:f>
        <x:v>10.973463594079188</x:v>
      </x:c>
      <x:c r="J15" s="78" t="n">
        <x:f>Inputs!$B$12*IF($A15&gt;=6,2,1)*(Inputs!$B$13-Inputs!$B$14)</x:f>
        <x:v>3</x:v>
      </x:c>
      <x:c r="K15" s="78" t="n">
        <x:f>0</x:f>
        <x:v>0</x:v>
      </x:c>
      <x:c r="L15" s="78" t="n">
        <x:f>IF(I15="","",MAX(0,I15-Inputs!$B$8*J15+Inputs!$B$9*K15))</x:f>
        <x:v>9.473463594079188</x:v>
      </x:c>
      <x:c r="M15" s="78" t="n">
        <x:f>IF(L15="","",L15*Inputs!$B$10)</x:f>
        <x:v>18.946927188158377</x:v>
      </x:c>
      <x:c r="N15" s="78" t="n">
        <x:f>(Inputs!$B$4-$A15+1)*($B$4^$A15)</x:f>
        <x:v>58593750</x:v>
      </x:c>
      <x:c r="O15" s="78" t="n">
        <x:f>IF(N15="","",N15*COMBIN($B$5-$A15,Inputs!$B$5-$A15)/COMBIN($B$5,Inputs!$B$5))</x:f>
        <x:v>0.21226978925151385</x:v>
      </x:c>
      <x:c r="P15" s="78" t="n">
        <x:f>IF(O15="","",IF(O15&lt;1E-6,O15,1-EXP(-O15)))</x:f>
        <x:v>0.1912535229756558</x:v>
      </x:c>
      <x:c r="Q15" s="78" t="n">
        <x:f>IF(P15="","",-LN(P15))</x:f>
        <x:v>1.6541553856574098</x:v>
      </x:c>
      <x:c r="R15" s="78" t="n">
        <x:f>IF($A15=3,"",((MAX(0,Inputs!$B$4-($A15-1)-1)*2*$B$4+2*$B$4)/(Inputs!$B$4-($A15-1)+1))/($B$5-($A15-1)))</x:f>
        <x:v>0.12987012987012986</x:v>
      </x:c>
      <x:c r="S15" s="78" t="n">
        <x:f>IF(N15="","",IF($A15=3,P15,S14*R15))</x:f>
        <x:v>6.216338327278309e-7</x:v>
      </x:c>
      <x:c r="T15" s="78" t="n">
        <x:f>IF(S15="","",-LN(S15))</x:f>
        <x:v>14.290914610918822</x:v>
      </x:c>
      <x:c r="U15" s="78" t="n">
        <x:f>IF(T15="","",Inputs!$B$7*Q15+(1-Inputs!$B$7)*T15)</x:f>
        <x:v>4.813345191972763</x:v>
      </x:c>
      <x:c r="V15" s="78" t="n">
        <x:f>Inputs!$B$12*MAX(0,Inputs!$B$15-Inputs!$B$16)</x:f>
        <x:v>1</x:v>
      </x:c>
      <x:c r="W15" s="78" t="n">
        <x:f>Inputs!$B$22</x:f>
        <x:v>1.5</x:v>
      </x:c>
      <x:c r="X15" s="78" t="n">
        <x:f>IF(U15="","",MAX(0,U15-Inputs!$B$8*V15+Inputs!$B$9*W15))</x:f>
        <x:v>5.813345191972763</x:v>
      </x:c>
      <x:c r="Y15" s="78" t="n">
        <x:f>IF(X15="","",X15*Inputs!$B$10)</x:f>
        <x:v>11.626690383945526</x:v>
      </x:c>
      <x:c r="Z15" s="78" t="n">
        <x:f>$B$4*(Inputs!$B$4-$A15+1)</x:f>
        <x:v>30</x:v>
      </x:c>
      <x:c r="AA15" s="78" t="n">
        <x:f>IF(Z15="","",Z15*COMBIN($B$5-$A15,Inputs!$B$5-$A15)/COMBIN($B$5,Inputs!$B$5))</x:f>
        <x:v>1.0868213209677508e-7</x:v>
      </x:c>
      <x:c r="AB15" s="78" t="n">
        <x:f>IF(AA15="","",IF(AA15&lt;1E-6,AA15,1-EXP(-AA15)))</x:f>
        <x:v>1.0868213209677508e-7</x:v>
      </x:c>
      <x:c r="AC15" s="78" t="n">
        <x:f>IF(AB15="","",-LN(AB15))</x:f>
        <x:v>16.034838434465357</x:v>
      </x:c>
      <x:c r="AD15" s="78" t="n">
        <x:f>IF($A15=3,"",((MAX(0,Inputs!$B$4-($A15-1)-1)*2+2)/(Inputs!$B$4-($A15-1)+1))/($B$5-($A15-1)))</x:f>
        <x:v>0.025974025974025972</x:v>
      </x:c>
      <x:c r="AE15" s="78" t="n">
        <x:f>IF(Z15="","",IF($A15=3,AB15,AE14*AD15))</x:f>
        <x:v>2.8220892364366073e-12</x:v>
      </x:c>
      <x:c r="AF15" s="78" t="n">
        <x:f>IF(AE15="","",-LN(AE15))</x:f>
        <x:v>26.59354364129816</x:v>
      </x:c>
      <x:c r="AG15" s="78" t="n">
        <x:f>IF(AF15="","",Inputs!$B$7*AC15+(1-Inputs!$B$7)*AF15)</x:f>
        <x:v>18.674514736173556</x:v>
      </x:c>
      <x:c r="AH15" s="78" t="n">
        <x:f>Inputs!$B$17*(Inputs!$B$12*IF($A15&gt;=6,2,1)*(Inputs!$B$13-Inputs!$B$14)+Inputs!$B$12*MAX(0,Inputs!$B$15-Inputs!$B$16))</x:f>
        <x:v>2.6</x:v>
      </x:c>
      <x:c r="AI15" s="78" t="n">
        <x:f>0</x:f>
        <x:v>0</x:v>
      </x:c>
      <x:c r="AJ15" s="78" t="n">
        <x:f>IF(AG15="","",IF(AND($A15=Inputs!$B$4,Inputs!$B$23=1),L15,MAX(0,AG15-Inputs!$B$8*AH15+Inputs!$B$9*AI15)))</x:f>
        <x:v>17.374514736173555</x:v>
      </x:c>
      <x:c r="AK15" s="78" t="n">
        <x:f>IF(AJ15="","",AJ15*Inputs!$B$10)</x:f>
        <x:v>34.74902947234711</x:v>
      </x:c>
      <x:c r="AL15" s="78" t="str">
        <x:f>IF($A15&lt;=$B$4,Inputs!$B$4*COMBIN($B$4,$A15),"")</x:f>
      </x:c>
      <x:c r="AM15" s="78" t="str">
        <x:f>IF(AL15="","",AL15*COMBIN($B$5-$A15,Inputs!$B$5-$A15)/COMBIN($B$5,Inputs!$B$5))</x:f>
      </x:c>
      <x:c r="AN15" s="78" t="str">
        <x:f>IF(AM15="","",IF(AM15&lt;1E-6,AM15,1-EXP(-AM15)))</x:f>
      </x:c>
      <x:c r="AO15" s="78" t="str">
        <x:f>IF(AN15="","",-LN(AN15))</x:f>
      </x:c>
      <x:c r="AP15" s="78" t="str">
        <x:f>IF(OR($A15=3,$A15&gt;$B$4),"",($B$4-($A15-1))/($B$5-($A15-1)))</x:f>
      </x:c>
      <x:c r="AQ15" s="78" t="str">
        <x:f>IF(AL15="","",IF($A15=3,AN15,AQ14*AP15))</x:f>
      </x:c>
      <x:c r="AR15" s="78" t="str">
        <x:f>IF(AQ15="","",-LN(AQ15))</x:f>
      </x:c>
      <x:c r="AS15" s="78" t="str">
        <x:f>IF(AR15="","",Inputs!$B$7*AO15+(1-Inputs!$B$7)*AR15)</x:f>
      </x:c>
      <x:c r="AT15" s="78" t="str">
        <x:f>IF($A15&gt;$B$4,"",Inputs!$B$12*Inputs!$B$18*IF($A15=3,Inputs!$B$19,IF($A15=4,Inputs!$B$20,IF($A15=5,Inputs!$B$21,0))))</x:f>
      </x:c>
      <x:c r="AU15" s="78" t="str">
        <x:f>IF($A15&gt;$B$4,"",0)</x:f>
      </x:c>
      <x:c r="AV15" s="78" t="str">
        <x:f>IF(AS15="","",MAX(0,AS15-Inputs!$B$8*AT15+Inputs!$B$9*AU15))</x:f>
      </x:c>
      <x:c r="AW15" s="78" t="str">
        <x:f>IF(AV15="","",AV15*Inputs!$B$10)</x:f>
      </x:c>
    </x:row>
    <x:row r="16">
      <x:c r="A16" s="66" t="n">
        <x:v>11</x:v>
      </x:c>
      <x:c r="B16" s="78" t="n">
        <x:f>$B$4*COMBIN(Inputs!$B$4,$A16)</x:f>
        <x:v>6825</x:v>
      </x:c>
      <x:c r="C16" s="78" t="n">
        <x:f>IF(B16="","",B16*COMBIN($B$5-$A16,Inputs!$B$5-$A16)/COMBIN($B$5,Inputs!$B$5))</x:f>
        <x:v>0.0000019019373116935638</x:v>
      </x:c>
      <x:c r="D16" s="78" t="n">
        <x:f>IF(C16="","",IF(C16&lt;1E-6,C16,1-EXP(-C16)))</x:f>
        <x:v>0.000001901935502979235</x:v>
      </x:c>
      <x:c r="E16" s="78" t="n">
        <x:f>IF(D16="","",-LN(D16))</x:f>
        <x:v>13.172638504521592</x:v>
      </x:c>
      <x:c r="F16" s="78" t="n">
        <x:f>IF($A16=3,"",(Inputs!$B$4-($A16-1))/($B$5-($A16-1)))</x:f>
        <x:v>0.07692307692307693</x:v>
      </x:c>
      <x:c r="G16" s="78" t="n">
        <x:f>IF(B16="","",IF($A16=3,D16,G15*F16))</x:f>
        <x:v>4.135677292249246e-8</x:v>
      </x:c>
      <x:c r="H16" s="78" t="n">
        <x:f>IF(G16="","",-LN(G16))</x:f>
        <x:v>17.001029633907965</x:v>
      </x:c>
      <x:c r="I16" s="78" t="n">
        <x:f>IF(H16="","",Inputs!$B$7*E16+(1-Inputs!$B$7)*H16)</x:f>
        <x:v>14.129736286868184</x:v>
      </x:c>
      <x:c r="J16" s="78" t="n">
        <x:f>Inputs!$B$12*IF($A16&gt;=6,2,1)*(Inputs!$B$13-Inputs!$B$14)</x:f>
        <x:v>3</x:v>
      </x:c>
      <x:c r="K16" s="78" t="n">
        <x:f>0</x:f>
        <x:v>0</x:v>
      </x:c>
      <x:c r="L16" s="78" t="n">
        <x:f>IF(I16="","",MAX(0,I16-Inputs!$B$8*J16+Inputs!$B$9*K16))</x:f>
        <x:v>12.629736286868184</x:v>
      </x:c>
      <x:c r="M16" s="78" t="n">
        <x:f>IF(L16="","",L16*Inputs!$B$10)</x:f>
        <x:v>25.259472573736367</x:v>
      </x:c>
      <x:c r="N16" s="78" t="n">
        <x:f>(Inputs!$B$4-$A16+1)*($B$4^$A16)</x:f>
        <x:v>244140625</x:v>
      </x:c>
      <x:c r="O16" s="78" t="n">
        <x:f>IF(N16="","",N16*COMBIN($B$5-$A16,Inputs!$B$5-$A16)/COMBIN($B$5,Inputs!$B$5))</x:f>
        <x:v>0.06803518886266469</x:v>
      </x:c>
      <x:c r="P16" s="78" t="n">
        <x:f>IF(O16="","",IF(O16&lt;1E-6,O16,1-EXP(-O16)))</x:f>
        <x:v>0.06577240140786411</x:v>
      </x:c>
      <x:c r="Q16" s="78" t="n">
        <x:f>IF(P16="","",-LN(P16))</x:f>
        <x:v>2.721554960128284</x:v>
      </x:c>
      <x:c r="R16" s="78" t="n">
        <x:f>IF($A16=3,"",((MAX(0,Inputs!$B$4-($A16-1)-1)*2*$B$4+2*$B$4)/(Inputs!$B$4-($A16-1)+1))/($B$5-($A16-1)))</x:f>
        <x:v>0.12820512820512822</x:v>
      </x:c>
      <x:c r="S16" s="78" t="n">
        <x:f>IF(N16="","",IF($A16=3,P16,S15*R16))</x:f>
        <x:v>7.969664522151678e-8</x:v>
      </x:c>
      <x:c r="T16" s="78" t="n">
        <x:f>IF(S16="","",-LN(S16))</x:f>
        <x:v>16.345038344614366</x:v>
      </x:c>
      <x:c r="U16" s="78" t="n">
        <x:f>IF(T16="","",Inputs!$B$7*Q16+(1-Inputs!$B$7)*T16)</x:f>
        <x:v>6.127425806249804</x:v>
      </x:c>
      <x:c r="V16" s="78" t="n">
        <x:f>Inputs!$B$12*MAX(0,Inputs!$B$15-Inputs!$B$16)</x:f>
        <x:v>1</x:v>
      </x:c>
      <x:c r="W16" s="78" t="n">
        <x:f>Inputs!$B$22</x:f>
        <x:v>1.5</x:v>
      </x:c>
      <x:c r="X16" s="78" t="n">
        <x:f>IF(U16="","",MAX(0,U16-Inputs!$B$8*V16+Inputs!$B$9*W16))</x:f>
        <x:v>7.127425806249804</x:v>
      </x:c>
      <x:c r="Y16" s="78" t="n">
        <x:f>IF(X16="","",X16*Inputs!$B$10)</x:f>
        <x:v>14.254851612499609</x:v>
      </x:c>
      <x:c r="Z16" s="78" t="n">
        <x:f>$B$4*(Inputs!$B$4-$A16+1)</x:f>
        <x:v>25</x:v>
      </x:c>
      <x:c r="AA16" s="78" t="n">
        <x:f>IF(Z16="","",Z16*COMBIN($B$5-$A16,Inputs!$B$5-$A16)/COMBIN($B$5,Inputs!$B$5))</x:f>
        <x:v>6.966803339536864e-9</x:v>
      </x:c>
      <x:c r="AB16" s="78" t="n">
        <x:f>IF(AA16="","",IF(AA16&lt;1E-6,AA16,1-EXP(-AA16)))</x:f>
        <x:v>6.966803339536864e-9</x:v>
      </x:c>
      <x:c r="AC16" s="78" t="n">
        <x:f>IF(AB16="","",-LN(AB16))</x:f>
        <x:v>18.782109348720848</x:v>
      </x:c>
      <x:c r="AD16" s="78" t="n">
        <x:f>IF($A16=3,"",((MAX(0,Inputs!$B$4-($A16-1)-1)*2+2)/(Inputs!$B$4-($A16-1)+1))/($B$5-($A16-1)))</x:f>
        <x:v>0.025641025641025644</x:v>
      </x:c>
      <x:c r="AE16" s="78" t="n">
        <x:f>IF(Z16="","",IF($A16=3,AB16,AE15*AD16))</x:f>
        <x:v>7.236126247273352e-14</x:v>
      </x:c>
      <x:c r="AF16" s="78" t="str">
        <x:f>IF(AE16="","",-LN(AE16))</x:f>
      </x:c>
      <x:c r="AG16" s="78" t="str">
        <x:f>IF(AF16="","",Inputs!$B$7*AC16+(1-Inputs!$B$7)*AF16)</x:f>
      </x:c>
      <x:c r="AH16" s="78" t="n">
        <x:f>Inputs!$B$17*(Inputs!$B$12*IF($A16&gt;=6,2,1)*(Inputs!$B$13-Inputs!$B$14)+Inputs!$B$12*MAX(0,Inputs!$B$15-Inputs!$B$16))</x:f>
        <x:v>2.6</x:v>
      </x:c>
      <x:c r="AI16" s="78" t="n">
        <x:f>0</x:f>
        <x:v>0</x:v>
      </x:c>
      <x:c r="AJ16" s="78" t="str">
        <x:f>IF(AG16="","",IF(AND($A16=Inputs!$B$4,Inputs!$B$23=1),L16,MAX(0,AG16-Inputs!$B$8*AH16+Inputs!$B$9*AI16)))</x:f>
      </x:c>
      <x:c r="AK16" s="78" t="str">
        <x:f>IF(AJ16="","",AJ16*Inputs!$B$10)</x:f>
      </x:c>
      <x:c r="AL16" s="78" t="str">
        <x:f>IF($A16&lt;=$B$4,Inputs!$B$4*COMBIN($B$4,$A16),"")</x:f>
      </x:c>
      <x:c r="AM16" s="78" t="str">
        <x:f>IF(AL16="","",AL16*COMBIN($B$5-$A16,Inputs!$B$5-$A16)/COMBIN($B$5,Inputs!$B$5))</x:f>
      </x:c>
      <x:c r="AN16" s="78" t="str">
        <x:f>IF(AM16="","",IF(AM16&lt;1E-6,AM16,1-EXP(-AM16)))</x:f>
      </x:c>
      <x:c r="AO16" s="78" t="str">
        <x:f>IF(AN16="","",-LN(AN16))</x:f>
      </x:c>
      <x:c r="AP16" s="78" t="str">
        <x:f>IF(OR($A16=3,$A16&gt;$B$4),"",($B$4-($A16-1))/($B$5-($A16-1)))</x:f>
      </x:c>
      <x:c r="AQ16" s="78" t="str">
        <x:f>IF(AL16="","",IF($A16=3,AN16,AQ15*AP16))</x:f>
      </x:c>
      <x:c r="AR16" s="78" t="str">
        <x:f>IF(AQ16="","",-LN(AQ16))</x:f>
      </x:c>
      <x:c r="AS16" s="78" t="str">
        <x:f>IF(AR16="","",Inputs!$B$7*AO16+(1-Inputs!$B$7)*AR16)</x:f>
      </x:c>
      <x:c r="AT16" s="78" t="str">
        <x:f>IF($A16&gt;$B$4,"",Inputs!$B$12*Inputs!$B$18*IF($A16=3,Inputs!$B$19,IF($A16=4,Inputs!$B$20,IF($A16=5,Inputs!$B$21,0))))</x:f>
      </x:c>
      <x:c r="AU16" s="78" t="str">
        <x:f>IF($A16&gt;$B$4,"",0)</x:f>
      </x:c>
      <x:c r="AV16" s="78" t="str">
        <x:f>IF(AS16="","",MAX(0,AS16-Inputs!$B$8*AT16+Inputs!$B$9*AU16))</x:f>
      </x:c>
      <x:c r="AW16" s="78" t="str">
        <x:f>IF(AV16="","",AV16*Inputs!$B$10)</x:f>
      </x:c>
    </x:row>
    <x:row r="17">
      <x:c r="A17" s="66" t="n">
        <x:v>12</x:v>
      </x:c>
      <x:c r="B17" s="78" t="n">
        <x:f>$B$4*COMBIN(Inputs!$B$4,$A17)</x:f>
        <x:v>2275</x:v>
      </x:c>
      <x:c r="C17" s="78" t="n">
        <x:f>IF(B17="","",B17*COMBIN($B$5-$A17,Inputs!$B$5-$A17)/COMBIN($B$5,Inputs!$B$5))</x:f>
        <x:v>3.962369399361591e-8</x:v>
      </x:c>
      <x:c r="D17" s="78" t="n">
        <x:f>IF(C17="","",IF(C17&lt;1E-6,C17,1-EXP(-C17)))</x:f>
        <x:v>3.962369399361591e-8</x:v>
      </x:c>
      <x:c r="E17" s="78" t="n">
        <x:f>IF(D17="","",-LN(D17))</x:f>
        <x:v>17.04383856444378</x:v>
      </x:c>
      <x:c r="F17" s="78" t="n">
        <x:f>IF($A17=3,"",(Inputs!$B$4-($A17-1))/($B$5-($A17-1)))</x:f>
        <x:v>0.0625</x:v>
      </x:c>
      <x:c r="G17" s="78" t="n">
        <x:f>IF(B17="","",IF($A17=3,D17,G16*F17))</x:f>
        <x:v>2.5847983076557785e-9</x:v>
      </x:c>
      <x:c r="H17" s="78" t="n">
        <x:f>IF(G17="","",-LN(G17))</x:f>
        <x:v>19.773618356147747</x:v>
      </x:c>
      <x:c r="I17" s="78" t="n">
        <x:f>IF(H17="","",Inputs!$B$7*E17+(1-Inputs!$B$7)*H17)</x:f>
        <x:v>17.726283512369772</x:v>
      </x:c>
      <x:c r="J17" s="78" t="n">
        <x:f>Inputs!$B$12*IF($A17&gt;=6,2,1)*(Inputs!$B$13-Inputs!$B$14)</x:f>
        <x:v>3</x:v>
      </x:c>
      <x:c r="K17" s="78" t="n">
        <x:f>0</x:f>
        <x:v>0</x:v>
      </x:c>
      <x:c r="L17" s="78" t="n">
        <x:f>IF(I17="","",MAX(0,I17-Inputs!$B$8*J17+Inputs!$B$9*K17))</x:f>
        <x:v>16.226283512369772</x:v>
      </x:c>
      <x:c r="M17" s="78" t="n">
        <x:f>IF(L17="","",L17*Inputs!$B$10)</x:f>
        <x:v>32.452567024739544</x:v>
      </x:c>
      <x:c r="N17" s="78" t="n">
        <x:f>(Inputs!$B$4-$A17+1)*($B$4^$A17)</x:f>
        <x:v>976562500</x:v>
      </x:c>
      <x:c r="O17" s="78" t="n">
        <x:f>IF(N17="","",N17*COMBIN($B$5-$A17,Inputs!$B$5-$A17)/COMBIN($B$5,Inputs!$B$5))</x:f>
        <x:v>0.01700879721566617</x:v>
      </x:c>
      <x:c r="P17" s="78" t="n">
        <x:f>IF(O17="","",IF(O17&lt;1E-6,O17,1-EXP(-O17)))</x:f>
        <x:v>0.0168649642540718</x:v>
      </x:c>
      <x:c r="Q17" s="78" t="n">
        <x:f>IF(P17="","",-LN(P17))</x:f>
        <x:v>4.082516930004016</x:v>
      </x:c>
      <x:c r="R17" s="78" t="n">
        <x:f>IF($A17=3,"",((MAX(0,Inputs!$B$4-($A17-1)-1)*2*$B$4+2*$B$4)/(Inputs!$B$4-($A17-1)+1))/($B$5-($A17-1)))</x:f>
        <x:v>0.125</x:v>
      </x:c>
      <x:c r="S17" s="78" t="n">
        <x:f>IF(N17="","",IF($A17=3,P17,S16*R17))</x:f>
        <x:v>9.962080652689598e-9</x:v>
      </x:c>
      <x:c r="T17" s="78" t="n">
        <x:f>IF(S17="","",-LN(S17))</x:f>
        <x:v>18.424479886294204</x:v>
      </x:c>
      <x:c r="U17" s="78" t="n">
        <x:f>IF(T17="","",Inputs!$B$7*Q17+(1-Inputs!$B$7)*T17)</x:f>
        <x:v>7.668007669076563</x:v>
      </x:c>
      <x:c r="V17" s="78" t="n">
        <x:f>Inputs!$B$12*MAX(0,Inputs!$B$15-Inputs!$B$16)</x:f>
        <x:v>1</x:v>
      </x:c>
      <x:c r="W17" s="78" t="n">
        <x:f>Inputs!$B$22</x:f>
        <x:v>1.5</x:v>
      </x:c>
      <x:c r="X17" s="78" t="n">
        <x:f>IF(U17="","",MAX(0,U17-Inputs!$B$8*V17+Inputs!$B$9*W17))</x:f>
        <x:v>8.668007669076562</x:v>
      </x:c>
      <x:c r="Y17" s="78" t="n">
        <x:f>IF(X17="","",X17*Inputs!$B$10)</x:f>
        <x:v>17.336015338153125</x:v>
      </x:c>
      <x:c r="Z17" s="78" t="n">
        <x:f>$B$4*(Inputs!$B$4-$A17+1)</x:f>
        <x:v>20</x:v>
      </x:c>
      <x:c r="AA17" s="78" t="n">
        <x:f>IF(Z17="","",Z17*COMBIN($B$5-$A17,Inputs!$B$5-$A17)/COMBIN($B$5,Inputs!$B$5))</x:f>
        <x:v>3.4834016697684324e-10</x:v>
      </x:c>
      <x:c r="AB17" s="78" t="n">
        <x:f>IF(AA17="","",IF(AA17&lt;1E-6,AA17,1-EXP(-AA17)))</x:f>
        <x:v>3.4834016697684324e-10</x:v>
      </x:c>
      <x:c r="AC17" s="78" t="n">
        <x:f>IF(AB17="","",-LN(AB17))</x:f>
        <x:v>21.77784162227484</x:v>
      </x:c>
      <x:c r="AD17" s="78" t="n">
        <x:f>IF($A17=3,"",((MAX(0,Inputs!$B$4-($A17-1)-1)*2+2)/(Inputs!$B$4-($A17-1)+1))/($B$5-($A17-1)))</x:f>
        <x:v>0.025</x:v>
      </x:c>
      <x:c r="AE17" s="78" t="n">
        <x:f>IF(Z17="","",IF($A17=3,AB17,AE16*AD17))</x:f>
        <x:v>1.809031561818338e-15</x:v>
      </x:c>
      <x:c r="AF17" s="78" t="str">
        <x:f>IF(AE17="","",-LN(AE17))</x:f>
      </x:c>
      <x:c r="AG17" s="78" t="str">
        <x:f>IF(AF17="","",Inputs!$B$7*AC17+(1-Inputs!$B$7)*AF17)</x:f>
      </x:c>
      <x:c r="AH17" s="78" t="n">
        <x:f>Inputs!$B$17*(Inputs!$B$12*IF($A17&gt;=6,2,1)*(Inputs!$B$13-Inputs!$B$14)+Inputs!$B$12*MAX(0,Inputs!$B$15-Inputs!$B$16))</x:f>
        <x:v>2.6</x:v>
      </x:c>
      <x:c r="AI17" s="78" t="n">
        <x:f>0</x:f>
        <x:v>0</x:v>
      </x:c>
      <x:c r="AJ17" s="78" t="str">
        <x:f>IF(AG17="","",IF(AND($A17=Inputs!$B$4,Inputs!$B$23=1),L17,MAX(0,AG17-Inputs!$B$8*AH17+Inputs!$B$9*AI17)))</x:f>
      </x:c>
      <x:c r="AK17" s="78" t="str">
        <x:f>IF(AJ17="","",AJ17*Inputs!$B$10)</x:f>
      </x:c>
      <x:c r="AL17" s="78" t="str">
        <x:f>IF($A17&lt;=$B$4,Inputs!$B$4*COMBIN($B$4,$A17),"")</x:f>
      </x:c>
      <x:c r="AM17" s="78" t="str">
        <x:f>IF(AL17="","",AL17*COMBIN($B$5-$A17,Inputs!$B$5-$A17)/COMBIN($B$5,Inputs!$B$5))</x:f>
      </x:c>
      <x:c r="AN17" s="78" t="str">
        <x:f>IF(AM17="","",IF(AM17&lt;1E-6,AM17,1-EXP(-AM17)))</x:f>
      </x:c>
      <x:c r="AO17" s="78" t="str">
        <x:f>IF(AN17="","",-LN(AN17))</x:f>
      </x:c>
      <x:c r="AP17" s="78" t="str">
        <x:f>IF(OR($A17=3,$A17&gt;$B$4),"",($B$4-($A17-1))/($B$5-($A17-1)))</x:f>
      </x:c>
      <x:c r="AQ17" s="78" t="str">
        <x:f>IF(AL17="","",IF($A17=3,AN17,AQ16*AP17))</x:f>
      </x:c>
      <x:c r="AR17" s="78" t="str">
        <x:f>IF(AQ17="","",-LN(AQ17))</x:f>
      </x:c>
      <x:c r="AS17" s="78" t="str">
        <x:f>IF(AR17="","",Inputs!$B$7*AO17+(1-Inputs!$B$7)*AR17)</x:f>
      </x:c>
      <x:c r="AT17" s="78" t="str">
        <x:f>IF($A17&gt;$B$4,"",Inputs!$B$12*Inputs!$B$18*IF($A17=3,Inputs!$B$19,IF($A17=4,Inputs!$B$20,IF($A17=5,Inputs!$B$21,0))))</x:f>
      </x:c>
      <x:c r="AU17" s="78" t="str">
        <x:f>IF($A17&gt;$B$4,"",0)</x:f>
      </x:c>
      <x:c r="AV17" s="78" t="str">
        <x:f>IF(AS17="","",MAX(0,AS17-Inputs!$B$8*AT17+Inputs!$B$9*AU17))</x:f>
      </x:c>
      <x:c r="AW17" s="78" t="str">
        <x:f>IF(AV17="","",AV17*Inputs!$B$10)</x:f>
      </x:c>
    </x:row>
    <x:row r="18">
      <x:c r="A18" s="66" t="n">
        <x:v>13</x:v>
      </x:c>
      <x:c r="B18" s="78" t="n">
        <x:f>$B$4*COMBIN(Inputs!$B$4,$A18)</x:f>
        <x:v>525</x:v>
      </x:c>
      <x:c r="C18" s="78" t="n">
        <x:f>IF(B18="","",B18*COMBIN($B$5-$A18,Inputs!$B$5-$A18)/COMBIN($B$5,Inputs!$B$5))</x:f>
        <x:v>4.3542520872105405e-10</x:v>
      </x:c>
      <x:c r="D18" s="78" t="n">
        <x:f>IF(C18="","",IF(C18&lt;1E-6,C18,1-EXP(-C18)))</x:f>
        <x:v>4.3542520872105405e-10</x:v>
      </x:c>
      <x:c r="E18" s="78" t="n">
        <x:f>IF(D18="","",-LN(D18))</x:f>
        <x:v>21.55469807096063</x:v>
      </x:c>
      <x:c r="F18" s="78" t="n">
        <x:f>IF($A18=3,"",(Inputs!$B$4-($A18-1))/($B$5-($A18-1)))</x:f>
        <x:v>0.047619047619047616</x:v>
      </x:c>
      <x:c r="G18" s="78" t="n">
        <x:f>IF(B18="","",IF($A18=3,D18,G17*F18))</x:f>
        <x:v>1.230856336978942e-10</x:v>
      </x:c>
      <x:c r="H18" s="78" t="n">
        <x:f>IF(G18="","",-LN(G18))</x:f>
        <x:v>22.81814079387117</x:v>
      </x:c>
      <x:c r="I18" s="78" t="n">
        <x:f>IF(H18="","",Inputs!$B$7*E18+(1-Inputs!$B$7)*H18)</x:f>
        <x:v>21.870558751688264</x:v>
      </x:c>
      <x:c r="J18" s="78" t="n">
        <x:f>Inputs!$B$12*IF($A18&gt;=6,2,1)*(Inputs!$B$13-Inputs!$B$14)</x:f>
        <x:v>3</x:v>
      </x:c>
      <x:c r="K18" s="78" t="n">
        <x:f>0</x:f>
        <x:v>0</x:v>
      </x:c>
      <x:c r="L18" s="78" t="n">
        <x:f>IF(I18="","",MAX(0,I18-Inputs!$B$8*J18+Inputs!$B$9*K18))</x:f>
        <x:v>20.370558751688264</x:v>
      </x:c>
      <x:c r="M18" s="78" t="n">
        <x:f>IF(L18="","",L18*Inputs!$B$10)</x:f>
        <x:v>40.74111750337653</x:v>
      </x:c>
      <x:c r="N18" s="78" t="n">
        <x:f>(Inputs!$B$4-$A18+1)*($B$4^$A18)</x:f>
        <x:v>3662109375</x:v>
      </x:c>
      <x:c r="O18" s="78" t="n">
        <x:f>IF(N18="","",N18*COMBIN($B$5-$A18,Inputs!$B$5-$A18)/COMBIN($B$5,Inputs!$B$5))</x:f>
        <x:v>0.0030372852170832453</x:v>
      </x:c>
      <x:c r="P18" s="78" t="n">
        <x:f>IF(O18="","",IF(O18&lt;1E-6,O18,1-EXP(-O18)))</x:f>
        <x:v>0.0030326773326718737</x:v>
      </x:c>
      <x:c r="Q18" s="78" t="n">
        <x:f>IF(P18="","",-LN(P18))</x:f>
        <x:v>5.798309441470191</x:v>
      </x:c>
      <x:c r="R18" s="78" t="n">
        <x:f>IF($A18=3,"",((MAX(0,Inputs!$B$4-($A18-1)-1)*2*$B$4+2*$B$4)/(Inputs!$B$4-($A18-1)+1))/($B$5-($A18-1)))</x:f>
        <x:v>0.11904761904761904</x:v>
      </x:c>
      <x:c r="S18" s="78" t="n">
        <x:f>IF(N18="","",IF($A18=3,P18,S17*R18))</x:f>
        <x:v>1.1859619824630474e-9</x:v>
      </x:c>
      <x:c r="T18" s="78" t="n">
        <x:f>IF(S18="","",-LN(S18))</x:f>
        <x:v>20.55271159214347</x:v>
      </x:c>
      <x:c r="U18" s="78" t="n">
        <x:f>IF(T18="","",Inputs!$B$7*Q18+(1-Inputs!$B$7)*T18)</x:f>
        <x:v>9.48690997913851</x:v>
      </x:c>
      <x:c r="V18" s="78" t="n">
        <x:f>Inputs!$B$12*MAX(0,Inputs!$B$15-Inputs!$B$16)</x:f>
        <x:v>1</x:v>
      </x:c>
      <x:c r="W18" s="78" t="n">
        <x:f>Inputs!$B$22</x:f>
        <x:v>1.5</x:v>
      </x:c>
      <x:c r="X18" s="78" t="n">
        <x:f>IF(U18="","",MAX(0,U18-Inputs!$B$8*V18+Inputs!$B$9*W18))</x:f>
        <x:v>10.48690997913851</x:v>
      </x:c>
      <x:c r="Y18" s="78" t="n">
        <x:f>IF(X18="","",X18*Inputs!$B$10)</x:f>
        <x:v>20.97381995827702</x:v>
      </x:c>
      <x:c r="Z18" s="78" t="n">
        <x:f>$B$4*(Inputs!$B$4-$A18+1)</x:f>
        <x:v>15</x:v>
      </x:c>
      <x:c r="AA18" s="78" t="n">
        <x:f>IF(Z18="","",Z18*COMBIN($B$5-$A18,Inputs!$B$5-$A18)/COMBIN($B$5,Inputs!$B$5))</x:f>
        <x:v>1.2440720249172973e-11</x:v>
      </x:c>
      <x:c r="AB18" s="78" t="n">
        <x:f>IF(AA18="","",IF(AA18&lt;1E-6,AA18,1-EXP(-AA18)))</x:f>
        <x:v>1.2440720249172973e-11</x:v>
      </x:c>
      <x:c r="AC18" s="78" t="n">
        <x:f>IF(AB18="","",-LN(AB18))</x:f>
        <x:v>25.110046132450044</x:v>
      </x:c>
      <x:c r="AD18" s="78" t="n">
        <x:f>IF($A18=3,"",((MAX(0,Inputs!$B$4-($A18-1)-1)*2+2)/(Inputs!$B$4-($A18-1)+1))/($B$5-($A18-1)))</x:f>
        <x:v>0.023809523809523808</x:v>
      </x:c>
      <x:c r="AE18" s="78" t="n">
        <x:f>IF(Z18="","",IF($A18=3,AB18,AE17*AD18))</x:f>
        <x:v>4.3072180043293763e-17</x:v>
      </x:c>
      <x:c r="AF18" s="78" t="str">
        <x:f>IF(AE18="","",-LN(AE18))</x:f>
      </x:c>
      <x:c r="AG18" s="78" t="str">
        <x:f>IF(AF18="","",Inputs!$B$7*AC18+(1-Inputs!$B$7)*AF18)</x:f>
      </x:c>
      <x:c r="AH18" s="78" t="n">
        <x:f>Inputs!$B$17*(Inputs!$B$12*IF($A18&gt;=6,2,1)*(Inputs!$B$13-Inputs!$B$14)+Inputs!$B$12*MAX(0,Inputs!$B$15-Inputs!$B$16))</x:f>
        <x:v>2.6</x:v>
      </x:c>
      <x:c r="AI18" s="78" t="n">
        <x:f>0</x:f>
        <x:v>0</x:v>
      </x:c>
      <x:c r="AJ18" s="78" t="str">
        <x:f>IF(AG18="","",IF(AND($A18=Inputs!$B$4,Inputs!$B$23=1),L18,MAX(0,AG18-Inputs!$B$8*AH18+Inputs!$B$9*AI18)))</x:f>
      </x:c>
      <x:c r="AK18" s="78" t="str">
        <x:f>IF(AJ18="","",AJ18*Inputs!$B$10)</x:f>
      </x:c>
      <x:c r="AL18" s="78" t="str">
        <x:f>IF($A18&lt;=$B$4,Inputs!$B$4*COMBIN($B$4,$A18),"")</x:f>
      </x:c>
      <x:c r="AM18" s="78" t="str">
        <x:f>IF(AL18="","",AL18*COMBIN($B$5-$A18,Inputs!$B$5-$A18)/COMBIN($B$5,Inputs!$B$5))</x:f>
      </x:c>
      <x:c r="AN18" s="78" t="str">
        <x:f>IF(AM18="","",IF(AM18&lt;1E-6,AM18,1-EXP(-AM18)))</x:f>
      </x:c>
      <x:c r="AO18" s="78" t="str">
        <x:f>IF(AN18="","",-LN(AN18))</x:f>
      </x:c>
      <x:c r="AP18" s="78" t="str">
        <x:f>IF(OR($A18=3,$A18&gt;$B$4),"",($B$4-($A18-1))/($B$5-($A18-1)))</x:f>
      </x:c>
      <x:c r="AQ18" s="78" t="str">
        <x:f>IF(AL18="","",IF($A18=3,AN18,AQ17*AP18))</x:f>
      </x:c>
      <x:c r="AR18" s="78" t="str">
        <x:f>IF(AQ18="","",-LN(AQ18))</x:f>
      </x:c>
      <x:c r="AS18" s="78" t="str">
        <x:f>IF(AR18="","",Inputs!$B$7*AO18+(1-Inputs!$B$7)*AR18)</x:f>
      </x:c>
      <x:c r="AT18" s="78" t="str">
        <x:f>IF($A18&gt;$B$4,"",Inputs!$B$12*Inputs!$B$18*IF($A18=3,Inputs!$B$19,IF($A18=4,Inputs!$B$20,IF($A18=5,Inputs!$B$21,0))))</x:f>
      </x:c>
      <x:c r="AU18" s="78" t="str">
        <x:f>IF($A18&gt;$B$4,"",0)</x:f>
      </x:c>
      <x:c r="AV18" s="78" t="str">
        <x:f>IF(AS18="","",MAX(0,AS18-Inputs!$B$8*AT18+Inputs!$B$9*AU18))</x:f>
      </x:c>
      <x:c r="AW18" s="78" t="str">
        <x:f>IF(AV18="","",AV18*Inputs!$B$10)</x:f>
      </x:c>
    </x:row>
    <x:row r="19">
      <x:c r="A19" s="66" t="n">
        <x:v>14</x:v>
      </x:c>
      <x:c r="B19" s="78" t="n">
        <x:f>$B$4*COMBIN(Inputs!$B$4,$A19)</x:f>
        <x:v>75</x:v>
      </x:c>
      <x:c r="C19" s="78" t="n">
        <x:f>IF(B19="","",B19*COMBIN($B$5-$A19,Inputs!$B$5-$A19)/COMBIN($B$5,Inputs!$B$5))</x:f>
        <x:v>2.006567782124673e-12</x:v>
      </x:c>
      <x:c r="D19" s="78" t="n">
        <x:f>IF(C19="","",IF(C19&lt;1E-6,C19,1-EXP(-C19)))</x:f>
        <x:v>2.006567782124673e-12</x:v>
      </x:c>
      <x:c r="E19" s="78" t="n">
        <x:f>IF(D19="","",-LN(D19))</x:f>
        <x:v>26.93459542450109</x:v>
      </x:c>
      <x:c r="F19" s="78" t="n">
        <x:f>IF($A19=3,"",(Inputs!$B$4-($A19-1))/($B$5-($A19-1)))</x:f>
        <x:v>0.03225806451612903</x:v>
      </x:c>
      <x:c r="G19" s="78" t="n">
        <x:f>IF(B19="","",IF($A19=3,D19,G18*F19))</x:f>
        <x:v>3.970504312835297e-12</x:v>
      </x:c>
      <x:c r="H19" s="78" t="n">
        <x:f>IF(G19="","",-LN(G19))</x:f>
        <x:v>26.252127998356315</x:v>
      </x:c>
      <x:c r="I19" s="78" t="n">
        <x:f>IF(H19="","",Inputs!$B$7*E19+(1-Inputs!$B$7)*H19)</x:f>
        <x:v>26.763978567964898</x:v>
      </x:c>
      <x:c r="J19" s="78" t="n">
        <x:f>Inputs!$B$12*IF($A19&gt;=6,2,1)*(Inputs!$B$13-Inputs!$B$14)</x:f>
        <x:v>3</x:v>
      </x:c>
      <x:c r="K19" s="78" t="n">
        <x:f>0</x:f>
        <x:v>0</x:v>
      </x:c>
      <x:c r="L19" s="78" t="n">
        <x:f>IF(I19="","",MAX(0,I19-Inputs!$B$8*J19+Inputs!$B$9*K19))</x:f>
        <x:v>25.263978567964898</x:v>
      </x:c>
      <x:c r="M19" s="78" t="n">
        <x:f>IF(L19="","",L19*Inputs!$B$10)</x:f>
        <x:v>50.527957135929796</x:v>
      </x:c>
      <x:c r="N19" s="78" t="n">
        <x:f>(Inputs!$B$4-$A19+1)*($B$4^$A19)</x:f>
        <x:v>12207031250</x:v>
      </x:c>
      <x:c r="O19" s="78" t="n">
        <x:f>IF(N19="","",N19*COMBIN($B$5-$A19,Inputs!$B$5-$A19)/COMBIN($B$5,Inputs!$B$5))</x:f>
        <x:v>0.000326589808288521</x:v>
      </x:c>
      <x:c r="P19" s="78" t="n">
        <x:f>IF(O19="","",IF(O19&lt;1E-6,O19,1-EXP(-O19)))</x:f>
        <x:v>0.0003265364836423368</x:v>
      </x:c>
      <x:c r="Q19" s="78" t="n">
        <x:f>IF(P19="","",-LN(P19))</x:f>
        <x:v>8.026968873859985</x:v>
      </x:c>
      <x:c r="R19" s="78" t="n">
        <x:f>IF($A19=3,"",((MAX(0,Inputs!$B$4-($A19-1)-1)*2*$B$4+2*$B$4)/(Inputs!$B$4-($A19-1)+1))/($B$5-($A19-1)))</x:f>
        <x:v>0.10752688172043011</x:v>
      </x:c>
      <x:c r="S19" s="78" t="n">
        <x:f>IF(N19="","",IF($A19=3,P19,S18*R19))</x:f>
        <x:v>1.275227938132309e-10</x:v>
      </x:c>
      <x:c r="T19" s="78" t="n">
        <x:f>IF(S19="","",-LN(S19))</x:f>
        <x:v>22.78272599230268</x:v>
      </x:c>
      <x:c r="U19" s="78" t="n">
        <x:f>IF(T19="","",Inputs!$B$7*Q19+(1-Inputs!$B$7)*T19)</x:f>
        <x:v>11.715908153470659</x:v>
      </x:c>
      <x:c r="V19" s="78" t="n">
        <x:f>Inputs!$B$12*MAX(0,Inputs!$B$15-Inputs!$B$16)</x:f>
        <x:v>1</x:v>
      </x:c>
      <x:c r="W19" s="78" t="n">
        <x:f>Inputs!$B$22</x:f>
        <x:v>1.5</x:v>
      </x:c>
      <x:c r="X19" s="78" t="n">
        <x:f>IF(U19="","",MAX(0,U19-Inputs!$B$8*V19+Inputs!$B$9*W19))</x:f>
        <x:v>12.715908153470659</x:v>
      </x:c>
      <x:c r="Y19" s="78" t="n">
        <x:f>IF(X19="","",X19*Inputs!$B$10)</x:f>
        <x:v>25.431816306941318</x:v>
      </x:c>
      <x:c r="Z19" s="78" t="n">
        <x:f>$B$4*(Inputs!$B$4-$A19+1)</x:f>
        <x:v>10</x:v>
      </x:c>
      <x:c r="AA19" s="78" t="n">
        <x:f>IF(Z19="","",Z19*COMBIN($B$5-$A19,Inputs!$B$5-$A19)/COMBIN($B$5,Inputs!$B$5))</x:f>
        <x:v>2.6754237094995635e-13</x:v>
      </x:c>
      <x:c r="AB19" s="78" t="str">
        <x:f>IF(AA19="","",IF(AA19&lt;1E-6,AA19,1-EXP(-AA19)))</x:f>
      </x:c>
      <x:c r="AC19" s="78" t="str">
        <x:f>IF(AB19="","",-LN(AB19))</x:f>
      </x:c>
      <x:c r="AD19" s="78" t="n">
        <x:f>IF($A19=3,"",((MAX(0,Inputs!$B$4-($A19-1)-1)*2+2)/(Inputs!$B$4-($A19-1)+1))/($B$5-($A19-1)))</x:f>
        <x:v>0.02150537634408602</x:v>
      </x:c>
      <x:c r="AE19" s="78" t="n">
        <x:f>IF(Z19="","",IF($A19=3,AB19,AE18*AD19))</x:f>
        <x:v>9.262834417912636e-19</x:v>
      </x:c>
      <x:c r="AF19" s="78" t="str">
        <x:f>IF(AE19="","",-LN(AE19))</x:f>
      </x:c>
      <x:c r="AG19" s="78" t="str">
        <x:f>IF(AF19="","",Inputs!$B$7*AC19+(1-Inputs!$B$7)*AF19)</x:f>
      </x:c>
      <x:c r="AH19" s="78" t="n">
        <x:f>Inputs!$B$17*(Inputs!$B$12*IF($A19&gt;=6,2,1)*(Inputs!$B$13-Inputs!$B$14)+Inputs!$B$12*MAX(0,Inputs!$B$15-Inputs!$B$16))</x:f>
        <x:v>2.6</x:v>
      </x:c>
      <x:c r="AI19" s="78" t="n">
        <x:f>0</x:f>
        <x:v>0</x:v>
      </x:c>
      <x:c r="AJ19" s="78" t="str">
        <x:f>IF(AG19="","",IF(AND($A19=Inputs!$B$4,Inputs!$B$23=1),L19,MAX(0,AG19-Inputs!$B$8*AH19+Inputs!$B$9*AI19)))</x:f>
      </x:c>
      <x:c r="AK19" s="78" t="str">
        <x:f>IF(AJ19="","",AJ19*Inputs!$B$10)</x:f>
      </x:c>
      <x:c r="AL19" s="78" t="str">
        <x:f>IF($A19&lt;=$B$4,Inputs!$B$4*COMBIN($B$4,$A19),"")</x:f>
      </x:c>
      <x:c r="AM19" s="78" t="str">
        <x:f>IF(AL19="","",AL19*COMBIN($B$5-$A19,Inputs!$B$5-$A19)/COMBIN($B$5,Inputs!$B$5))</x:f>
      </x:c>
      <x:c r="AN19" s="78" t="str">
        <x:f>IF(AM19="","",IF(AM19&lt;1E-6,AM19,1-EXP(-AM19)))</x:f>
      </x:c>
      <x:c r="AO19" s="78" t="str">
        <x:f>IF(AN19="","",-LN(AN19))</x:f>
      </x:c>
      <x:c r="AP19" s="78" t="str">
        <x:f>IF(OR($A19=3,$A19&gt;$B$4),"",($B$4-($A19-1))/($B$5-($A19-1)))</x:f>
      </x:c>
      <x:c r="AQ19" s="78" t="str">
        <x:f>IF(AL19="","",IF($A19=3,AN19,AQ18*AP19))</x:f>
      </x:c>
      <x:c r="AR19" s="78" t="str">
        <x:f>IF(AQ19="","",-LN(AQ19))</x:f>
      </x:c>
      <x:c r="AS19" s="78" t="str">
        <x:f>IF(AR19="","",Inputs!$B$7*AO19+(1-Inputs!$B$7)*AR19)</x:f>
      </x:c>
      <x:c r="AT19" s="78" t="str">
        <x:f>IF($A19&gt;$B$4,"",Inputs!$B$12*Inputs!$B$18*IF($A19=3,Inputs!$B$19,IF($A19=4,Inputs!$B$20,IF($A19=5,Inputs!$B$21,0))))</x:f>
      </x:c>
      <x:c r="AU19" s="78" t="str">
        <x:f>IF($A19&gt;$B$4,"",0)</x:f>
      </x:c>
      <x:c r="AV19" s="78" t="str">
        <x:f>IF(AS19="","",MAX(0,AS19-Inputs!$B$8*AT19+Inputs!$B$9*AU19))</x:f>
      </x:c>
      <x:c r="AW19" s="78" t="str">
        <x:f>IF(AV19="","",AV19*Inputs!$B$10)</x:f>
      </x:c>
    </x:row>
    <x:row r="20">
      <x:c r="A20" s="66" t="n">
        <x:v>15</x:v>
      </x:c>
      <x:c r="B20" s="78" t="n">
        <x:f>$B$4*COMBIN(Inputs!$B$4,$A20)</x:f>
        <x:v>5</x:v>
      </x:c>
      <x:c r="C20" s="78" t="n">
        <x:f>IF(B20="","",B20*COMBIN($B$5-$A20,Inputs!$B$5-$A20)/COMBIN($B$5,Inputs!$B$5))</x:f>
        <x:v>2.1929702536881675e-15</x:v>
      </x:c>
      <x:c r="D20" s="78" t="str">
        <x:f>IF(C20="","",IF(C20&lt;1E-6,C20,1-EXP(-C20)))</x:f>
      </x:c>
      <x:c r="E20" s="78" t="str">
        <x:f>IF(D20="","",-LN(D20))</x:f>
      </x:c>
      <x:c r="F20" s="78" t="n">
        <x:f>IF($A20=3,"",(Inputs!$B$4-($A20-1))/($B$5-($A20-1)))</x:f>
        <x:v>0.01639344262295082</x:v>
      </x:c>
      <x:c r="G20" s="78" t="n">
        <x:f>IF(B20="","",IF($A20=3,D20,G19*F20))</x:f>
        <x:v>6.509023463664421e-14</x:v>
      </x:c>
      <x:c r="H20" s="78" t="str">
        <x:f>IF(G20="","",-LN(G20))</x:f>
      </x:c>
      <x:c r="I20" s="78" t="str">
        <x:f>IF(H20="","",Inputs!$B$7*E20+(1-Inputs!$B$7)*H20)</x:f>
      </x:c>
      <x:c r="J20" s="78" t="n">
        <x:f>Inputs!$B$12*IF($A20&gt;=6,2,1)*(Inputs!$B$13-Inputs!$B$14)</x:f>
        <x:v>3</x:v>
      </x:c>
      <x:c r="K20" s="78" t="n">
        <x:f>0</x:f>
        <x:v>0</x:v>
      </x:c>
      <x:c r="L20" s="78" t="str">
        <x:f>IF(I20="","",MAX(0,I20-Inputs!$B$8*J20+Inputs!$B$9*K20))</x:f>
      </x:c>
      <x:c r="M20" s="78" t="str">
        <x:f>IF(L20="","",L20*Inputs!$B$10)</x:f>
      </x:c>
      <x:c r="N20" s="78" t="n">
        <x:f>(Inputs!$B$4-$A20+1)*($B$4^$A20)</x:f>
        <x:v>30517578125</x:v>
      </x:c>
      <x:c r="O20" s="78" t="n">
        <x:f>IF(N20="","",N20*COMBIN($B$5-$A20,Inputs!$B$5-$A20)/COMBIN($B$5,Inputs!$B$5))</x:f>
        <x:v>0.000013384828208545943</x:v>
      </x:c>
      <x:c r="P20" s="78" t="n">
        <x:f>IF(O20="","",IF(O20&lt;1E-6,O20,1-EXP(-O20)))</x:f>
        <x:v>0.000013384738632105098</x:v>
      </x:c>
      <x:c r="Q20" s="78" t="n">
        <x:f>IF(P20="","",-LN(P20))</x:f>
        <x:v>11.221395408107893</x:v>
      </x:c>
      <x:c r="R20" s="78" t="n">
        <x:f>IF($A20=3,"",((MAX(0,Inputs!$B$4-($A20-1)-1)*2*$B$4+2*$B$4)/(Inputs!$B$4-($A20-1)+1))/($B$5-($A20-1)))</x:f>
        <x:v>0.08196721311475409</x:v>
      </x:c>
      <x:c r="S20" s="78" t="n">
        <x:f>IF(N20="","",IF($A20=3,P20,S19*R20))</x:f>
        <x:v>1.0452688017477943e-11</x:v>
      </x:c>
      <x:c r="T20" s="78" t="n">
        <x:f>IF(S20="","",-LN(S20))</x:f>
        <x:v>25.28416194404189</x:v>
      </x:c>
      <x:c r="U20" s="78" t="n">
        <x:f>IF(T20="","",Inputs!$B$7*Q20+(1-Inputs!$B$7)*T20)</x:f>
        <x:v>14.737087042091392</x:v>
      </x:c>
      <x:c r="V20" s="78" t="n">
        <x:f>Inputs!$B$12*MAX(0,Inputs!$B$15-Inputs!$B$16)</x:f>
        <x:v>1</x:v>
      </x:c>
      <x:c r="W20" s="78" t="n">
        <x:f>Inputs!$B$22</x:f>
        <x:v>1.5</x:v>
      </x:c>
      <x:c r="X20" s="78" t="n">
        <x:f>IF(U20="","",MAX(0,U20-Inputs!$B$8*V20+Inputs!$B$9*W20))</x:f>
        <x:v>15.737087042091392</x:v>
      </x:c>
      <x:c r="Y20" s="78" t="n">
        <x:f>IF(X20="","",X20*Inputs!$B$10)</x:f>
        <x:v>31.474174084182785</x:v>
      </x:c>
      <x:c r="Z20" s="78" t="n">
        <x:f>$B$4*(Inputs!$B$4-$A20+1)</x:f>
        <x:v>5</x:v>
      </x:c>
      <x:c r="AA20" s="78" t="n">
        <x:f>IF(Z20="","",Z20*COMBIN($B$5-$A20,Inputs!$B$5-$A20)/COMBIN($B$5,Inputs!$B$5))</x:f>
        <x:v>2.1929702536881675e-15</x:v>
      </x:c>
      <x:c r="AB20" s="78" t="str">
        <x:f>IF(AA20="","",IF(AA20&lt;1E-6,AA20,1-EXP(-AA20)))</x:f>
      </x:c>
      <x:c r="AC20" s="78" t="str">
        <x:f>IF(AB20="","",-LN(AB20))</x:f>
      </x:c>
      <x:c r="AD20" s="78" t="n">
        <x:f>IF($A20=3,"",((MAX(0,Inputs!$B$4-($A20-1)-1)*2+2)/(Inputs!$B$4-($A20-1)+1))/($B$5-($A20-1)))</x:f>
        <x:v>0.01639344262295082</x:v>
      </x:c>
      <x:c r="AE20" s="78" t="n">
        <x:f>IF(Z20="","",IF($A20=3,AB20,AE19*AD20))</x:f>
        <x:v>1.5184974455594487e-20</x:v>
      </x:c>
      <x:c r="AF20" s="78" t="str">
        <x:f>IF(AE20="","",-LN(AE20))</x:f>
      </x:c>
      <x:c r="AG20" s="78" t="str">
        <x:f>IF(AF20="","",Inputs!$B$7*AC20+(1-Inputs!$B$7)*AF20)</x:f>
      </x:c>
      <x:c r="AH20" s="78" t="n">
        <x:f>Inputs!$B$17*(Inputs!$B$12*IF($A20&gt;=6,2,1)*(Inputs!$B$13-Inputs!$B$14)+Inputs!$B$12*MAX(0,Inputs!$B$15-Inputs!$B$16))</x:f>
        <x:v>2.6</x:v>
      </x:c>
      <x:c r="AI20" s="78" t="n">
        <x:f>0</x:f>
        <x:v>0</x:v>
      </x:c>
      <x:c r="AJ20" s="78" t="str">
        <x:f>IF(AG20="","",IF(AND($A20=Inputs!$B$4,Inputs!$B$23=1),L20,MAX(0,AG20-Inputs!$B$8*AH20+Inputs!$B$9*AI20)))</x:f>
      </x:c>
      <x:c r="AK20" s="78" t="str">
        <x:f>IF(AJ20="","",AJ20*Inputs!$B$10)</x:f>
      </x:c>
      <x:c r="AL20" s="78" t="str">
        <x:f>IF($A20&lt;=$B$4,Inputs!$B$4*COMBIN($B$4,$A20),"")</x:f>
      </x:c>
      <x:c r="AM20" s="78" t="str">
        <x:f>IF(AL20="","",AL20*COMBIN($B$5-$A20,Inputs!$B$5-$A20)/COMBIN($B$5,Inputs!$B$5))</x:f>
      </x:c>
      <x:c r="AN20" s="78" t="str">
        <x:f>IF(AM20="","",IF(AM20&lt;1E-6,AM20,1-EXP(-AM20)))</x:f>
      </x:c>
      <x:c r="AO20" s="78" t="str">
        <x:f>IF(AN20="","",-LN(AN20))</x:f>
      </x:c>
      <x:c r="AP20" s="78" t="str">
        <x:f>IF(OR($A20=3,$A20&gt;$B$4),"",($B$4-($A20-1))/($B$5-($A20-1)))</x:f>
      </x:c>
      <x:c r="AQ20" s="78" t="str">
        <x:f>IF(AL20="","",IF($A20=3,AN20,AQ19*AP20))</x:f>
      </x:c>
      <x:c r="AR20" s="78" t="str">
        <x:f>IF(AQ20="","",-LN(AQ20))</x:f>
      </x:c>
      <x:c r="AS20" s="78" t="str">
        <x:f>IF(AR20="","",Inputs!$B$7*AO20+(1-Inputs!$B$7)*AR20)</x:f>
      </x:c>
      <x:c r="AT20" s="78" t="str">
        <x:f>IF($A20&gt;$B$4,"",Inputs!$B$12*Inputs!$B$18*IF($A20=3,Inputs!$B$19,IF($A20=4,Inputs!$B$20,IF($A20=5,Inputs!$B$21,0))))</x:f>
      </x:c>
      <x:c r="AU20" s="78" t="str">
        <x:f>IF($A20&gt;$B$4,"",0)</x:f>
      </x:c>
      <x:c r="AV20" s="78" t="str">
        <x:f>IF(AS20="","",MAX(0,AS20-Inputs!$B$8*AT20+Inputs!$B$9*AU20))</x:f>
      </x:c>
      <x:c r="AW20" s="78" t="str">
        <x:f>IF(AV20="","",AV20*Inputs!$B$10)</x:f>
      </x:c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  <x:c r="AA21" s="54"/>
      <x:c r="AB21" s="54"/>
      <x:c r="AC21" s="54"/>
      <x:c r="AD21" s="54"/>
      <x:c r="AE21" s="54"/>
      <x:c r="AF21" s="54"/>
      <x:c r="AG21" s="54"/>
      <x:c r="AH21" s="54"/>
      <x:c r="AI21" s="54"/>
      <x:c r="AJ21" s="54"/>
      <x:c r="AK21" s="54"/>
      <x:c r="AL21" s="54"/>
      <x:c r="AM21" s="54"/>
      <x:c r="AN21" s="54"/>
      <x:c r="AO21" s="54"/>
      <x:c r="AP21" s="54"/>
      <x:c r="AQ21" s="54"/>
      <x:c r="AR21" s="54"/>
      <x:c r="AS21" s="54"/>
      <x:c r="AT21" s="54"/>
      <x:c r="AU21" s="54"/>
      <x:c r="AV21" s="54"/>
      <x:c r="AW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  <x:c r="AA22" s="54"/>
      <x:c r="AB22" s="54"/>
      <x:c r="AC22" s="54"/>
      <x:c r="AD22" s="54"/>
      <x:c r="AE22" s="54"/>
      <x:c r="AF22" s="54"/>
      <x:c r="AG22" s="54"/>
      <x:c r="AH22" s="54"/>
      <x:c r="AI22" s="54"/>
      <x:c r="AJ22" s="54"/>
      <x:c r="AK22" s="54"/>
      <x:c r="AL22" s="54"/>
      <x:c r="AM22" s="54"/>
      <x:c r="AN22" s="54"/>
      <x:c r="AO22" s="54"/>
      <x:c r="AP22" s="54"/>
      <x:c r="AQ22" s="54"/>
      <x:c r="AR22" s="54"/>
      <x:c r="AS22" s="54"/>
      <x:c r="AT22" s="54"/>
      <x:c r="AU22" s="54"/>
      <x:c r="AV22" s="54"/>
      <x:c r="AW22" s="54"/>
    </x:row>
    <x:row r="23">
      <x:c r="A23" s="55" t="str">
        <x:v>Notes</x:v>
      </x:c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  <x:c r="AA23" s="54"/>
      <x:c r="AB23" s="54"/>
      <x:c r="AC23" s="54"/>
      <x:c r="AD23" s="54"/>
      <x:c r="AE23" s="54"/>
      <x:c r="AF23" s="54"/>
      <x:c r="AG23" s="54"/>
      <x:c r="AH23" s="54"/>
      <x:c r="AI23" s="54"/>
      <x:c r="AJ23" s="54"/>
      <x:c r="AK23" s="54"/>
      <x:c r="AL23" s="54"/>
      <x:c r="AM23" s="54"/>
      <x:c r="AN23" s="54"/>
      <x:c r="AO23" s="54"/>
      <x:c r="AP23" s="54"/>
      <x:c r="AQ23" s="54"/>
      <x:c r="AR23" s="54"/>
      <x:c r="AS23" s="54"/>
      <x:c r="AT23" s="54"/>
      <x:c r="AU23" s="54"/>
      <x:c r="AV23" s="54"/>
      <x:c r="AW23" s="54"/>
    </x:row>
    <x:row r="24">
      <x:c r="A24" s="64" t="str">
        <x:v>Final_Tables uses computed values so it displays immediately; this sheet is formula-driven for editing/tuning.</x:v>
      </x:c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  <x:c r="AA24" s="54"/>
      <x:c r="AB24" s="54"/>
      <x:c r="AC24" s="54"/>
      <x:c r="AD24" s="54"/>
      <x:c r="AE24" s="54"/>
      <x:c r="AF24" s="54"/>
      <x:c r="AG24" s="54"/>
      <x:c r="AH24" s="54"/>
      <x:c r="AI24" s="54"/>
      <x:c r="AJ24" s="54"/>
      <x:c r="AK24" s="54"/>
      <x:c r="AL24" s="54"/>
      <x:c r="AM24" s="54"/>
      <x:c r="AN24" s="54"/>
      <x:c r="AO24" s="54"/>
      <x:c r="AP24" s="54"/>
      <x:c r="AQ24" s="54"/>
      <x:c r="AR24" s="54"/>
      <x:c r="AS24" s="54"/>
      <x:c r="AT24" s="54"/>
      <x:c r="AU24" s="54"/>
      <x:c r="AV24" s="54"/>
      <x:c r="AW24" s="54"/>
    </x:row>
    <x:row r="25">
      <x:c r="A25" s="64" t="str">
        <x:v>P_fixed uses IF(ExpOpp&lt;1E-6, ExpOpp, 1-EXP(-ExpOpp)) to avoid Excel cancellation on very rare events.</x:v>
      </x:c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  <x:c r="AA25" s="54"/>
      <x:c r="AB25" s="54"/>
      <x:c r="AC25" s="54"/>
      <x:c r="AD25" s="54"/>
      <x:c r="AE25" s="54"/>
      <x:c r="AF25" s="54"/>
      <x:c r="AG25" s="54"/>
      <x:c r="AH25" s="54"/>
      <x:c r="AI25" s="54"/>
      <x:c r="AJ25" s="54"/>
      <x:c r="AK25" s="54"/>
      <x:c r="AL25" s="54"/>
      <x:c r="AM25" s="54"/>
      <x:c r="AN25" s="54"/>
      <x:c r="AO25" s="54"/>
      <x:c r="AP25" s="54"/>
      <x:c r="AQ25" s="54"/>
      <x:c r="AR25" s="54"/>
      <x:c r="AS25" s="54"/>
      <x:c r="AT25" s="54"/>
      <x:c r="AU25" s="54"/>
      <x:c r="AV25" s="54"/>
      <x:c r="AW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  <x:c r="AA26" s="54"/>
      <x:c r="AB26" s="54"/>
      <x:c r="AC26" s="54"/>
      <x:c r="AD26" s="54"/>
      <x:c r="AE26" s="54"/>
      <x:c r="AF26" s="54"/>
      <x:c r="AG26" s="54"/>
      <x:c r="AH26" s="54"/>
      <x:c r="AI26" s="54"/>
      <x:c r="AJ26" s="54"/>
      <x:c r="AK26" s="54"/>
      <x:c r="AL26" s="54"/>
      <x:c r="AM26" s="54"/>
      <x:c r="AN26" s="54"/>
      <x:c r="AO26" s="54"/>
      <x:c r="AP26" s="54"/>
      <x:c r="AQ26" s="54"/>
      <x:c r="AR26" s="54"/>
      <x:c r="AS26" s="54"/>
      <x:c r="AT26" s="54"/>
      <x:c r="AU26" s="54"/>
      <x:c r="AV26" s="54"/>
      <x:c r="AW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  <x:c r="AA27" s="54"/>
      <x:c r="AB27" s="54"/>
      <x:c r="AC27" s="54"/>
      <x:c r="AD27" s="54"/>
      <x:c r="AE27" s="54"/>
      <x:c r="AF27" s="54"/>
      <x:c r="AG27" s="54"/>
      <x:c r="AH27" s="54"/>
      <x:c r="AI27" s="54"/>
      <x:c r="AJ27" s="54"/>
      <x:c r="AK27" s="54"/>
      <x:c r="AL27" s="54"/>
      <x:c r="AM27" s="54"/>
      <x:c r="AN27" s="54"/>
      <x:c r="AO27" s="54"/>
      <x:c r="AP27" s="54"/>
      <x:c r="AQ27" s="54"/>
      <x:c r="AR27" s="54"/>
      <x:c r="AS27" s="54"/>
      <x:c r="AT27" s="54"/>
      <x:c r="AU27" s="54"/>
      <x:c r="AV27" s="54"/>
      <x:c r="AW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  <x:c r="AA28" s="54"/>
      <x:c r="AB28" s="54"/>
      <x:c r="AC28" s="54"/>
      <x:c r="AD28" s="54"/>
      <x:c r="AE28" s="54"/>
      <x:c r="AF28" s="54"/>
      <x:c r="AG28" s="54"/>
      <x:c r="AH28" s="54"/>
      <x:c r="AI28" s="54"/>
      <x:c r="AJ28" s="54"/>
      <x:c r="AK28" s="54"/>
      <x:c r="AL28" s="54"/>
      <x:c r="AM28" s="54"/>
      <x:c r="AN28" s="54"/>
      <x:c r="AO28" s="54"/>
      <x:c r="AP28" s="54"/>
      <x:c r="AQ28" s="54"/>
      <x:c r="AR28" s="54"/>
      <x:c r="AS28" s="54"/>
      <x:c r="AT28" s="54"/>
      <x:c r="AU28" s="54"/>
      <x:c r="AV28" s="54"/>
      <x:c r="AW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  <x:c r="AA29" s="54"/>
      <x:c r="AB29" s="54"/>
      <x:c r="AC29" s="54"/>
      <x:c r="AD29" s="54"/>
      <x:c r="AE29" s="54"/>
      <x:c r="AF29" s="54"/>
      <x:c r="AG29" s="54"/>
      <x:c r="AH29" s="54"/>
      <x:c r="AI29" s="54"/>
      <x:c r="AJ29" s="54"/>
      <x:c r="AK29" s="54"/>
      <x:c r="AL29" s="54"/>
      <x:c r="AM29" s="54"/>
      <x:c r="AN29" s="54"/>
      <x:c r="AO29" s="54"/>
      <x:c r="AP29" s="54"/>
      <x:c r="AQ29" s="54"/>
      <x:c r="AR29" s="54"/>
      <x:c r="AS29" s="54"/>
      <x:c r="AT29" s="54"/>
      <x:c r="AU29" s="54"/>
      <x:c r="AV29" s="54"/>
      <x:c r="AW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  <x:c r="AA30" s="54"/>
      <x:c r="AB30" s="54"/>
      <x:c r="AC30" s="54"/>
      <x:c r="AD30" s="54"/>
      <x:c r="AE30" s="54"/>
      <x:c r="AF30" s="54"/>
      <x:c r="AG30" s="54"/>
      <x:c r="AH30" s="54"/>
      <x:c r="AI30" s="54"/>
      <x:c r="AJ30" s="54"/>
      <x:c r="AK30" s="54"/>
      <x:c r="AL30" s="54"/>
      <x:c r="AM30" s="54"/>
      <x:c r="AN30" s="54"/>
      <x:c r="AO30" s="54"/>
      <x:c r="AP30" s="54"/>
      <x:c r="AQ30" s="54"/>
      <x:c r="AR30" s="54"/>
      <x:c r="AS30" s="54"/>
      <x:c r="AT30" s="54"/>
      <x:c r="AU30" s="54"/>
      <x:c r="AV30" s="54"/>
      <x:c r="AW30" s="5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  <x:c r="AA31" s="54"/>
      <x:c r="AB31" s="54"/>
      <x:c r="AC31" s="54"/>
      <x:c r="AD31" s="54"/>
      <x:c r="AE31" s="54"/>
      <x:c r="AF31" s="54"/>
      <x:c r="AG31" s="54"/>
      <x:c r="AH31" s="54"/>
      <x:c r="AI31" s="54"/>
      <x:c r="AJ31" s="54"/>
      <x:c r="AK31" s="54"/>
      <x:c r="AL31" s="54"/>
      <x:c r="AM31" s="54"/>
      <x:c r="AN31" s="54"/>
      <x:c r="AO31" s="54"/>
      <x:c r="AP31" s="54"/>
      <x:c r="AQ31" s="54"/>
      <x:c r="AR31" s="54"/>
      <x:c r="AS31" s="54"/>
      <x:c r="AT31" s="54"/>
      <x:c r="AU31" s="54"/>
      <x:c r="AV31" s="54"/>
      <x:c r="AW31" s="5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  <x:c r="AA32" s="54"/>
      <x:c r="AB32" s="54"/>
      <x:c r="AC32" s="54"/>
      <x:c r="AD32" s="54"/>
      <x:c r="AE32" s="54"/>
      <x:c r="AF32" s="54"/>
      <x:c r="AG32" s="54"/>
      <x:c r="AH32" s="54"/>
      <x:c r="AI32" s="54"/>
      <x:c r="AJ32" s="54"/>
      <x:c r="AK32" s="54"/>
      <x:c r="AL32" s="54"/>
      <x:c r="AM32" s="54"/>
      <x:c r="AN32" s="54"/>
      <x:c r="AO32" s="54"/>
      <x:c r="AP32" s="54"/>
      <x:c r="AQ32" s="54"/>
      <x:c r="AR32" s="54"/>
      <x:c r="AS32" s="54"/>
      <x:c r="AT32" s="54"/>
      <x:c r="AU32" s="54"/>
      <x:c r="AV32" s="54"/>
      <x:c r="AW32" s="5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  <x:c r="AA33" s="54"/>
      <x:c r="AB33" s="54"/>
      <x:c r="AC33" s="54"/>
      <x:c r="AD33" s="54"/>
      <x:c r="AE33" s="54"/>
      <x:c r="AF33" s="54"/>
      <x:c r="AG33" s="54"/>
      <x:c r="AH33" s="54"/>
      <x:c r="AI33" s="54"/>
      <x:c r="AJ33" s="54"/>
      <x:c r="AK33" s="54"/>
      <x:c r="AL33" s="54"/>
      <x:c r="AM33" s="54"/>
      <x:c r="AN33" s="54"/>
      <x:c r="AO33" s="54"/>
      <x:c r="AP33" s="54"/>
      <x:c r="AQ33" s="54"/>
      <x:c r="AR33" s="54"/>
      <x:c r="AS33" s="54"/>
      <x:c r="AT33" s="54"/>
      <x:c r="AU33" s="54"/>
      <x:c r="AV33" s="54"/>
      <x:c r="AW33" s="5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  <x:c r="AA34" s="54"/>
      <x:c r="AB34" s="54"/>
      <x:c r="AC34" s="54"/>
      <x:c r="AD34" s="54"/>
      <x:c r="AE34" s="54"/>
      <x:c r="AF34" s="54"/>
      <x:c r="AG34" s="54"/>
      <x:c r="AH34" s="54"/>
      <x:c r="AI34" s="54"/>
      <x:c r="AJ34" s="54"/>
      <x:c r="AK34" s="54"/>
      <x:c r="AL34" s="54"/>
      <x:c r="AM34" s="54"/>
      <x:c r="AN34" s="54"/>
      <x:c r="AO34" s="54"/>
      <x:c r="AP34" s="54"/>
      <x:c r="AQ34" s="54"/>
      <x:c r="AR34" s="54"/>
      <x:c r="AS34" s="54"/>
      <x:c r="AT34" s="54"/>
      <x:c r="AU34" s="54"/>
      <x:c r="AV34" s="54"/>
      <x:c r="AW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  <x:c r="AA35" s="54"/>
      <x:c r="AB35" s="54"/>
      <x:c r="AC35" s="54"/>
      <x:c r="AD35" s="54"/>
      <x:c r="AE35" s="54"/>
      <x:c r="AF35" s="54"/>
      <x:c r="AG35" s="54"/>
      <x:c r="AH35" s="54"/>
      <x:c r="AI35" s="54"/>
      <x:c r="AJ35" s="54"/>
      <x:c r="AK35" s="54"/>
      <x:c r="AL35" s="54"/>
      <x:c r="AM35" s="54"/>
      <x:c r="AN35" s="54"/>
      <x:c r="AO35" s="54"/>
      <x:c r="AP35" s="54"/>
      <x:c r="AQ35" s="54"/>
      <x:c r="AR35" s="54"/>
      <x:c r="AS35" s="54"/>
      <x:c r="AT35" s="54"/>
      <x:c r="AU35" s="54"/>
      <x:c r="AV35" s="54"/>
      <x:c r="AW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  <x:c r="AA36" s="54"/>
      <x:c r="AB36" s="54"/>
      <x:c r="AC36" s="54"/>
      <x:c r="AD36" s="54"/>
      <x:c r="AE36" s="54"/>
      <x:c r="AF36" s="54"/>
      <x:c r="AG36" s="54"/>
      <x:c r="AH36" s="54"/>
      <x:c r="AI36" s="54"/>
      <x:c r="AJ36" s="54"/>
      <x:c r="AK36" s="54"/>
      <x:c r="AL36" s="54"/>
      <x:c r="AM36" s="54"/>
      <x:c r="AN36" s="54"/>
      <x:c r="AO36" s="54"/>
      <x:c r="AP36" s="54"/>
      <x:c r="AQ36" s="54"/>
      <x:c r="AR36" s="54"/>
      <x:c r="AS36" s="54"/>
      <x:c r="AT36" s="54"/>
      <x:c r="AU36" s="54"/>
      <x:c r="AV36" s="54"/>
      <x:c r="AW36" s="5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  <x:c r="AA37" s="54"/>
      <x:c r="AB37" s="54"/>
      <x:c r="AC37" s="54"/>
      <x:c r="AD37" s="54"/>
      <x:c r="AE37" s="54"/>
      <x:c r="AF37" s="54"/>
      <x:c r="AG37" s="54"/>
      <x:c r="AH37" s="54"/>
      <x:c r="AI37" s="54"/>
      <x:c r="AJ37" s="54"/>
      <x:c r="AK37" s="54"/>
      <x:c r="AL37" s="54"/>
      <x:c r="AM37" s="54"/>
      <x:c r="AN37" s="54"/>
      <x:c r="AO37" s="54"/>
      <x:c r="AP37" s="54"/>
      <x:c r="AQ37" s="54"/>
      <x:c r="AR37" s="54"/>
      <x:c r="AS37" s="54"/>
      <x:c r="AT37" s="54"/>
      <x:c r="AU37" s="54"/>
      <x:c r="AV37" s="54"/>
      <x:c r="AW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  <x:c r="AA38" s="54"/>
      <x:c r="AB38" s="54"/>
      <x:c r="AC38" s="54"/>
      <x:c r="AD38" s="54"/>
      <x:c r="AE38" s="54"/>
      <x:c r="AF38" s="54"/>
      <x:c r="AG38" s="54"/>
      <x:c r="AH38" s="54"/>
      <x:c r="AI38" s="54"/>
      <x:c r="AJ38" s="54"/>
      <x:c r="AK38" s="54"/>
      <x:c r="AL38" s="54"/>
      <x:c r="AM38" s="54"/>
      <x:c r="AN38" s="54"/>
      <x:c r="AO38" s="54"/>
      <x:c r="AP38" s="54"/>
      <x:c r="AQ38" s="54"/>
      <x:c r="AR38" s="54"/>
      <x:c r="AS38" s="54"/>
      <x:c r="AT38" s="54"/>
      <x:c r="AU38" s="54"/>
      <x:c r="AV38" s="54"/>
      <x:c r="AW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  <x:c r="AA39" s="54"/>
      <x:c r="AB39" s="54"/>
      <x:c r="AC39" s="54"/>
      <x:c r="AD39" s="54"/>
      <x:c r="AE39" s="54"/>
      <x:c r="AF39" s="54"/>
      <x:c r="AG39" s="54"/>
      <x:c r="AH39" s="54"/>
      <x:c r="AI39" s="54"/>
      <x:c r="AJ39" s="54"/>
      <x:c r="AK39" s="54"/>
      <x:c r="AL39" s="54"/>
      <x:c r="AM39" s="54"/>
      <x:c r="AN39" s="54"/>
      <x:c r="AO39" s="54"/>
      <x:c r="AP39" s="54"/>
      <x:c r="AQ39" s="54"/>
      <x:c r="AR39" s="54"/>
      <x:c r="AS39" s="54"/>
      <x:c r="AT39" s="54"/>
      <x:c r="AU39" s="54"/>
      <x:c r="AV39" s="54"/>
      <x:c r="AW39" s="5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  <x:c r="AA40" s="54"/>
      <x:c r="AB40" s="54"/>
      <x:c r="AC40" s="54"/>
      <x:c r="AD40" s="54"/>
      <x:c r="AE40" s="54"/>
      <x:c r="AF40" s="54"/>
      <x:c r="AG40" s="54"/>
      <x:c r="AH40" s="54"/>
      <x:c r="AI40" s="54"/>
      <x:c r="AJ40" s="54"/>
      <x:c r="AK40" s="54"/>
      <x:c r="AL40" s="54"/>
      <x:c r="AM40" s="54"/>
      <x:c r="AN40" s="54"/>
      <x:c r="AO40" s="54"/>
      <x:c r="AP40" s="54"/>
      <x:c r="AQ40" s="54"/>
      <x:c r="AR40" s="54"/>
      <x:c r="AS40" s="54"/>
      <x:c r="AT40" s="54"/>
      <x:c r="AU40" s="54"/>
      <x:c r="AV40" s="54"/>
      <x:c r="AW40" s="54"/>
    </x:row>
    <x:row r="41">
      <x:c r="A41" s="54"/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  <x:c r="AA41" s="54"/>
      <x:c r="AB41" s="54"/>
      <x:c r="AC41" s="54"/>
      <x:c r="AD41" s="54"/>
      <x:c r="AE41" s="54"/>
      <x:c r="AF41" s="54"/>
      <x:c r="AG41" s="54"/>
      <x:c r="AH41" s="54"/>
      <x:c r="AI41" s="54"/>
      <x:c r="AJ41" s="54"/>
      <x:c r="AK41" s="54"/>
      <x:c r="AL41" s="54"/>
      <x:c r="AM41" s="54"/>
      <x:c r="AN41" s="54"/>
      <x:c r="AO41" s="54"/>
      <x:c r="AP41" s="54"/>
      <x:c r="AQ41" s="54"/>
      <x:c r="AR41" s="54"/>
      <x:c r="AS41" s="54"/>
      <x:c r="AT41" s="54"/>
      <x:c r="AU41" s="54"/>
      <x:c r="AV41" s="54"/>
      <x:c r="AW41" s="54"/>
    </x:row>
    <x:row r="42">
      <x:c r="A42" s="54"/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  <x:c r="AA42" s="54"/>
      <x:c r="AB42" s="54"/>
      <x:c r="AC42" s="54"/>
      <x:c r="AD42" s="54"/>
      <x:c r="AE42" s="54"/>
      <x:c r="AF42" s="54"/>
      <x:c r="AG42" s="54"/>
      <x:c r="AH42" s="54"/>
      <x:c r="AI42" s="54"/>
      <x:c r="AJ42" s="54"/>
      <x:c r="AK42" s="54"/>
      <x:c r="AL42" s="54"/>
      <x:c r="AM42" s="54"/>
      <x:c r="AN42" s="54"/>
      <x:c r="AO42" s="54"/>
      <x:c r="AP42" s="54"/>
      <x:c r="AQ42" s="54"/>
      <x:c r="AR42" s="54"/>
      <x:c r="AS42" s="54"/>
      <x:c r="AT42" s="54"/>
      <x:c r="AU42" s="54"/>
      <x:c r="AV42" s="54"/>
      <x:c r="AW42" s="54"/>
    </x:row>
    <x:row r="43">
      <x:c r="A43" s="54"/>
      <x:c r="B43" s="54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  <x:c r="AA43" s="54"/>
      <x:c r="AB43" s="54"/>
      <x:c r="AC43" s="54"/>
      <x:c r="AD43" s="54"/>
      <x:c r="AE43" s="54"/>
      <x:c r="AF43" s="54"/>
      <x:c r="AG43" s="54"/>
      <x:c r="AH43" s="54"/>
      <x:c r="AI43" s="54"/>
      <x:c r="AJ43" s="54"/>
      <x:c r="AK43" s="54"/>
      <x:c r="AL43" s="54"/>
      <x:c r="AM43" s="54"/>
      <x:c r="AN43" s="54"/>
      <x:c r="AO43" s="54"/>
      <x:c r="AP43" s="54"/>
      <x:c r="AQ43" s="54"/>
      <x:c r="AR43" s="54"/>
      <x:c r="AS43" s="54"/>
      <x:c r="AT43" s="54"/>
      <x:c r="AU43" s="54"/>
      <x:c r="AV43" s="54"/>
      <x:c r="AW43" s="54"/>
    </x:row>
    <x:row r="44">
      <x:c r="A44" s="54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  <x:c r="AA44" s="54"/>
      <x:c r="AB44" s="54"/>
      <x:c r="AC44" s="54"/>
      <x:c r="AD44" s="54"/>
      <x:c r="AE44" s="54"/>
      <x:c r="AF44" s="54"/>
      <x:c r="AG44" s="54"/>
      <x:c r="AH44" s="54"/>
      <x:c r="AI44" s="54"/>
      <x:c r="AJ44" s="54"/>
      <x:c r="AK44" s="54"/>
      <x:c r="AL44" s="54"/>
      <x:c r="AM44" s="54"/>
      <x:c r="AN44" s="54"/>
      <x:c r="AO44" s="54"/>
      <x:c r="AP44" s="54"/>
      <x:c r="AQ44" s="54"/>
      <x:c r="AR44" s="54"/>
      <x:c r="AS44" s="54"/>
      <x:c r="AT44" s="54"/>
      <x:c r="AU44" s="54"/>
      <x:c r="AV44" s="54"/>
      <x:c r="AW44" s="54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  <x:c r="AA45" s="54"/>
      <x:c r="AB45" s="54"/>
      <x:c r="AC45" s="54"/>
      <x:c r="AD45" s="54"/>
      <x:c r="AE45" s="54"/>
      <x:c r="AF45" s="54"/>
      <x:c r="AG45" s="54"/>
      <x:c r="AH45" s="54"/>
      <x:c r="AI45" s="54"/>
      <x:c r="AJ45" s="54"/>
      <x:c r="AK45" s="54"/>
      <x:c r="AL45" s="54"/>
      <x:c r="AM45" s="54"/>
      <x:c r="AN45" s="54"/>
      <x:c r="AO45" s="54"/>
      <x:c r="AP45" s="54"/>
      <x:c r="AQ45" s="54"/>
      <x:c r="AR45" s="54"/>
      <x:c r="AS45" s="54"/>
      <x:c r="AT45" s="54"/>
      <x:c r="AU45" s="54"/>
      <x:c r="AV45" s="54"/>
      <x:c r="AW45" s="54"/>
    </x:row>
    <x:row r="46">
      <x:c r="A46" s="54"/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  <x:c r="AA46" s="54"/>
      <x:c r="AB46" s="54"/>
      <x:c r="AC46" s="54"/>
      <x:c r="AD46" s="54"/>
      <x:c r="AE46" s="54"/>
      <x:c r="AF46" s="54"/>
      <x:c r="AG46" s="54"/>
      <x:c r="AH46" s="54"/>
      <x:c r="AI46" s="54"/>
      <x:c r="AJ46" s="54"/>
      <x:c r="AK46" s="54"/>
      <x:c r="AL46" s="54"/>
      <x:c r="AM46" s="54"/>
      <x:c r="AN46" s="54"/>
      <x:c r="AO46" s="54"/>
      <x:c r="AP46" s="54"/>
      <x:c r="AQ46" s="54"/>
      <x:c r="AR46" s="54"/>
      <x:c r="AS46" s="54"/>
      <x:c r="AT46" s="54"/>
      <x:c r="AU46" s="54"/>
      <x:c r="AV46" s="54"/>
      <x:c r="AW46" s="54"/>
    </x:row>
    <x:row r="47">
      <x:c r="A47" s="54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  <x:c r="AA47" s="54"/>
      <x:c r="AB47" s="54"/>
      <x:c r="AC47" s="54"/>
      <x:c r="AD47" s="54"/>
      <x:c r="AE47" s="54"/>
      <x:c r="AF47" s="54"/>
      <x:c r="AG47" s="54"/>
      <x:c r="AH47" s="54"/>
      <x:c r="AI47" s="54"/>
      <x:c r="AJ47" s="54"/>
      <x:c r="AK47" s="54"/>
      <x:c r="AL47" s="54"/>
      <x:c r="AM47" s="54"/>
      <x:c r="AN47" s="54"/>
      <x:c r="AO47" s="54"/>
      <x:c r="AP47" s="54"/>
      <x:c r="AQ47" s="54"/>
      <x:c r="AR47" s="54"/>
      <x:c r="AS47" s="54"/>
      <x:c r="AT47" s="54"/>
      <x:c r="AU47" s="54"/>
      <x:c r="AV47" s="54"/>
      <x:c r="AW47" s="54"/>
    </x:row>
    <x:row r="48">
      <x:c r="A48" s="54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  <x:c r="AA48" s="54"/>
      <x:c r="AB48" s="54"/>
      <x:c r="AC48" s="54"/>
      <x:c r="AD48" s="54"/>
      <x:c r="AE48" s="54"/>
      <x:c r="AF48" s="54"/>
      <x:c r="AG48" s="54"/>
      <x:c r="AH48" s="54"/>
      <x:c r="AI48" s="54"/>
      <x:c r="AJ48" s="54"/>
      <x:c r="AK48" s="54"/>
      <x:c r="AL48" s="54"/>
      <x:c r="AM48" s="54"/>
      <x:c r="AN48" s="54"/>
      <x:c r="AO48" s="54"/>
      <x:c r="AP48" s="54"/>
      <x:c r="AQ48" s="54"/>
      <x:c r="AR48" s="54"/>
      <x:c r="AS48" s="54"/>
      <x:c r="AT48" s="54"/>
      <x:c r="AU48" s="54"/>
      <x:c r="AV48" s="54"/>
      <x:c r="AW48" s="54"/>
    </x:row>
    <x:row r="49">
      <x:c r="A49" s="54"/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  <x:c r="AA49" s="54"/>
      <x:c r="AB49" s="54"/>
      <x:c r="AC49" s="54"/>
      <x:c r="AD49" s="54"/>
      <x:c r="AE49" s="54"/>
      <x:c r="AF49" s="54"/>
      <x:c r="AG49" s="54"/>
      <x:c r="AH49" s="54"/>
      <x:c r="AI49" s="54"/>
      <x:c r="AJ49" s="54"/>
      <x:c r="AK49" s="54"/>
      <x:c r="AL49" s="54"/>
      <x:c r="AM49" s="54"/>
      <x:c r="AN49" s="54"/>
      <x:c r="AO49" s="54"/>
      <x:c r="AP49" s="54"/>
      <x:c r="AQ49" s="54"/>
      <x:c r="AR49" s="54"/>
      <x:c r="AS49" s="54"/>
      <x:c r="AT49" s="54"/>
      <x:c r="AU49" s="54"/>
      <x:c r="AV49" s="54"/>
      <x:c r="AW49" s="54"/>
    </x:row>
    <x:row r="50">
      <x:c r="A50" s="54"/>
      <x:c r="B50" s="54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  <x:c r="AA50" s="54"/>
      <x:c r="AB50" s="54"/>
      <x:c r="AC50" s="54"/>
      <x:c r="AD50" s="54"/>
      <x:c r="AE50" s="54"/>
      <x:c r="AF50" s="54"/>
      <x:c r="AG50" s="54"/>
      <x:c r="AH50" s="54"/>
      <x:c r="AI50" s="54"/>
      <x:c r="AJ50" s="54"/>
      <x:c r="AK50" s="54"/>
      <x:c r="AL50" s="54"/>
      <x:c r="AM50" s="54"/>
      <x:c r="AN50" s="54"/>
      <x:c r="AO50" s="54"/>
      <x:c r="AP50" s="54"/>
      <x:c r="AQ50" s="54"/>
      <x:c r="AR50" s="54"/>
      <x:c r="AS50" s="54"/>
      <x:c r="AT50" s="54"/>
      <x:c r="AU50" s="54"/>
      <x:c r="AV50" s="54"/>
      <x:c r="AW50" s="54"/>
    </x:row>
    <x:row r="51">
      <x:c r="A51" s="54"/>
      <x:c r="B51" s="54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  <x:c r="AA51" s="54"/>
      <x:c r="AB51" s="54"/>
      <x:c r="AC51" s="54"/>
      <x:c r="AD51" s="54"/>
      <x:c r="AE51" s="54"/>
      <x:c r="AF51" s="54"/>
      <x:c r="AG51" s="54"/>
      <x:c r="AH51" s="54"/>
      <x:c r="AI51" s="54"/>
      <x:c r="AJ51" s="54"/>
      <x:c r="AK51" s="54"/>
      <x:c r="AL51" s="54"/>
      <x:c r="AM51" s="54"/>
      <x:c r="AN51" s="54"/>
      <x:c r="AO51" s="54"/>
      <x:c r="AP51" s="54"/>
      <x:c r="AQ51" s="54"/>
      <x:c r="AR51" s="54"/>
      <x:c r="AS51" s="54"/>
      <x:c r="AT51" s="54"/>
      <x:c r="AU51" s="54"/>
      <x:c r="AV51" s="54"/>
      <x:c r="AW51" s="54"/>
    </x:row>
    <x:row r="52">
      <x:c r="A52" s="54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  <x:c r="AA52" s="54"/>
      <x:c r="AB52" s="54"/>
      <x:c r="AC52" s="54"/>
      <x:c r="AD52" s="54"/>
      <x:c r="AE52" s="54"/>
      <x:c r="AF52" s="54"/>
      <x:c r="AG52" s="54"/>
      <x:c r="AH52" s="54"/>
      <x:c r="AI52" s="54"/>
      <x:c r="AJ52" s="54"/>
      <x:c r="AK52" s="54"/>
      <x:c r="AL52" s="54"/>
      <x:c r="AM52" s="54"/>
      <x:c r="AN52" s="54"/>
      <x:c r="AO52" s="54"/>
      <x:c r="AP52" s="54"/>
      <x:c r="AQ52" s="54"/>
      <x:c r="AR52" s="54"/>
      <x:c r="AS52" s="54"/>
      <x:c r="AT52" s="54"/>
      <x:c r="AU52" s="54"/>
      <x:c r="AV52" s="54"/>
      <x:c r="AW52" s="54"/>
    </x:row>
    <x:row r="53">
      <x:c r="A53" s="54"/>
      <x:c r="B53" s="54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  <x:c r="AA53" s="54"/>
      <x:c r="AB53" s="54"/>
      <x:c r="AC53" s="54"/>
      <x:c r="AD53" s="54"/>
      <x:c r="AE53" s="54"/>
      <x:c r="AF53" s="54"/>
      <x:c r="AG53" s="54"/>
      <x:c r="AH53" s="54"/>
      <x:c r="AI53" s="54"/>
      <x:c r="AJ53" s="54"/>
      <x:c r="AK53" s="54"/>
      <x:c r="AL53" s="54"/>
      <x:c r="AM53" s="54"/>
      <x:c r="AN53" s="54"/>
      <x:c r="AO53" s="54"/>
      <x:c r="AP53" s="54"/>
      <x:c r="AQ53" s="54"/>
      <x:c r="AR53" s="54"/>
      <x:c r="AS53" s="54"/>
      <x:c r="AT53" s="54"/>
      <x:c r="AU53" s="54"/>
      <x:c r="AV53" s="54"/>
      <x:c r="AW53" s="54"/>
    </x:row>
    <x:row r="54">
      <x:c r="A54" s="54"/>
      <x:c r="B54" s="54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  <x:c r="AA54" s="54"/>
      <x:c r="AB54" s="54"/>
      <x:c r="AC54" s="54"/>
      <x:c r="AD54" s="54"/>
      <x:c r="AE54" s="54"/>
      <x:c r="AF54" s="54"/>
      <x:c r="AG54" s="54"/>
      <x:c r="AH54" s="54"/>
      <x:c r="AI54" s="54"/>
      <x:c r="AJ54" s="54"/>
      <x:c r="AK54" s="54"/>
      <x:c r="AL54" s="54"/>
      <x:c r="AM54" s="54"/>
      <x:c r="AN54" s="54"/>
      <x:c r="AO54" s="54"/>
      <x:c r="AP54" s="54"/>
      <x:c r="AQ54" s="54"/>
      <x:c r="AR54" s="54"/>
      <x:c r="AS54" s="54"/>
      <x:c r="AT54" s="54"/>
      <x:c r="AU54" s="54"/>
      <x:c r="AV54" s="54"/>
      <x:c r="AW54" s="54"/>
    </x:row>
    <x:row r="55">
      <x:c r="A55" s="54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  <x:c r="AA55" s="54"/>
      <x:c r="AB55" s="54"/>
      <x:c r="AC55" s="54"/>
      <x:c r="AD55" s="54"/>
      <x:c r="AE55" s="54"/>
      <x:c r="AF55" s="54"/>
      <x:c r="AG55" s="54"/>
      <x:c r="AH55" s="54"/>
      <x:c r="AI55" s="54"/>
      <x:c r="AJ55" s="54"/>
      <x:c r="AK55" s="54"/>
      <x:c r="AL55" s="54"/>
      <x:c r="AM55" s="54"/>
      <x:c r="AN55" s="54"/>
      <x:c r="AO55" s="54"/>
      <x:c r="AP55" s="54"/>
      <x:c r="AQ55" s="54"/>
      <x:c r="AR55" s="54"/>
      <x:c r="AS55" s="54"/>
      <x:c r="AT55" s="54"/>
      <x:c r="AU55" s="54"/>
      <x:c r="AV55" s="54"/>
      <x:c r="AW55" s="54"/>
    </x:row>
    <x:row r="56">
      <x:c r="A56" s="54"/>
      <x:c r="B56" s="54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  <x:c r="AA56" s="54"/>
      <x:c r="AB56" s="54"/>
      <x:c r="AC56" s="54"/>
      <x:c r="AD56" s="54"/>
      <x:c r="AE56" s="54"/>
      <x:c r="AF56" s="54"/>
      <x:c r="AG56" s="54"/>
      <x:c r="AH56" s="54"/>
      <x:c r="AI56" s="54"/>
      <x:c r="AJ56" s="54"/>
      <x:c r="AK56" s="54"/>
      <x:c r="AL56" s="54"/>
      <x:c r="AM56" s="54"/>
      <x:c r="AN56" s="54"/>
      <x:c r="AO56" s="54"/>
      <x:c r="AP56" s="54"/>
      <x:c r="AQ56" s="54"/>
      <x:c r="AR56" s="54"/>
      <x:c r="AS56" s="54"/>
      <x:c r="AT56" s="54"/>
      <x:c r="AU56" s="54"/>
      <x:c r="AV56" s="54"/>
      <x:c r="AW56" s="54"/>
    </x:row>
    <x:row r="57">
      <x:c r="A57" s="54"/>
      <x:c r="B57" s="54"/>
      <x:c r="C57" s="54"/>
      <x:c r="D57" s="54"/>
      <x:c r="E57" s="54"/>
      <x:c r="F57" s="54"/>
      <x:c r="G57" s="54"/>
      <x:c r="H57" s="54"/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  <x:c r="AA57" s="54"/>
      <x:c r="AB57" s="54"/>
      <x:c r="AC57" s="54"/>
      <x:c r="AD57" s="54"/>
      <x:c r="AE57" s="54"/>
      <x:c r="AF57" s="54"/>
      <x:c r="AG57" s="54"/>
      <x:c r="AH57" s="54"/>
      <x:c r="AI57" s="54"/>
      <x:c r="AJ57" s="54"/>
      <x:c r="AK57" s="54"/>
      <x:c r="AL57" s="54"/>
      <x:c r="AM57" s="54"/>
      <x:c r="AN57" s="54"/>
      <x:c r="AO57" s="54"/>
      <x:c r="AP57" s="54"/>
      <x:c r="AQ57" s="54"/>
      <x:c r="AR57" s="54"/>
      <x:c r="AS57" s="54"/>
      <x:c r="AT57" s="54"/>
      <x:c r="AU57" s="54"/>
      <x:c r="AV57" s="54"/>
      <x:c r="AW57" s="54"/>
    </x:row>
    <x:row r="58">
      <x:c r="A58" s="54"/>
      <x:c r="B58" s="54"/>
      <x:c r="C58" s="54"/>
      <x:c r="D58" s="54"/>
      <x:c r="E58" s="54"/>
      <x:c r="F58" s="54"/>
      <x:c r="G58" s="54"/>
      <x:c r="H58" s="54"/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  <x:c r="AA58" s="54"/>
      <x:c r="AB58" s="54"/>
      <x:c r="AC58" s="54"/>
      <x:c r="AD58" s="54"/>
      <x:c r="AE58" s="54"/>
      <x:c r="AF58" s="54"/>
      <x:c r="AG58" s="54"/>
      <x:c r="AH58" s="54"/>
      <x:c r="AI58" s="54"/>
      <x:c r="AJ58" s="54"/>
      <x:c r="AK58" s="54"/>
      <x:c r="AL58" s="54"/>
      <x:c r="AM58" s="54"/>
      <x:c r="AN58" s="54"/>
      <x:c r="AO58" s="54"/>
      <x:c r="AP58" s="54"/>
      <x:c r="AQ58" s="54"/>
      <x:c r="AR58" s="54"/>
      <x:c r="AS58" s="54"/>
      <x:c r="AT58" s="54"/>
      <x:c r="AU58" s="54"/>
      <x:c r="AV58" s="54"/>
      <x:c r="AW58" s="54"/>
    </x:row>
    <x:row r="59">
      <x:c r="A59" s="54"/>
      <x:c r="B59" s="54"/>
      <x:c r="C59" s="54"/>
      <x:c r="D59" s="54"/>
      <x:c r="E59" s="54"/>
      <x:c r="F59" s="54"/>
      <x:c r="G59" s="54"/>
      <x:c r="H59" s="54"/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  <x:c r="AA59" s="54"/>
      <x:c r="AB59" s="54"/>
      <x:c r="AC59" s="54"/>
      <x:c r="AD59" s="54"/>
      <x:c r="AE59" s="54"/>
      <x:c r="AF59" s="54"/>
      <x:c r="AG59" s="54"/>
      <x:c r="AH59" s="54"/>
      <x:c r="AI59" s="54"/>
      <x:c r="AJ59" s="54"/>
      <x:c r="AK59" s="54"/>
      <x:c r="AL59" s="54"/>
      <x:c r="AM59" s="54"/>
      <x:c r="AN59" s="54"/>
      <x:c r="AO59" s="54"/>
      <x:c r="AP59" s="54"/>
      <x:c r="AQ59" s="54"/>
      <x:c r="AR59" s="54"/>
      <x:c r="AS59" s="54"/>
      <x:c r="AT59" s="54"/>
      <x:c r="AU59" s="54"/>
      <x:c r="AV59" s="54"/>
      <x:c r="AW59" s="54"/>
    </x:row>
    <x:row r="60">
      <x:c r="A60" s="54"/>
      <x:c r="B60" s="54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  <x:c r="AA60" s="54"/>
      <x:c r="AB60" s="54"/>
      <x:c r="AC60" s="54"/>
      <x:c r="AD60" s="54"/>
      <x:c r="AE60" s="54"/>
      <x:c r="AF60" s="54"/>
      <x:c r="AG60" s="54"/>
      <x:c r="AH60" s="54"/>
      <x:c r="AI60" s="54"/>
      <x:c r="AJ60" s="54"/>
      <x:c r="AK60" s="54"/>
      <x:c r="AL60" s="54"/>
      <x:c r="AM60" s="54"/>
      <x:c r="AN60" s="54"/>
      <x:c r="AO60" s="54"/>
      <x:c r="AP60" s="54"/>
      <x:c r="AQ60" s="54"/>
      <x:c r="AR60" s="54"/>
      <x:c r="AS60" s="54"/>
      <x:c r="AT60" s="54"/>
      <x:c r="AU60" s="54"/>
      <x:c r="AV60" s="54"/>
      <x:c r="AW60" s="54"/>
    </x:row>
    <x:row r="61">
      <x:c r="A61" s="54"/>
      <x:c r="B61" s="54"/>
      <x:c r="C61" s="54"/>
      <x:c r="D61" s="54"/>
      <x:c r="E61" s="54"/>
      <x:c r="F61" s="54"/>
      <x:c r="G61" s="54"/>
      <x:c r="H61" s="54"/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  <x:c r="AA61" s="54"/>
      <x:c r="AB61" s="54"/>
      <x:c r="AC61" s="54"/>
      <x:c r="AD61" s="54"/>
      <x:c r="AE61" s="54"/>
      <x:c r="AF61" s="54"/>
      <x:c r="AG61" s="54"/>
      <x:c r="AH61" s="54"/>
      <x:c r="AI61" s="54"/>
      <x:c r="AJ61" s="54"/>
      <x:c r="AK61" s="54"/>
      <x:c r="AL61" s="54"/>
      <x:c r="AM61" s="54"/>
      <x:c r="AN61" s="54"/>
      <x:c r="AO61" s="54"/>
      <x:c r="AP61" s="54"/>
      <x:c r="AQ61" s="54"/>
      <x:c r="AR61" s="54"/>
      <x:c r="AS61" s="54"/>
      <x:c r="AT61" s="54"/>
      <x:c r="AU61" s="54"/>
      <x:c r="AV61" s="54"/>
      <x:c r="AW61" s="54"/>
    </x:row>
    <x:row r="62">
      <x:c r="A62" s="54"/>
      <x:c r="B62" s="54"/>
      <x:c r="C62" s="54"/>
      <x:c r="D62" s="54"/>
      <x:c r="E62" s="54"/>
      <x:c r="F62" s="54"/>
      <x:c r="G62" s="54"/>
      <x:c r="H62" s="54"/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  <x:c r="AA62" s="54"/>
      <x:c r="AB62" s="54"/>
      <x:c r="AC62" s="54"/>
      <x:c r="AD62" s="54"/>
      <x:c r="AE62" s="54"/>
      <x:c r="AF62" s="54"/>
      <x:c r="AG62" s="54"/>
      <x:c r="AH62" s="54"/>
      <x:c r="AI62" s="54"/>
      <x:c r="AJ62" s="54"/>
      <x:c r="AK62" s="54"/>
      <x:c r="AL62" s="54"/>
      <x:c r="AM62" s="54"/>
      <x:c r="AN62" s="54"/>
      <x:c r="AO62" s="54"/>
      <x:c r="AP62" s="54"/>
      <x:c r="AQ62" s="54"/>
      <x:c r="AR62" s="54"/>
      <x:c r="AS62" s="54"/>
      <x:c r="AT62" s="54"/>
      <x:c r="AU62" s="54"/>
      <x:c r="AV62" s="54"/>
      <x:c r="AW62" s="54"/>
    </x:row>
    <x:row r="63">
      <x:c r="A63" s="54"/>
      <x:c r="B63" s="54"/>
      <x:c r="C63" s="54"/>
      <x:c r="D63" s="54"/>
      <x:c r="E63" s="54"/>
      <x:c r="F63" s="54"/>
      <x:c r="G63" s="54"/>
      <x:c r="H63" s="54"/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  <x:c r="AA63" s="54"/>
      <x:c r="AB63" s="54"/>
      <x:c r="AC63" s="54"/>
      <x:c r="AD63" s="54"/>
      <x:c r="AE63" s="54"/>
      <x:c r="AF63" s="54"/>
      <x:c r="AG63" s="54"/>
      <x:c r="AH63" s="54"/>
      <x:c r="AI63" s="54"/>
      <x:c r="AJ63" s="54"/>
      <x:c r="AK63" s="54"/>
      <x:c r="AL63" s="54"/>
      <x:c r="AM63" s="54"/>
      <x:c r="AN63" s="54"/>
      <x:c r="AO63" s="54"/>
      <x:c r="AP63" s="54"/>
      <x:c r="AQ63" s="54"/>
      <x:c r="AR63" s="54"/>
      <x:c r="AS63" s="54"/>
      <x:c r="AT63" s="54"/>
      <x:c r="AU63" s="54"/>
      <x:c r="AV63" s="54"/>
      <x:c r="AW63" s="54"/>
    </x:row>
    <x:row r="64">
      <x:c r="A64" s="54"/>
      <x:c r="B64" s="54"/>
      <x:c r="C64" s="54"/>
      <x:c r="D64" s="54"/>
      <x:c r="E64" s="54"/>
      <x:c r="F64" s="54"/>
      <x:c r="G64" s="54"/>
      <x:c r="H64" s="54"/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  <x:c r="AA64" s="54"/>
      <x:c r="AB64" s="54"/>
      <x:c r="AC64" s="54"/>
      <x:c r="AD64" s="54"/>
      <x:c r="AE64" s="54"/>
      <x:c r="AF64" s="54"/>
      <x:c r="AG64" s="54"/>
      <x:c r="AH64" s="54"/>
      <x:c r="AI64" s="54"/>
      <x:c r="AJ64" s="54"/>
      <x:c r="AK64" s="54"/>
      <x:c r="AL64" s="54"/>
      <x:c r="AM64" s="54"/>
      <x:c r="AN64" s="54"/>
      <x:c r="AO64" s="54"/>
      <x:c r="AP64" s="54"/>
      <x:c r="AQ64" s="54"/>
      <x:c r="AR64" s="54"/>
      <x:c r="AS64" s="54"/>
      <x:c r="AT64" s="54"/>
      <x:c r="AU64" s="54"/>
      <x:c r="AV64" s="54"/>
      <x:c r="AW64" s="54"/>
    </x:row>
    <x:row r="65">
      <x:c r="A65" s="54"/>
      <x:c r="B65" s="54"/>
      <x:c r="C65" s="54"/>
      <x:c r="D65" s="54"/>
      <x:c r="E65" s="54"/>
      <x:c r="F65" s="54"/>
      <x:c r="G65" s="54"/>
      <x:c r="H65" s="54"/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  <x:c r="AA65" s="54"/>
      <x:c r="AB65" s="54"/>
      <x:c r="AC65" s="54"/>
      <x:c r="AD65" s="54"/>
      <x:c r="AE65" s="54"/>
      <x:c r="AF65" s="54"/>
      <x:c r="AG65" s="54"/>
      <x:c r="AH65" s="54"/>
      <x:c r="AI65" s="54"/>
      <x:c r="AJ65" s="54"/>
      <x:c r="AK65" s="54"/>
      <x:c r="AL65" s="54"/>
      <x:c r="AM65" s="54"/>
      <x:c r="AN65" s="54"/>
      <x:c r="AO65" s="54"/>
      <x:c r="AP65" s="54"/>
      <x:c r="AQ65" s="54"/>
      <x:c r="AR65" s="54"/>
      <x:c r="AS65" s="54"/>
      <x:c r="AT65" s="54"/>
      <x:c r="AU65" s="54"/>
      <x:c r="AV65" s="54"/>
      <x:c r="AW65" s="54"/>
    </x:row>
    <x:row r="66">
      <x:c r="A66" s="54"/>
      <x:c r="B66" s="54"/>
      <x:c r="C66" s="54"/>
      <x:c r="D66" s="54"/>
      <x:c r="E66" s="54"/>
      <x:c r="F66" s="54"/>
      <x:c r="G66" s="54"/>
      <x:c r="H66" s="54"/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  <x:c r="AA66" s="54"/>
      <x:c r="AB66" s="54"/>
      <x:c r="AC66" s="54"/>
      <x:c r="AD66" s="54"/>
      <x:c r="AE66" s="54"/>
      <x:c r="AF66" s="54"/>
      <x:c r="AG66" s="54"/>
      <x:c r="AH66" s="54"/>
      <x:c r="AI66" s="54"/>
      <x:c r="AJ66" s="54"/>
      <x:c r="AK66" s="54"/>
      <x:c r="AL66" s="54"/>
      <x:c r="AM66" s="54"/>
      <x:c r="AN66" s="54"/>
      <x:c r="AO66" s="54"/>
      <x:c r="AP66" s="54"/>
      <x:c r="AQ66" s="54"/>
      <x:c r="AR66" s="54"/>
      <x:c r="AS66" s="54"/>
      <x:c r="AT66" s="54"/>
      <x:c r="AU66" s="54"/>
      <x:c r="AV66" s="54"/>
      <x:c r="AW66" s="54"/>
    </x:row>
    <x:row r="67">
      <x:c r="A67" s="54"/>
      <x:c r="B67" s="54"/>
      <x:c r="C67" s="54"/>
      <x:c r="D67" s="54"/>
      <x:c r="E67" s="54"/>
      <x:c r="F67" s="54"/>
      <x:c r="G67" s="54"/>
      <x:c r="H67" s="54"/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  <x:c r="AA67" s="54"/>
      <x:c r="AB67" s="54"/>
      <x:c r="AC67" s="54"/>
      <x:c r="AD67" s="54"/>
      <x:c r="AE67" s="54"/>
      <x:c r="AF67" s="54"/>
      <x:c r="AG67" s="54"/>
      <x:c r="AH67" s="54"/>
      <x:c r="AI67" s="54"/>
      <x:c r="AJ67" s="54"/>
      <x:c r="AK67" s="54"/>
      <x:c r="AL67" s="54"/>
      <x:c r="AM67" s="54"/>
      <x:c r="AN67" s="54"/>
      <x:c r="AO67" s="54"/>
      <x:c r="AP67" s="54"/>
      <x:c r="AQ67" s="54"/>
      <x:c r="AR67" s="54"/>
      <x:c r="AS67" s="54"/>
      <x:c r="AT67" s="54"/>
      <x:c r="AU67" s="54"/>
      <x:c r="AV67" s="54"/>
      <x:c r="AW67" s="54"/>
    </x:row>
    <x:row r="68">
      <x:c r="A68" s="54"/>
      <x:c r="B68" s="54"/>
      <x:c r="C68" s="54"/>
      <x:c r="D68" s="54"/>
      <x:c r="E68" s="54"/>
      <x:c r="F68" s="54"/>
      <x:c r="G68" s="54"/>
      <x:c r="H68" s="54"/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  <x:c r="AA68" s="54"/>
      <x:c r="AB68" s="54"/>
      <x:c r="AC68" s="54"/>
      <x:c r="AD68" s="54"/>
      <x:c r="AE68" s="54"/>
      <x:c r="AF68" s="54"/>
      <x:c r="AG68" s="54"/>
      <x:c r="AH68" s="54"/>
      <x:c r="AI68" s="54"/>
      <x:c r="AJ68" s="54"/>
      <x:c r="AK68" s="54"/>
      <x:c r="AL68" s="54"/>
      <x:c r="AM68" s="54"/>
      <x:c r="AN68" s="54"/>
      <x:c r="AO68" s="54"/>
      <x:c r="AP68" s="54"/>
      <x:c r="AQ68" s="54"/>
      <x:c r="AR68" s="54"/>
      <x:c r="AS68" s="54"/>
      <x:c r="AT68" s="54"/>
      <x:c r="AU68" s="54"/>
      <x:c r="AV68" s="54"/>
      <x:c r="AW68" s="54"/>
    </x:row>
    <x:row r="69">
      <x:c r="A69" s="54"/>
      <x:c r="B69" s="54"/>
      <x:c r="C69" s="54"/>
      <x:c r="D69" s="54"/>
      <x:c r="E69" s="54"/>
      <x:c r="F69" s="54"/>
      <x:c r="G69" s="54"/>
      <x:c r="H69" s="54"/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  <x:c r="AA69" s="54"/>
      <x:c r="AB69" s="54"/>
      <x:c r="AC69" s="54"/>
      <x:c r="AD69" s="54"/>
      <x:c r="AE69" s="54"/>
      <x:c r="AF69" s="54"/>
      <x:c r="AG69" s="54"/>
      <x:c r="AH69" s="54"/>
      <x:c r="AI69" s="54"/>
      <x:c r="AJ69" s="54"/>
      <x:c r="AK69" s="54"/>
      <x:c r="AL69" s="54"/>
      <x:c r="AM69" s="54"/>
      <x:c r="AN69" s="54"/>
      <x:c r="AO69" s="54"/>
      <x:c r="AP69" s="54"/>
      <x:c r="AQ69" s="54"/>
      <x:c r="AR69" s="54"/>
      <x:c r="AS69" s="54"/>
      <x:c r="AT69" s="54"/>
      <x:c r="AU69" s="54"/>
      <x:c r="AV69" s="54"/>
      <x:c r="AW69" s="54"/>
    </x:row>
    <x:row r="70">
      <x:c r="A70" s="54"/>
      <x:c r="B70" s="54"/>
      <x:c r="C70" s="54"/>
      <x:c r="D70" s="54"/>
      <x:c r="E70" s="54"/>
      <x:c r="F70" s="54"/>
      <x:c r="G70" s="54"/>
      <x:c r="H70" s="54"/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  <x:c r="AA70" s="54"/>
      <x:c r="AB70" s="54"/>
      <x:c r="AC70" s="54"/>
      <x:c r="AD70" s="54"/>
      <x:c r="AE70" s="54"/>
      <x:c r="AF70" s="54"/>
      <x:c r="AG70" s="54"/>
      <x:c r="AH70" s="54"/>
      <x:c r="AI70" s="54"/>
      <x:c r="AJ70" s="54"/>
      <x:c r="AK70" s="54"/>
      <x:c r="AL70" s="54"/>
      <x:c r="AM70" s="54"/>
      <x:c r="AN70" s="54"/>
      <x:c r="AO70" s="54"/>
      <x:c r="AP70" s="54"/>
      <x:c r="AQ70" s="54"/>
      <x:c r="AR70" s="54"/>
      <x:c r="AS70" s="54"/>
      <x:c r="AT70" s="54"/>
      <x:c r="AU70" s="54"/>
      <x:c r="AV70" s="54"/>
      <x:c r="AW70" s="54"/>
    </x:row>
    <x:row r="71">
      <x:c r="A71" s="54"/>
      <x:c r="B71" s="54"/>
      <x:c r="C71" s="54"/>
      <x:c r="D71" s="54"/>
      <x:c r="E71" s="54"/>
      <x:c r="F71" s="54"/>
      <x:c r="G71" s="54"/>
      <x:c r="H71" s="54"/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  <x:c r="AA71" s="54"/>
      <x:c r="AB71" s="54"/>
      <x:c r="AC71" s="54"/>
      <x:c r="AD71" s="54"/>
      <x:c r="AE71" s="54"/>
      <x:c r="AF71" s="54"/>
      <x:c r="AG71" s="54"/>
      <x:c r="AH71" s="54"/>
      <x:c r="AI71" s="54"/>
      <x:c r="AJ71" s="54"/>
      <x:c r="AK71" s="54"/>
      <x:c r="AL71" s="54"/>
      <x:c r="AM71" s="54"/>
      <x:c r="AN71" s="54"/>
      <x:c r="AO71" s="54"/>
      <x:c r="AP71" s="54"/>
      <x:c r="AQ71" s="54"/>
      <x:c r="AR71" s="54"/>
      <x:c r="AS71" s="54"/>
      <x:c r="AT71" s="54"/>
      <x:c r="AU71" s="54"/>
      <x:c r="AV71" s="54"/>
      <x:c r="AW71" s="54"/>
    </x:row>
    <x:row r="72">
      <x:c r="A72" s="54"/>
      <x:c r="B72" s="54"/>
      <x:c r="C72" s="54"/>
      <x:c r="D72" s="54"/>
      <x:c r="E72" s="54"/>
      <x:c r="F72" s="54"/>
      <x:c r="G72" s="54"/>
      <x:c r="H72" s="54"/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  <x:c r="AA72" s="54"/>
      <x:c r="AB72" s="54"/>
      <x:c r="AC72" s="54"/>
      <x:c r="AD72" s="54"/>
      <x:c r="AE72" s="54"/>
      <x:c r="AF72" s="54"/>
      <x:c r="AG72" s="54"/>
      <x:c r="AH72" s="54"/>
      <x:c r="AI72" s="54"/>
      <x:c r="AJ72" s="54"/>
      <x:c r="AK72" s="54"/>
      <x:c r="AL72" s="54"/>
      <x:c r="AM72" s="54"/>
      <x:c r="AN72" s="54"/>
      <x:c r="AO72" s="54"/>
      <x:c r="AP72" s="54"/>
      <x:c r="AQ72" s="54"/>
      <x:c r="AR72" s="54"/>
      <x:c r="AS72" s="54"/>
      <x:c r="AT72" s="54"/>
      <x:c r="AU72" s="54"/>
      <x:c r="AV72" s="54"/>
      <x:c r="AW72" s="54"/>
    </x:row>
    <x:row r="73">
      <x:c r="A73" s="54"/>
      <x:c r="B73" s="54"/>
      <x:c r="C73" s="54"/>
      <x:c r="D73" s="54"/>
      <x:c r="E73" s="54"/>
      <x:c r="F73" s="54"/>
      <x:c r="G73" s="54"/>
      <x:c r="H73" s="54"/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  <x:c r="AA73" s="54"/>
      <x:c r="AB73" s="54"/>
      <x:c r="AC73" s="54"/>
      <x:c r="AD73" s="54"/>
      <x:c r="AE73" s="54"/>
      <x:c r="AF73" s="54"/>
      <x:c r="AG73" s="54"/>
      <x:c r="AH73" s="54"/>
      <x:c r="AI73" s="54"/>
      <x:c r="AJ73" s="54"/>
      <x:c r="AK73" s="54"/>
      <x:c r="AL73" s="54"/>
      <x:c r="AM73" s="54"/>
      <x:c r="AN73" s="54"/>
      <x:c r="AO73" s="54"/>
      <x:c r="AP73" s="54"/>
      <x:c r="AQ73" s="54"/>
      <x:c r="AR73" s="54"/>
      <x:c r="AS73" s="54"/>
      <x:c r="AT73" s="54"/>
      <x:c r="AU73" s="54"/>
      <x:c r="AV73" s="54"/>
      <x:c r="AW73" s="54"/>
    </x:row>
    <x:row r="74">
      <x:c r="A74" s="54"/>
      <x:c r="B74" s="54"/>
      <x:c r="C74" s="54"/>
      <x:c r="D74" s="54"/>
      <x:c r="E74" s="54"/>
      <x:c r="F74" s="54"/>
      <x:c r="G74" s="54"/>
      <x:c r="H74" s="54"/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  <x:c r="AA74" s="54"/>
      <x:c r="AB74" s="54"/>
      <x:c r="AC74" s="54"/>
      <x:c r="AD74" s="54"/>
      <x:c r="AE74" s="54"/>
      <x:c r="AF74" s="54"/>
      <x:c r="AG74" s="54"/>
      <x:c r="AH74" s="54"/>
      <x:c r="AI74" s="54"/>
      <x:c r="AJ74" s="54"/>
      <x:c r="AK74" s="54"/>
      <x:c r="AL74" s="54"/>
      <x:c r="AM74" s="54"/>
      <x:c r="AN74" s="54"/>
      <x:c r="AO74" s="54"/>
      <x:c r="AP74" s="54"/>
      <x:c r="AQ74" s="54"/>
      <x:c r="AR74" s="54"/>
      <x:c r="AS74" s="54"/>
      <x:c r="AT74" s="54"/>
      <x:c r="AU74" s="54"/>
      <x:c r="AV74" s="54"/>
      <x:c r="AW74" s="54"/>
    </x:row>
    <x:row r="75">
      <x:c r="A75" s="54"/>
      <x:c r="B75" s="54"/>
      <x:c r="C75" s="54"/>
      <x:c r="D75" s="54"/>
      <x:c r="E75" s="54"/>
      <x:c r="F75" s="54"/>
      <x:c r="G75" s="54"/>
      <x:c r="H75" s="54"/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  <x:c r="AA75" s="54"/>
      <x:c r="AB75" s="54"/>
      <x:c r="AC75" s="54"/>
      <x:c r="AD75" s="54"/>
      <x:c r="AE75" s="54"/>
      <x:c r="AF75" s="54"/>
      <x:c r="AG75" s="54"/>
      <x:c r="AH75" s="54"/>
      <x:c r="AI75" s="54"/>
      <x:c r="AJ75" s="54"/>
      <x:c r="AK75" s="54"/>
      <x:c r="AL75" s="54"/>
      <x:c r="AM75" s="54"/>
      <x:c r="AN75" s="54"/>
      <x:c r="AO75" s="54"/>
      <x:c r="AP75" s="54"/>
      <x:c r="AQ75" s="54"/>
      <x:c r="AR75" s="54"/>
      <x:c r="AS75" s="54"/>
      <x:c r="AT75" s="54"/>
      <x:c r="AU75" s="54"/>
      <x:c r="AV75" s="54"/>
      <x:c r="AW75" s="54"/>
    </x:row>
    <x:row r="76">
      <x:c r="A76" s="54"/>
      <x:c r="B76" s="54"/>
      <x:c r="C76" s="54"/>
      <x:c r="D76" s="54"/>
      <x:c r="E76" s="54"/>
      <x:c r="F76" s="54"/>
      <x:c r="G76" s="54"/>
      <x:c r="H76" s="54"/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  <x:c r="AA76" s="54"/>
      <x:c r="AB76" s="54"/>
      <x:c r="AC76" s="54"/>
      <x:c r="AD76" s="54"/>
      <x:c r="AE76" s="54"/>
      <x:c r="AF76" s="54"/>
      <x:c r="AG76" s="54"/>
      <x:c r="AH76" s="54"/>
      <x:c r="AI76" s="54"/>
      <x:c r="AJ76" s="54"/>
      <x:c r="AK76" s="54"/>
      <x:c r="AL76" s="54"/>
      <x:c r="AM76" s="54"/>
      <x:c r="AN76" s="54"/>
      <x:c r="AO76" s="54"/>
      <x:c r="AP76" s="54"/>
      <x:c r="AQ76" s="54"/>
      <x:c r="AR76" s="54"/>
      <x:c r="AS76" s="54"/>
      <x:c r="AT76" s="54"/>
      <x:c r="AU76" s="54"/>
      <x:c r="AV76" s="54"/>
      <x:c r="AW76" s="54"/>
    </x:row>
    <x:row r="77">
      <x:c r="A77" s="54"/>
      <x:c r="B77" s="54"/>
      <x:c r="C77" s="54"/>
      <x:c r="D77" s="54"/>
      <x:c r="E77" s="54"/>
      <x:c r="F77" s="54"/>
      <x:c r="G77" s="54"/>
      <x:c r="H77" s="54"/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  <x:c r="AA77" s="54"/>
      <x:c r="AB77" s="54"/>
      <x:c r="AC77" s="54"/>
      <x:c r="AD77" s="54"/>
      <x:c r="AE77" s="54"/>
      <x:c r="AF77" s="54"/>
      <x:c r="AG77" s="54"/>
      <x:c r="AH77" s="54"/>
      <x:c r="AI77" s="54"/>
      <x:c r="AJ77" s="54"/>
      <x:c r="AK77" s="54"/>
      <x:c r="AL77" s="54"/>
      <x:c r="AM77" s="54"/>
      <x:c r="AN77" s="54"/>
      <x:c r="AO77" s="54"/>
      <x:c r="AP77" s="54"/>
      <x:c r="AQ77" s="54"/>
      <x:c r="AR77" s="54"/>
      <x:c r="AS77" s="54"/>
      <x:c r="AT77" s="54"/>
      <x:c r="AU77" s="54"/>
      <x:c r="AV77" s="54"/>
      <x:c r="AW77" s="54"/>
    </x:row>
    <x:row r="78">
      <x:c r="A78" s="54"/>
      <x:c r="B78" s="54"/>
      <x:c r="C78" s="54"/>
      <x:c r="D78" s="54"/>
      <x:c r="E78" s="54"/>
      <x:c r="F78" s="54"/>
      <x:c r="G78" s="54"/>
      <x:c r="H78" s="54"/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  <x:c r="AA78" s="54"/>
      <x:c r="AB78" s="54"/>
      <x:c r="AC78" s="54"/>
      <x:c r="AD78" s="54"/>
      <x:c r="AE78" s="54"/>
      <x:c r="AF78" s="54"/>
      <x:c r="AG78" s="54"/>
      <x:c r="AH78" s="54"/>
      <x:c r="AI78" s="54"/>
      <x:c r="AJ78" s="54"/>
      <x:c r="AK78" s="54"/>
      <x:c r="AL78" s="54"/>
      <x:c r="AM78" s="54"/>
      <x:c r="AN78" s="54"/>
      <x:c r="AO78" s="54"/>
      <x:c r="AP78" s="54"/>
      <x:c r="AQ78" s="54"/>
      <x:c r="AR78" s="54"/>
      <x:c r="AS78" s="54"/>
      <x:c r="AT78" s="54"/>
      <x:c r="AU78" s="54"/>
      <x:c r="AV78" s="54"/>
      <x:c r="AW78" s="54"/>
    </x:row>
    <x:row r="79">
      <x:c r="A79" s="54"/>
      <x:c r="B79" s="54"/>
      <x:c r="C79" s="54"/>
      <x:c r="D79" s="54"/>
      <x:c r="E79" s="54"/>
      <x:c r="F79" s="54"/>
      <x:c r="G79" s="54"/>
      <x:c r="H79" s="54"/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  <x:c r="AA79" s="54"/>
      <x:c r="AB79" s="54"/>
      <x:c r="AC79" s="54"/>
      <x:c r="AD79" s="54"/>
      <x:c r="AE79" s="54"/>
      <x:c r="AF79" s="54"/>
      <x:c r="AG79" s="54"/>
      <x:c r="AH79" s="54"/>
      <x:c r="AI79" s="54"/>
      <x:c r="AJ79" s="54"/>
      <x:c r="AK79" s="54"/>
      <x:c r="AL79" s="54"/>
      <x:c r="AM79" s="54"/>
      <x:c r="AN79" s="54"/>
      <x:c r="AO79" s="54"/>
      <x:c r="AP79" s="54"/>
      <x:c r="AQ79" s="54"/>
      <x:c r="AR79" s="54"/>
      <x:c r="AS79" s="54"/>
      <x:c r="AT79" s="54"/>
      <x:c r="AU79" s="54"/>
      <x:c r="AV79" s="54"/>
      <x:c r="AW79" s="54"/>
    </x:row>
    <x:row r="80">
      <x:c r="A80" s="54"/>
      <x:c r="B80" s="54"/>
      <x:c r="C80" s="54"/>
      <x:c r="D80" s="54"/>
      <x:c r="E80" s="54"/>
      <x:c r="F80" s="54"/>
      <x:c r="G80" s="54"/>
      <x:c r="H80" s="54"/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  <x:c r="AA80" s="54"/>
      <x:c r="AB80" s="54"/>
      <x:c r="AC80" s="54"/>
      <x:c r="AD80" s="54"/>
      <x:c r="AE80" s="54"/>
      <x:c r="AF80" s="54"/>
      <x:c r="AG80" s="54"/>
      <x:c r="AH80" s="54"/>
      <x:c r="AI80" s="54"/>
      <x:c r="AJ80" s="54"/>
      <x:c r="AK80" s="54"/>
      <x:c r="AL80" s="54"/>
      <x:c r="AM80" s="54"/>
      <x:c r="AN80" s="54"/>
      <x:c r="AO80" s="54"/>
      <x:c r="AP80" s="54"/>
      <x:c r="AQ80" s="54"/>
      <x:c r="AR80" s="54"/>
      <x:c r="AS80" s="54"/>
      <x:c r="AT80" s="54"/>
      <x:c r="AU80" s="54"/>
      <x:c r="AV80" s="54"/>
      <x:c r="AW80" s="54"/>
    </x:row>
    <x:row r="81">
      <x:c r="A81" s="54"/>
      <x:c r="B81" s="54"/>
      <x:c r="C81" s="54"/>
      <x:c r="D81" s="54"/>
      <x:c r="E81" s="54"/>
      <x:c r="F81" s="54"/>
      <x:c r="G81" s="54"/>
      <x:c r="H81" s="54"/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  <x:c r="AA81" s="54"/>
      <x:c r="AB81" s="54"/>
      <x:c r="AC81" s="54"/>
      <x:c r="AD81" s="54"/>
      <x:c r="AE81" s="54"/>
      <x:c r="AF81" s="54"/>
      <x:c r="AG81" s="54"/>
      <x:c r="AH81" s="54"/>
      <x:c r="AI81" s="54"/>
      <x:c r="AJ81" s="54"/>
      <x:c r="AK81" s="54"/>
      <x:c r="AL81" s="54"/>
      <x:c r="AM81" s="54"/>
      <x:c r="AN81" s="54"/>
      <x:c r="AO81" s="54"/>
      <x:c r="AP81" s="54"/>
      <x:c r="AQ81" s="54"/>
      <x:c r="AR81" s="54"/>
      <x:c r="AS81" s="54"/>
      <x:c r="AT81" s="54"/>
      <x:c r="AU81" s="54"/>
      <x:c r="AV81" s="54"/>
      <x:c r="AW81" s="54"/>
    </x:row>
    <x:row r="82">
      <x:c r="A82" s="54"/>
      <x:c r="B82" s="54"/>
      <x:c r="C82" s="54"/>
      <x:c r="D82" s="54"/>
      <x:c r="E82" s="54"/>
      <x:c r="F82" s="54"/>
      <x:c r="G82" s="54"/>
      <x:c r="H82" s="54"/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  <x:c r="AA82" s="54"/>
      <x:c r="AB82" s="54"/>
      <x:c r="AC82" s="54"/>
      <x:c r="AD82" s="54"/>
      <x:c r="AE82" s="54"/>
      <x:c r="AF82" s="54"/>
      <x:c r="AG82" s="54"/>
      <x:c r="AH82" s="54"/>
      <x:c r="AI82" s="54"/>
      <x:c r="AJ82" s="54"/>
      <x:c r="AK82" s="54"/>
      <x:c r="AL82" s="54"/>
      <x:c r="AM82" s="54"/>
      <x:c r="AN82" s="54"/>
      <x:c r="AO82" s="54"/>
      <x:c r="AP82" s="54"/>
      <x:c r="AQ82" s="54"/>
      <x:c r="AR82" s="54"/>
      <x:c r="AS82" s="54"/>
      <x:c r="AT82" s="54"/>
      <x:c r="AU82" s="54"/>
      <x:c r="AV82" s="54"/>
      <x:c r="AW82" s="54"/>
    </x:row>
    <x:row r="83">
      <x:c r="A83" s="54"/>
      <x:c r="B83" s="54"/>
      <x:c r="C83" s="54"/>
      <x:c r="D83" s="54"/>
      <x:c r="E83" s="54"/>
      <x:c r="F83" s="54"/>
      <x:c r="G83" s="54"/>
      <x:c r="H83" s="54"/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  <x:c r="AA83" s="54"/>
      <x:c r="AB83" s="54"/>
      <x:c r="AC83" s="54"/>
      <x:c r="AD83" s="54"/>
      <x:c r="AE83" s="54"/>
      <x:c r="AF83" s="54"/>
      <x:c r="AG83" s="54"/>
      <x:c r="AH83" s="54"/>
      <x:c r="AI83" s="54"/>
      <x:c r="AJ83" s="54"/>
      <x:c r="AK83" s="54"/>
      <x:c r="AL83" s="54"/>
      <x:c r="AM83" s="54"/>
      <x:c r="AN83" s="54"/>
      <x:c r="AO83" s="54"/>
      <x:c r="AP83" s="54"/>
      <x:c r="AQ83" s="54"/>
      <x:c r="AR83" s="54"/>
      <x:c r="AS83" s="54"/>
      <x:c r="AT83" s="54"/>
      <x:c r="AU83" s="54"/>
      <x:c r="AV83" s="54"/>
      <x:c r="AW83" s="54"/>
    </x:row>
    <x:row r="84">
      <x:c r="A84" s="54"/>
      <x:c r="B84" s="54"/>
      <x:c r="C84" s="54"/>
      <x:c r="D84" s="54"/>
      <x:c r="E84" s="54"/>
      <x:c r="F84" s="54"/>
      <x:c r="G84" s="54"/>
      <x:c r="H84" s="54"/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  <x:c r="AA84" s="54"/>
      <x:c r="AB84" s="54"/>
      <x:c r="AC84" s="54"/>
      <x:c r="AD84" s="54"/>
      <x:c r="AE84" s="54"/>
      <x:c r="AF84" s="54"/>
      <x:c r="AG84" s="54"/>
      <x:c r="AH84" s="54"/>
      <x:c r="AI84" s="54"/>
      <x:c r="AJ84" s="54"/>
      <x:c r="AK84" s="54"/>
      <x:c r="AL84" s="54"/>
      <x:c r="AM84" s="54"/>
      <x:c r="AN84" s="54"/>
      <x:c r="AO84" s="54"/>
      <x:c r="AP84" s="54"/>
      <x:c r="AQ84" s="54"/>
      <x:c r="AR84" s="54"/>
      <x:c r="AS84" s="54"/>
      <x:c r="AT84" s="54"/>
      <x:c r="AU84" s="54"/>
      <x:c r="AV84" s="54"/>
      <x:c r="AW84" s="54"/>
    </x:row>
    <x:row r="85">
      <x:c r="A85" s="54"/>
      <x:c r="B85" s="54"/>
      <x:c r="C85" s="54"/>
      <x:c r="D85" s="54"/>
      <x:c r="E85" s="54"/>
      <x:c r="F85" s="54"/>
      <x:c r="G85" s="54"/>
      <x:c r="H85" s="54"/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  <x:c r="AA85" s="54"/>
      <x:c r="AB85" s="54"/>
      <x:c r="AC85" s="54"/>
      <x:c r="AD85" s="54"/>
      <x:c r="AE85" s="54"/>
      <x:c r="AF85" s="54"/>
      <x:c r="AG85" s="54"/>
      <x:c r="AH85" s="54"/>
      <x:c r="AI85" s="54"/>
      <x:c r="AJ85" s="54"/>
      <x:c r="AK85" s="54"/>
      <x:c r="AL85" s="54"/>
      <x:c r="AM85" s="54"/>
      <x:c r="AN85" s="54"/>
      <x:c r="AO85" s="54"/>
      <x:c r="AP85" s="54"/>
      <x:c r="AQ85" s="54"/>
      <x:c r="AR85" s="54"/>
      <x:c r="AS85" s="54"/>
      <x:c r="AT85" s="54"/>
      <x:c r="AU85" s="54"/>
      <x:c r="AV85" s="54"/>
      <x:c r="AW85" s="54"/>
    </x:row>
    <x:row r="86">
      <x:c r="A86" s="54"/>
      <x:c r="B86" s="54"/>
      <x:c r="C86" s="54"/>
      <x:c r="D86" s="54"/>
      <x:c r="E86" s="54"/>
      <x:c r="F86" s="54"/>
      <x:c r="G86" s="54"/>
      <x:c r="H86" s="54"/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  <x:c r="AA86" s="54"/>
      <x:c r="AB86" s="54"/>
      <x:c r="AC86" s="54"/>
      <x:c r="AD86" s="54"/>
      <x:c r="AE86" s="54"/>
      <x:c r="AF86" s="54"/>
      <x:c r="AG86" s="54"/>
      <x:c r="AH86" s="54"/>
      <x:c r="AI86" s="54"/>
      <x:c r="AJ86" s="54"/>
      <x:c r="AK86" s="54"/>
      <x:c r="AL86" s="54"/>
      <x:c r="AM86" s="54"/>
      <x:c r="AN86" s="54"/>
      <x:c r="AO86" s="54"/>
      <x:c r="AP86" s="54"/>
      <x:c r="AQ86" s="54"/>
      <x:c r="AR86" s="54"/>
      <x:c r="AS86" s="54"/>
      <x:c r="AT86" s="54"/>
      <x:c r="AU86" s="54"/>
      <x:c r="AV86" s="54"/>
      <x:c r="AW86" s="54"/>
    </x:row>
    <x:row r="87">
      <x:c r="A87" s="54"/>
      <x:c r="B87" s="54"/>
      <x:c r="C87" s="54"/>
      <x:c r="D87" s="54"/>
      <x:c r="E87" s="54"/>
      <x:c r="F87" s="54"/>
      <x:c r="G87" s="54"/>
      <x:c r="H87" s="54"/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  <x:c r="AA87" s="54"/>
      <x:c r="AB87" s="54"/>
      <x:c r="AC87" s="54"/>
      <x:c r="AD87" s="54"/>
      <x:c r="AE87" s="54"/>
      <x:c r="AF87" s="54"/>
      <x:c r="AG87" s="54"/>
      <x:c r="AH87" s="54"/>
      <x:c r="AI87" s="54"/>
      <x:c r="AJ87" s="54"/>
      <x:c r="AK87" s="54"/>
      <x:c r="AL87" s="54"/>
      <x:c r="AM87" s="54"/>
      <x:c r="AN87" s="54"/>
      <x:c r="AO87" s="54"/>
      <x:c r="AP87" s="54"/>
      <x:c r="AQ87" s="54"/>
      <x:c r="AR87" s="54"/>
      <x:c r="AS87" s="54"/>
      <x:c r="AT87" s="54"/>
      <x:c r="AU87" s="54"/>
      <x:c r="AV87" s="54"/>
      <x:c r="AW87" s="54"/>
    </x:row>
    <x:row r="88">
      <x:c r="A88" s="54"/>
      <x:c r="B88" s="54"/>
      <x:c r="C88" s="54"/>
      <x:c r="D88" s="54"/>
      <x:c r="E88" s="54"/>
      <x:c r="F88" s="54"/>
      <x:c r="G88" s="54"/>
      <x:c r="H88" s="54"/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  <x:c r="AA88" s="54"/>
      <x:c r="AB88" s="54"/>
      <x:c r="AC88" s="54"/>
      <x:c r="AD88" s="54"/>
      <x:c r="AE88" s="54"/>
      <x:c r="AF88" s="54"/>
      <x:c r="AG88" s="54"/>
      <x:c r="AH88" s="54"/>
      <x:c r="AI88" s="54"/>
      <x:c r="AJ88" s="54"/>
      <x:c r="AK88" s="54"/>
      <x:c r="AL88" s="54"/>
      <x:c r="AM88" s="54"/>
      <x:c r="AN88" s="54"/>
      <x:c r="AO88" s="54"/>
      <x:c r="AP88" s="54"/>
      <x:c r="AQ88" s="54"/>
      <x:c r="AR88" s="54"/>
      <x:c r="AS88" s="54"/>
      <x:c r="AT88" s="54"/>
      <x:c r="AU88" s="54"/>
      <x:c r="AV88" s="54"/>
      <x:c r="AW88" s="54"/>
    </x:row>
    <x:row r="89">
      <x:c r="A89" s="54"/>
      <x:c r="B89" s="54"/>
      <x:c r="C89" s="54"/>
      <x:c r="D89" s="54"/>
      <x:c r="E89" s="54"/>
      <x:c r="F89" s="54"/>
      <x:c r="G89" s="54"/>
      <x:c r="H89" s="54"/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  <x:c r="AA89" s="54"/>
      <x:c r="AB89" s="54"/>
      <x:c r="AC89" s="54"/>
      <x:c r="AD89" s="54"/>
      <x:c r="AE89" s="54"/>
      <x:c r="AF89" s="54"/>
      <x:c r="AG89" s="54"/>
      <x:c r="AH89" s="54"/>
      <x:c r="AI89" s="54"/>
      <x:c r="AJ89" s="54"/>
      <x:c r="AK89" s="54"/>
      <x:c r="AL89" s="54"/>
      <x:c r="AM89" s="54"/>
      <x:c r="AN89" s="54"/>
      <x:c r="AO89" s="54"/>
      <x:c r="AP89" s="54"/>
      <x:c r="AQ89" s="54"/>
      <x:c r="AR89" s="54"/>
      <x:c r="AS89" s="54"/>
      <x:c r="AT89" s="54"/>
      <x:c r="AU89" s="54"/>
      <x:c r="AV89" s="54"/>
      <x:c r="AW89" s="54"/>
    </x:row>
    <x:row r="90">
      <x:c r="A90" s="54"/>
      <x:c r="B90" s="54"/>
      <x:c r="C90" s="54"/>
      <x:c r="D90" s="54"/>
      <x:c r="E90" s="54"/>
      <x:c r="F90" s="54"/>
      <x:c r="G90" s="54"/>
      <x:c r="H90" s="54"/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  <x:c r="AA90" s="54"/>
      <x:c r="AB90" s="54"/>
      <x:c r="AC90" s="54"/>
      <x:c r="AD90" s="54"/>
      <x:c r="AE90" s="54"/>
      <x:c r="AF90" s="54"/>
      <x:c r="AG90" s="54"/>
      <x:c r="AH90" s="54"/>
      <x:c r="AI90" s="54"/>
      <x:c r="AJ90" s="54"/>
      <x:c r="AK90" s="54"/>
      <x:c r="AL90" s="54"/>
      <x:c r="AM90" s="54"/>
      <x:c r="AN90" s="54"/>
      <x:c r="AO90" s="54"/>
      <x:c r="AP90" s="54"/>
      <x:c r="AQ90" s="54"/>
      <x:c r="AR90" s="54"/>
      <x:c r="AS90" s="54"/>
      <x:c r="AT90" s="54"/>
      <x:c r="AU90" s="54"/>
      <x:c r="AV90" s="54"/>
      <x:c r="AW90" s="54"/>
    </x:row>
    <x:row r="91">
      <x:c r="A91" s="54"/>
      <x:c r="B91" s="54"/>
      <x:c r="C91" s="54"/>
      <x:c r="D91" s="54"/>
      <x:c r="E91" s="54"/>
      <x:c r="F91" s="54"/>
      <x:c r="G91" s="54"/>
      <x:c r="H91" s="54"/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  <x:c r="AA91" s="54"/>
      <x:c r="AB91" s="54"/>
      <x:c r="AC91" s="54"/>
      <x:c r="AD91" s="54"/>
      <x:c r="AE91" s="54"/>
      <x:c r="AF91" s="54"/>
      <x:c r="AG91" s="54"/>
      <x:c r="AH91" s="54"/>
      <x:c r="AI91" s="54"/>
      <x:c r="AJ91" s="54"/>
      <x:c r="AK91" s="54"/>
      <x:c r="AL91" s="54"/>
      <x:c r="AM91" s="54"/>
      <x:c r="AN91" s="54"/>
      <x:c r="AO91" s="54"/>
      <x:c r="AP91" s="54"/>
      <x:c r="AQ91" s="54"/>
      <x:c r="AR91" s="54"/>
      <x:c r="AS91" s="54"/>
      <x:c r="AT91" s="54"/>
      <x:c r="AU91" s="54"/>
      <x:c r="AV91" s="54"/>
      <x:c r="AW91" s="54"/>
    </x:row>
    <x:row r="92">
      <x:c r="A92" s="54"/>
      <x:c r="B92" s="54"/>
      <x:c r="C92" s="54"/>
      <x:c r="D92" s="54"/>
      <x:c r="E92" s="54"/>
      <x:c r="F92" s="54"/>
      <x:c r="G92" s="54"/>
      <x:c r="H92" s="54"/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  <x:c r="AA92" s="54"/>
      <x:c r="AB92" s="54"/>
      <x:c r="AC92" s="54"/>
      <x:c r="AD92" s="54"/>
      <x:c r="AE92" s="54"/>
      <x:c r="AF92" s="54"/>
      <x:c r="AG92" s="54"/>
      <x:c r="AH92" s="54"/>
      <x:c r="AI92" s="54"/>
      <x:c r="AJ92" s="54"/>
      <x:c r="AK92" s="54"/>
      <x:c r="AL92" s="54"/>
      <x:c r="AM92" s="54"/>
      <x:c r="AN92" s="54"/>
      <x:c r="AO92" s="54"/>
      <x:c r="AP92" s="54"/>
      <x:c r="AQ92" s="54"/>
      <x:c r="AR92" s="54"/>
      <x:c r="AS92" s="54"/>
      <x:c r="AT92" s="54"/>
      <x:c r="AU92" s="54"/>
      <x:c r="AV92" s="54"/>
      <x:c r="AW92" s="54"/>
    </x:row>
    <x:row r="93">
      <x:c r="A93" s="54"/>
      <x:c r="B93" s="54"/>
      <x:c r="C93" s="54"/>
      <x:c r="D93" s="54"/>
      <x:c r="E93" s="54"/>
      <x:c r="F93" s="54"/>
      <x:c r="G93" s="54"/>
      <x:c r="H93" s="54"/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  <x:c r="AA93" s="54"/>
      <x:c r="AB93" s="54"/>
      <x:c r="AC93" s="54"/>
      <x:c r="AD93" s="54"/>
      <x:c r="AE93" s="54"/>
      <x:c r="AF93" s="54"/>
      <x:c r="AG93" s="54"/>
      <x:c r="AH93" s="54"/>
      <x:c r="AI93" s="54"/>
      <x:c r="AJ93" s="54"/>
      <x:c r="AK93" s="54"/>
      <x:c r="AL93" s="54"/>
      <x:c r="AM93" s="54"/>
      <x:c r="AN93" s="54"/>
      <x:c r="AO93" s="54"/>
      <x:c r="AP93" s="54"/>
      <x:c r="AQ93" s="54"/>
      <x:c r="AR93" s="54"/>
      <x:c r="AS93" s="54"/>
      <x:c r="AT93" s="54"/>
      <x:c r="AU93" s="54"/>
      <x:c r="AV93" s="54"/>
      <x:c r="AW93" s="54"/>
    </x:row>
    <x:row r="94">
      <x:c r="A94" s="54"/>
      <x:c r="B94" s="54"/>
      <x:c r="C94" s="54"/>
      <x:c r="D94" s="54"/>
      <x:c r="E94" s="54"/>
      <x:c r="F94" s="54"/>
      <x:c r="G94" s="54"/>
      <x:c r="H94" s="54"/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  <x:c r="AA94" s="54"/>
      <x:c r="AB94" s="54"/>
      <x:c r="AC94" s="54"/>
      <x:c r="AD94" s="54"/>
      <x:c r="AE94" s="54"/>
      <x:c r="AF94" s="54"/>
      <x:c r="AG94" s="54"/>
      <x:c r="AH94" s="54"/>
      <x:c r="AI94" s="54"/>
      <x:c r="AJ94" s="54"/>
      <x:c r="AK94" s="54"/>
      <x:c r="AL94" s="54"/>
      <x:c r="AM94" s="54"/>
      <x:c r="AN94" s="54"/>
      <x:c r="AO94" s="54"/>
      <x:c r="AP94" s="54"/>
      <x:c r="AQ94" s="54"/>
      <x:c r="AR94" s="54"/>
      <x:c r="AS94" s="54"/>
      <x:c r="AT94" s="54"/>
      <x:c r="AU94" s="54"/>
      <x:c r="AV94" s="54"/>
      <x:c r="AW94" s="54"/>
    </x:row>
    <x:row r="95">
      <x:c r="A95" s="54"/>
      <x:c r="B95" s="54"/>
      <x:c r="C95" s="54"/>
      <x:c r="D95" s="54"/>
      <x:c r="E95" s="54"/>
      <x:c r="F95" s="54"/>
      <x:c r="G95" s="54"/>
      <x:c r="H95" s="54"/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  <x:c r="AA95" s="54"/>
      <x:c r="AB95" s="54"/>
      <x:c r="AC95" s="54"/>
      <x:c r="AD95" s="54"/>
      <x:c r="AE95" s="54"/>
      <x:c r="AF95" s="54"/>
      <x:c r="AG95" s="54"/>
      <x:c r="AH95" s="54"/>
      <x:c r="AI95" s="54"/>
      <x:c r="AJ95" s="54"/>
      <x:c r="AK95" s="54"/>
      <x:c r="AL95" s="54"/>
      <x:c r="AM95" s="54"/>
      <x:c r="AN95" s="54"/>
      <x:c r="AO95" s="54"/>
      <x:c r="AP95" s="54"/>
      <x:c r="AQ95" s="54"/>
      <x:c r="AR95" s="54"/>
      <x:c r="AS95" s="54"/>
      <x:c r="AT95" s="54"/>
      <x:c r="AU95" s="54"/>
      <x:c r="AV95" s="54"/>
      <x:c r="AW95" s="54"/>
    </x:row>
    <x:row r="96">
      <x:c r="A96" s="54"/>
      <x:c r="B96" s="54"/>
      <x:c r="C96" s="54"/>
      <x:c r="D96" s="54"/>
      <x:c r="E96" s="54"/>
      <x:c r="F96" s="54"/>
      <x:c r="G96" s="54"/>
      <x:c r="H96" s="54"/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  <x:c r="AA96" s="54"/>
      <x:c r="AB96" s="54"/>
      <x:c r="AC96" s="54"/>
      <x:c r="AD96" s="54"/>
      <x:c r="AE96" s="54"/>
      <x:c r="AF96" s="54"/>
      <x:c r="AG96" s="54"/>
      <x:c r="AH96" s="54"/>
      <x:c r="AI96" s="54"/>
      <x:c r="AJ96" s="54"/>
      <x:c r="AK96" s="54"/>
      <x:c r="AL96" s="54"/>
      <x:c r="AM96" s="54"/>
      <x:c r="AN96" s="54"/>
      <x:c r="AO96" s="54"/>
      <x:c r="AP96" s="54"/>
      <x:c r="AQ96" s="54"/>
      <x:c r="AR96" s="54"/>
      <x:c r="AS96" s="54"/>
      <x:c r="AT96" s="54"/>
      <x:c r="AU96" s="54"/>
      <x:c r="AV96" s="54"/>
      <x:c r="AW96" s="54"/>
    </x:row>
    <x:row r="97">
      <x:c r="A97" s="54"/>
      <x:c r="B97" s="54"/>
      <x:c r="C97" s="54"/>
      <x:c r="D97" s="54"/>
      <x:c r="E97" s="54"/>
      <x:c r="F97" s="54"/>
      <x:c r="G97" s="54"/>
      <x:c r="H97" s="54"/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  <x:c r="AA97" s="54"/>
      <x:c r="AB97" s="54"/>
      <x:c r="AC97" s="54"/>
      <x:c r="AD97" s="54"/>
      <x:c r="AE97" s="54"/>
      <x:c r="AF97" s="54"/>
      <x:c r="AG97" s="54"/>
      <x:c r="AH97" s="54"/>
      <x:c r="AI97" s="54"/>
      <x:c r="AJ97" s="54"/>
      <x:c r="AK97" s="54"/>
      <x:c r="AL97" s="54"/>
      <x:c r="AM97" s="54"/>
      <x:c r="AN97" s="54"/>
      <x:c r="AO97" s="54"/>
      <x:c r="AP97" s="54"/>
      <x:c r="AQ97" s="54"/>
      <x:c r="AR97" s="54"/>
      <x:c r="AS97" s="54"/>
      <x:c r="AT97" s="54"/>
      <x:c r="AU97" s="54"/>
      <x:c r="AV97" s="54"/>
      <x:c r="AW97" s="54"/>
    </x:row>
    <x:row r="98">
      <x:c r="A98" s="54"/>
      <x:c r="B98" s="54"/>
      <x:c r="C98" s="54"/>
      <x:c r="D98" s="54"/>
      <x:c r="E98" s="54"/>
      <x:c r="F98" s="54"/>
      <x:c r="G98" s="54"/>
      <x:c r="H98" s="54"/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  <x:c r="AA98" s="54"/>
      <x:c r="AB98" s="54"/>
      <x:c r="AC98" s="54"/>
      <x:c r="AD98" s="54"/>
      <x:c r="AE98" s="54"/>
      <x:c r="AF98" s="54"/>
      <x:c r="AG98" s="54"/>
      <x:c r="AH98" s="54"/>
      <x:c r="AI98" s="54"/>
      <x:c r="AJ98" s="54"/>
      <x:c r="AK98" s="54"/>
      <x:c r="AL98" s="54"/>
      <x:c r="AM98" s="54"/>
      <x:c r="AN98" s="54"/>
      <x:c r="AO98" s="54"/>
      <x:c r="AP98" s="54"/>
      <x:c r="AQ98" s="54"/>
      <x:c r="AR98" s="54"/>
      <x:c r="AS98" s="54"/>
      <x:c r="AT98" s="54"/>
      <x:c r="AU98" s="54"/>
      <x:c r="AV98" s="54"/>
      <x:c r="AW98" s="54"/>
    </x:row>
    <x:row r="99">
      <x:c r="A99" s="54"/>
      <x:c r="B99" s="54"/>
      <x:c r="C99" s="54"/>
      <x:c r="D99" s="54"/>
      <x:c r="E99" s="54"/>
      <x:c r="F99" s="54"/>
      <x:c r="G99" s="54"/>
      <x:c r="H99" s="54"/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  <x:c r="AA99" s="54"/>
      <x:c r="AB99" s="54"/>
      <x:c r="AC99" s="54"/>
      <x:c r="AD99" s="54"/>
      <x:c r="AE99" s="54"/>
      <x:c r="AF99" s="54"/>
      <x:c r="AG99" s="54"/>
      <x:c r="AH99" s="54"/>
      <x:c r="AI99" s="54"/>
      <x:c r="AJ99" s="54"/>
      <x:c r="AK99" s="54"/>
      <x:c r="AL99" s="54"/>
      <x:c r="AM99" s="54"/>
      <x:c r="AN99" s="54"/>
      <x:c r="AO99" s="54"/>
      <x:c r="AP99" s="54"/>
      <x:c r="AQ99" s="54"/>
      <x:c r="AR99" s="54"/>
      <x:c r="AS99" s="54"/>
      <x:c r="AT99" s="54"/>
      <x:c r="AU99" s="54"/>
      <x:c r="AV99" s="54"/>
      <x:c r="AW99" s="54"/>
    </x:row>
    <x:row r="100">
      <x:c r="A100" s="54"/>
      <x:c r="B100" s="54"/>
      <x:c r="C100" s="54"/>
      <x:c r="D100" s="54"/>
      <x:c r="E100" s="54"/>
      <x:c r="F100" s="54"/>
      <x:c r="G100" s="54"/>
      <x:c r="H100" s="54"/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  <x:c r="AA100" s="54"/>
      <x:c r="AB100" s="54"/>
      <x:c r="AC100" s="54"/>
      <x:c r="AD100" s="54"/>
      <x:c r="AE100" s="54"/>
      <x:c r="AF100" s="54"/>
      <x:c r="AG100" s="54"/>
      <x:c r="AH100" s="54"/>
      <x:c r="AI100" s="54"/>
      <x:c r="AJ100" s="54"/>
      <x:c r="AK100" s="54"/>
      <x:c r="AL100" s="54"/>
      <x:c r="AM100" s="54"/>
      <x:c r="AN100" s="54"/>
      <x:c r="AO100" s="54"/>
      <x:c r="AP100" s="54"/>
      <x:c r="AQ100" s="54"/>
      <x:c r="AR100" s="54"/>
      <x:c r="AS100" s="54"/>
      <x:c r="AT100" s="54"/>
      <x:c r="AU100" s="54"/>
      <x:c r="AV100" s="54"/>
      <x:c r="AW100" s="54"/>
    </x:row>
    <x:row r="101">
      <x:c r="A101" s="54"/>
      <x:c r="B101" s="54"/>
      <x:c r="C101" s="54"/>
      <x:c r="D101" s="54"/>
      <x:c r="E101" s="54"/>
      <x:c r="F101" s="54"/>
      <x:c r="G101" s="54"/>
      <x:c r="H101" s="54"/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  <x:c r="AA101" s="54"/>
      <x:c r="AB101" s="54"/>
      <x:c r="AC101" s="54"/>
      <x:c r="AD101" s="54"/>
      <x:c r="AE101" s="54"/>
      <x:c r="AF101" s="54"/>
      <x:c r="AG101" s="54"/>
      <x:c r="AH101" s="54"/>
      <x:c r="AI101" s="54"/>
      <x:c r="AJ101" s="54"/>
      <x:c r="AK101" s="54"/>
      <x:c r="AL101" s="54"/>
      <x:c r="AM101" s="54"/>
      <x:c r="AN101" s="54"/>
      <x:c r="AO101" s="54"/>
      <x:c r="AP101" s="54"/>
      <x:c r="AQ101" s="54"/>
      <x:c r="AR101" s="54"/>
      <x:c r="AS101" s="54"/>
      <x:c r="AT101" s="54"/>
      <x:c r="AU101" s="54"/>
      <x:c r="AV101" s="54"/>
      <x:c r="AW101" s="54"/>
    </x:row>
    <x:row r="102">
      <x:c r="A102" s="54"/>
      <x:c r="B102" s="54"/>
      <x:c r="C102" s="54"/>
      <x:c r="D102" s="54"/>
      <x:c r="E102" s="54"/>
      <x:c r="F102" s="54"/>
      <x:c r="G102" s="54"/>
      <x:c r="H102" s="54"/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  <x:c r="AA102" s="54"/>
      <x:c r="AB102" s="54"/>
      <x:c r="AC102" s="54"/>
      <x:c r="AD102" s="54"/>
      <x:c r="AE102" s="54"/>
      <x:c r="AF102" s="54"/>
      <x:c r="AG102" s="54"/>
      <x:c r="AH102" s="54"/>
      <x:c r="AI102" s="54"/>
      <x:c r="AJ102" s="54"/>
      <x:c r="AK102" s="54"/>
      <x:c r="AL102" s="54"/>
      <x:c r="AM102" s="54"/>
      <x:c r="AN102" s="54"/>
      <x:c r="AO102" s="54"/>
      <x:c r="AP102" s="54"/>
      <x:c r="AQ102" s="54"/>
      <x:c r="AR102" s="54"/>
      <x:c r="AS102" s="54"/>
      <x:c r="AT102" s="54"/>
      <x:c r="AU102" s="54"/>
      <x:c r="AV102" s="54"/>
      <x:c r="AW102" s="54"/>
    </x:row>
    <x:row r="103">
      <x:c r="A103" s="54"/>
      <x:c r="B103" s="54"/>
      <x:c r="C103" s="54"/>
      <x:c r="D103" s="54"/>
      <x:c r="E103" s="54"/>
      <x:c r="F103" s="54"/>
      <x:c r="G103" s="54"/>
      <x:c r="H103" s="54"/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  <x:c r="AA103" s="54"/>
      <x:c r="AB103" s="54"/>
      <x:c r="AC103" s="54"/>
      <x:c r="AD103" s="54"/>
      <x:c r="AE103" s="54"/>
      <x:c r="AF103" s="54"/>
      <x:c r="AG103" s="54"/>
      <x:c r="AH103" s="54"/>
      <x:c r="AI103" s="54"/>
      <x:c r="AJ103" s="54"/>
      <x:c r="AK103" s="54"/>
      <x:c r="AL103" s="54"/>
      <x:c r="AM103" s="54"/>
      <x:c r="AN103" s="54"/>
      <x:c r="AO103" s="54"/>
      <x:c r="AP103" s="54"/>
      <x:c r="AQ103" s="54"/>
      <x:c r="AR103" s="54"/>
      <x:c r="AS103" s="54"/>
      <x:c r="AT103" s="54"/>
      <x:c r="AU103" s="54"/>
      <x:c r="AV103" s="54"/>
      <x:c r="AW103" s="54"/>
    </x:row>
    <x:row r="104">
      <x:c r="A104" s="54"/>
      <x:c r="B104" s="54"/>
      <x:c r="C104" s="54"/>
      <x:c r="D104" s="54"/>
      <x:c r="E104" s="54"/>
      <x:c r="F104" s="54"/>
      <x:c r="G104" s="54"/>
      <x:c r="H104" s="54"/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  <x:c r="AA104" s="54"/>
      <x:c r="AB104" s="54"/>
      <x:c r="AC104" s="54"/>
      <x:c r="AD104" s="54"/>
      <x:c r="AE104" s="54"/>
      <x:c r="AF104" s="54"/>
      <x:c r="AG104" s="54"/>
      <x:c r="AH104" s="54"/>
      <x:c r="AI104" s="54"/>
      <x:c r="AJ104" s="54"/>
      <x:c r="AK104" s="54"/>
      <x:c r="AL104" s="54"/>
      <x:c r="AM104" s="54"/>
      <x:c r="AN104" s="54"/>
      <x:c r="AO104" s="54"/>
      <x:c r="AP104" s="54"/>
      <x:c r="AQ104" s="54"/>
      <x:c r="AR104" s="54"/>
      <x:c r="AS104" s="54"/>
      <x:c r="AT104" s="54"/>
      <x:c r="AU104" s="54"/>
      <x:c r="AV104" s="54"/>
      <x:c r="AW104" s="54"/>
    </x:row>
    <x:row r="105">
      <x:c r="A105" s="54"/>
      <x:c r="B105" s="54"/>
      <x:c r="C105" s="54"/>
      <x:c r="D105" s="54"/>
      <x:c r="E105" s="54"/>
      <x:c r="F105" s="54"/>
      <x:c r="G105" s="54"/>
      <x:c r="H105" s="54"/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  <x:c r="AA105" s="54"/>
      <x:c r="AB105" s="54"/>
      <x:c r="AC105" s="54"/>
      <x:c r="AD105" s="54"/>
      <x:c r="AE105" s="54"/>
      <x:c r="AF105" s="54"/>
      <x:c r="AG105" s="54"/>
      <x:c r="AH105" s="54"/>
      <x:c r="AI105" s="54"/>
      <x:c r="AJ105" s="54"/>
      <x:c r="AK105" s="54"/>
      <x:c r="AL105" s="54"/>
      <x:c r="AM105" s="54"/>
      <x:c r="AN105" s="54"/>
      <x:c r="AO105" s="54"/>
      <x:c r="AP105" s="54"/>
      <x:c r="AQ105" s="54"/>
      <x:c r="AR105" s="54"/>
      <x:c r="AS105" s="54"/>
      <x:c r="AT105" s="54"/>
      <x:c r="AU105" s="54"/>
      <x:c r="AV105" s="54"/>
      <x:c r="AW105" s="54"/>
    </x:row>
    <x:row r="106">
      <x:c r="A106" s="54"/>
      <x:c r="B106" s="54"/>
      <x:c r="C106" s="54"/>
      <x:c r="D106" s="54"/>
      <x:c r="E106" s="54"/>
      <x:c r="F106" s="54"/>
      <x:c r="G106" s="54"/>
      <x:c r="H106" s="54"/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  <x:c r="AA106" s="54"/>
      <x:c r="AB106" s="54"/>
      <x:c r="AC106" s="54"/>
      <x:c r="AD106" s="54"/>
      <x:c r="AE106" s="54"/>
      <x:c r="AF106" s="54"/>
      <x:c r="AG106" s="54"/>
      <x:c r="AH106" s="54"/>
      <x:c r="AI106" s="54"/>
      <x:c r="AJ106" s="54"/>
      <x:c r="AK106" s="54"/>
      <x:c r="AL106" s="54"/>
      <x:c r="AM106" s="54"/>
      <x:c r="AN106" s="54"/>
      <x:c r="AO106" s="54"/>
      <x:c r="AP106" s="54"/>
      <x:c r="AQ106" s="54"/>
      <x:c r="AR106" s="54"/>
      <x:c r="AS106" s="54"/>
      <x:c r="AT106" s="54"/>
      <x:c r="AU106" s="54"/>
      <x:c r="AV106" s="54"/>
      <x:c r="AW106" s="54"/>
    </x:row>
    <x:row r="107">
      <x:c r="A107" s="54"/>
      <x:c r="B107" s="54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  <x:c r="AA107" s="54"/>
      <x:c r="AB107" s="54"/>
      <x:c r="AC107" s="54"/>
      <x:c r="AD107" s="54"/>
      <x:c r="AE107" s="54"/>
      <x:c r="AF107" s="54"/>
      <x:c r="AG107" s="54"/>
      <x:c r="AH107" s="54"/>
      <x:c r="AI107" s="54"/>
      <x:c r="AJ107" s="54"/>
      <x:c r="AK107" s="54"/>
      <x:c r="AL107" s="54"/>
      <x:c r="AM107" s="54"/>
      <x:c r="AN107" s="54"/>
      <x:c r="AO107" s="54"/>
      <x:c r="AP107" s="54"/>
      <x:c r="AQ107" s="54"/>
      <x:c r="AR107" s="54"/>
      <x:c r="AS107" s="54"/>
      <x:c r="AT107" s="54"/>
      <x:c r="AU107" s="54"/>
      <x:c r="AV107" s="54"/>
      <x:c r="AW107" s="54"/>
    </x:row>
    <x:row r="108">
      <x:c r="A108" s="54"/>
      <x:c r="B108" s="54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  <x:c r="AA108" s="54"/>
      <x:c r="AB108" s="54"/>
      <x:c r="AC108" s="54"/>
      <x:c r="AD108" s="54"/>
      <x:c r="AE108" s="54"/>
      <x:c r="AF108" s="54"/>
      <x:c r="AG108" s="54"/>
      <x:c r="AH108" s="54"/>
      <x:c r="AI108" s="54"/>
      <x:c r="AJ108" s="54"/>
      <x:c r="AK108" s="54"/>
      <x:c r="AL108" s="54"/>
      <x:c r="AM108" s="54"/>
      <x:c r="AN108" s="54"/>
      <x:c r="AO108" s="54"/>
      <x:c r="AP108" s="54"/>
      <x:c r="AQ108" s="54"/>
      <x:c r="AR108" s="54"/>
      <x:c r="AS108" s="54"/>
      <x:c r="AT108" s="54"/>
      <x:c r="AU108" s="54"/>
      <x:c r="AV108" s="54"/>
      <x:c r="AW108" s="54"/>
    </x:row>
    <x:row r="109">
      <x:c r="A109" s="54"/>
      <x:c r="B109" s="54"/>
      <x:c r="C109" s="54"/>
      <x:c r="D109" s="54"/>
      <x:c r="E109" s="54"/>
      <x:c r="F109" s="54"/>
      <x:c r="G109" s="54"/>
      <x:c r="H109" s="54"/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  <x:c r="AA109" s="54"/>
      <x:c r="AB109" s="54"/>
      <x:c r="AC109" s="54"/>
      <x:c r="AD109" s="54"/>
      <x:c r="AE109" s="54"/>
      <x:c r="AF109" s="54"/>
      <x:c r="AG109" s="54"/>
      <x:c r="AH109" s="54"/>
      <x:c r="AI109" s="54"/>
      <x:c r="AJ109" s="54"/>
      <x:c r="AK109" s="54"/>
      <x:c r="AL109" s="54"/>
      <x:c r="AM109" s="54"/>
      <x:c r="AN109" s="54"/>
      <x:c r="AO109" s="54"/>
      <x:c r="AP109" s="54"/>
      <x:c r="AQ109" s="54"/>
      <x:c r="AR109" s="54"/>
      <x:c r="AS109" s="54"/>
      <x:c r="AT109" s="54"/>
      <x:c r="AU109" s="54"/>
      <x:c r="AV109" s="54"/>
      <x:c r="AW109" s="54"/>
    </x:row>
    <x:row r="110">
      <x:c r="A110" s="54"/>
      <x:c r="B110" s="54"/>
      <x:c r="C110" s="54"/>
      <x:c r="D110" s="54"/>
      <x:c r="E110" s="54"/>
      <x:c r="F110" s="54"/>
      <x:c r="G110" s="54"/>
      <x:c r="H110" s="54"/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  <x:c r="AA110" s="54"/>
      <x:c r="AB110" s="54"/>
      <x:c r="AC110" s="54"/>
      <x:c r="AD110" s="54"/>
      <x:c r="AE110" s="54"/>
      <x:c r="AF110" s="54"/>
      <x:c r="AG110" s="54"/>
      <x:c r="AH110" s="54"/>
      <x:c r="AI110" s="54"/>
      <x:c r="AJ110" s="54"/>
      <x:c r="AK110" s="54"/>
      <x:c r="AL110" s="54"/>
      <x:c r="AM110" s="54"/>
      <x:c r="AN110" s="54"/>
      <x:c r="AO110" s="54"/>
      <x:c r="AP110" s="54"/>
      <x:c r="AQ110" s="54"/>
      <x:c r="AR110" s="54"/>
      <x:c r="AS110" s="54"/>
      <x:c r="AT110" s="54"/>
      <x:c r="AU110" s="54"/>
      <x:c r="AV110" s="54"/>
      <x:c r="AW110" s="54"/>
    </x:row>
    <x:row r="111">
      <x:c r="A111" s="54"/>
      <x:c r="B111" s="54"/>
      <x:c r="C111" s="54"/>
      <x:c r="D111" s="54"/>
      <x:c r="E111" s="54"/>
      <x:c r="F111" s="54"/>
      <x:c r="G111" s="54"/>
      <x:c r="H111" s="54"/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  <x:c r="AA111" s="54"/>
      <x:c r="AB111" s="54"/>
      <x:c r="AC111" s="54"/>
      <x:c r="AD111" s="54"/>
      <x:c r="AE111" s="54"/>
      <x:c r="AF111" s="54"/>
      <x:c r="AG111" s="54"/>
      <x:c r="AH111" s="54"/>
      <x:c r="AI111" s="54"/>
      <x:c r="AJ111" s="54"/>
      <x:c r="AK111" s="54"/>
      <x:c r="AL111" s="54"/>
      <x:c r="AM111" s="54"/>
      <x:c r="AN111" s="54"/>
      <x:c r="AO111" s="54"/>
      <x:c r="AP111" s="54"/>
      <x:c r="AQ111" s="54"/>
      <x:c r="AR111" s="54"/>
      <x:c r="AS111" s="54"/>
      <x:c r="AT111" s="54"/>
      <x:c r="AU111" s="54"/>
      <x:c r="AV111" s="54"/>
      <x:c r="AW111" s="54"/>
    </x:row>
    <x:row r="112">
      <x:c r="A112" s="54"/>
      <x:c r="B112" s="54"/>
      <x:c r="C112" s="54"/>
      <x:c r="D112" s="54"/>
      <x:c r="E112" s="54"/>
      <x:c r="F112" s="54"/>
      <x:c r="G112" s="54"/>
      <x:c r="H112" s="54"/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  <x:c r="AA112" s="54"/>
      <x:c r="AB112" s="54"/>
      <x:c r="AC112" s="54"/>
      <x:c r="AD112" s="54"/>
      <x:c r="AE112" s="54"/>
      <x:c r="AF112" s="54"/>
      <x:c r="AG112" s="54"/>
      <x:c r="AH112" s="54"/>
      <x:c r="AI112" s="54"/>
      <x:c r="AJ112" s="54"/>
      <x:c r="AK112" s="54"/>
      <x:c r="AL112" s="54"/>
      <x:c r="AM112" s="54"/>
      <x:c r="AN112" s="54"/>
      <x:c r="AO112" s="54"/>
      <x:c r="AP112" s="54"/>
      <x:c r="AQ112" s="54"/>
      <x:c r="AR112" s="54"/>
      <x:c r="AS112" s="54"/>
      <x:c r="AT112" s="54"/>
      <x:c r="AU112" s="54"/>
      <x:c r="AV112" s="54"/>
      <x:c r="AW112" s="54"/>
    </x:row>
    <x:row r="113">
      <x:c r="A113" s="54"/>
      <x:c r="B113" s="54"/>
      <x:c r="C113" s="54"/>
      <x:c r="D113" s="54"/>
      <x:c r="E113" s="54"/>
      <x:c r="F113" s="54"/>
      <x:c r="G113" s="54"/>
      <x:c r="H113" s="54"/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  <x:c r="AA113" s="54"/>
      <x:c r="AB113" s="54"/>
      <x:c r="AC113" s="54"/>
      <x:c r="AD113" s="54"/>
      <x:c r="AE113" s="54"/>
      <x:c r="AF113" s="54"/>
      <x:c r="AG113" s="54"/>
      <x:c r="AH113" s="54"/>
      <x:c r="AI113" s="54"/>
      <x:c r="AJ113" s="54"/>
      <x:c r="AK113" s="54"/>
      <x:c r="AL113" s="54"/>
      <x:c r="AM113" s="54"/>
      <x:c r="AN113" s="54"/>
      <x:c r="AO113" s="54"/>
      <x:c r="AP113" s="54"/>
      <x:c r="AQ113" s="54"/>
      <x:c r="AR113" s="54"/>
      <x:c r="AS113" s="54"/>
      <x:c r="AT113" s="54"/>
      <x:c r="AU113" s="54"/>
      <x:c r="AV113" s="54"/>
      <x:c r="AW113" s="54"/>
    </x:row>
    <x:row r="114">
      <x:c r="A114" s="54"/>
      <x:c r="B114" s="54"/>
      <x:c r="C114" s="54"/>
      <x:c r="D114" s="54"/>
      <x:c r="E114" s="54"/>
      <x:c r="F114" s="54"/>
      <x:c r="G114" s="54"/>
      <x:c r="H114" s="54"/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  <x:c r="AA114" s="54"/>
      <x:c r="AB114" s="54"/>
      <x:c r="AC114" s="54"/>
      <x:c r="AD114" s="54"/>
      <x:c r="AE114" s="54"/>
      <x:c r="AF114" s="54"/>
      <x:c r="AG114" s="54"/>
      <x:c r="AH114" s="54"/>
      <x:c r="AI114" s="54"/>
      <x:c r="AJ114" s="54"/>
      <x:c r="AK114" s="54"/>
      <x:c r="AL114" s="54"/>
      <x:c r="AM114" s="54"/>
      <x:c r="AN114" s="54"/>
      <x:c r="AO114" s="54"/>
      <x:c r="AP114" s="54"/>
      <x:c r="AQ114" s="54"/>
      <x:c r="AR114" s="54"/>
      <x:c r="AS114" s="54"/>
      <x:c r="AT114" s="54"/>
      <x:c r="AU114" s="54"/>
      <x:c r="AV114" s="54"/>
      <x:c r="AW114" s="54"/>
    </x:row>
    <x:row r="115">
      <x:c r="A115" s="54"/>
      <x:c r="B115" s="54"/>
      <x:c r="C115" s="54"/>
      <x:c r="D115" s="54"/>
      <x:c r="E115" s="54"/>
      <x:c r="F115" s="54"/>
      <x:c r="G115" s="54"/>
      <x:c r="H115" s="54"/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  <x:c r="AA115" s="54"/>
      <x:c r="AB115" s="54"/>
      <x:c r="AC115" s="54"/>
      <x:c r="AD115" s="54"/>
      <x:c r="AE115" s="54"/>
      <x:c r="AF115" s="54"/>
      <x:c r="AG115" s="54"/>
      <x:c r="AH115" s="54"/>
      <x:c r="AI115" s="54"/>
      <x:c r="AJ115" s="54"/>
      <x:c r="AK115" s="54"/>
      <x:c r="AL115" s="54"/>
      <x:c r="AM115" s="54"/>
      <x:c r="AN115" s="54"/>
      <x:c r="AO115" s="54"/>
      <x:c r="AP115" s="54"/>
      <x:c r="AQ115" s="54"/>
      <x:c r="AR115" s="54"/>
      <x:c r="AS115" s="54"/>
      <x:c r="AT115" s="54"/>
      <x:c r="AU115" s="54"/>
      <x:c r="AV115" s="54"/>
      <x:c r="AW115" s="54"/>
    </x:row>
    <x:row r="116">
      <x:c r="A116" s="54"/>
      <x:c r="B116" s="54"/>
      <x:c r="C116" s="54"/>
      <x:c r="D116" s="54"/>
      <x:c r="E116" s="54"/>
      <x:c r="F116" s="54"/>
      <x:c r="G116" s="54"/>
      <x:c r="H116" s="54"/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  <x:c r="AA116" s="54"/>
      <x:c r="AB116" s="54"/>
      <x:c r="AC116" s="54"/>
      <x:c r="AD116" s="54"/>
      <x:c r="AE116" s="54"/>
      <x:c r="AF116" s="54"/>
      <x:c r="AG116" s="54"/>
      <x:c r="AH116" s="54"/>
      <x:c r="AI116" s="54"/>
      <x:c r="AJ116" s="54"/>
      <x:c r="AK116" s="54"/>
      <x:c r="AL116" s="54"/>
      <x:c r="AM116" s="54"/>
      <x:c r="AN116" s="54"/>
      <x:c r="AO116" s="54"/>
      <x:c r="AP116" s="54"/>
      <x:c r="AQ116" s="54"/>
      <x:c r="AR116" s="54"/>
      <x:c r="AS116" s="54"/>
      <x:c r="AT116" s="54"/>
      <x:c r="AU116" s="54"/>
      <x:c r="AV116" s="54"/>
      <x:c r="AW116" s="54"/>
    </x:row>
    <x:row r="117">
      <x:c r="A117" s="54"/>
      <x:c r="B117" s="54"/>
      <x:c r="C117" s="54"/>
      <x:c r="D117" s="54"/>
      <x:c r="E117" s="54"/>
      <x:c r="F117" s="54"/>
      <x:c r="G117" s="54"/>
      <x:c r="H117" s="54"/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  <x:c r="AA117" s="54"/>
      <x:c r="AB117" s="54"/>
      <x:c r="AC117" s="54"/>
      <x:c r="AD117" s="54"/>
      <x:c r="AE117" s="54"/>
      <x:c r="AF117" s="54"/>
      <x:c r="AG117" s="54"/>
      <x:c r="AH117" s="54"/>
      <x:c r="AI117" s="54"/>
      <x:c r="AJ117" s="54"/>
      <x:c r="AK117" s="54"/>
      <x:c r="AL117" s="54"/>
      <x:c r="AM117" s="54"/>
      <x:c r="AN117" s="54"/>
      <x:c r="AO117" s="54"/>
      <x:c r="AP117" s="54"/>
      <x:c r="AQ117" s="54"/>
      <x:c r="AR117" s="54"/>
      <x:c r="AS117" s="54"/>
      <x:c r="AT117" s="54"/>
      <x:c r="AU117" s="54"/>
      <x:c r="AV117" s="54"/>
      <x:c r="AW117" s="54"/>
    </x:row>
    <x:row r="118">
      <x:c r="A118" s="54"/>
      <x:c r="B118" s="54"/>
      <x:c r="C118" s="54"/>
      <x:c r="D118" s="54"/>
      <x:c r="E118" s="54"/>
      <x:c r="F118" s="54"/>
      <x:c r="G118" s="54"/>
      <x:c r="H118" s="54"/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  <x:c r="AA118" s="54"/>
      <x:c r="AB118" s="54"/>
      <x:c r="AC118" s="54"/>
      <x:c r="AD118" s="54"/>
      <x:c r="AE118" s="54"/>
      <x:c r="AF118" s="54"/>
      <x:c r="AG118" s="54"/>
      <x:c r="AH118" s="54"/>
      <x:c r="AI118" s="54"/>
      <x:c r="AJ118" s="54"/>
      <x:c r="AK118" s="54"/>
      <x:c r="AL118" s="54"/>
      <x:c r="AM118" s="54"/>
      <x:c r="AN118" s="54"/>
      <x:c r="AO118" s="54"/>
      <x:c r="AP118" s="54"/>
      <x:c r="AQ118" s="54"/>
      <x:c r="AR118" s="54"/>
      <x:c r="AS118" s="54"/>
      <x:c r="AT118" s="54"/>
      <x:c r="AU118" s="54"/>
      <x:c r="AV118" s="54"/>
      <x:c r="AW118" s="54"/>
    </x:row>
    <x:row r="119">
      <x:c r="A119" s="54"/>
      <x:c r="B119" s="54"/>
      <x:c r="C119" s="54"/>
      <x:c r="D119" s="54"/>
      <x:c r="E119" s="54"/>
      <x:c r="F119" s="54"/>
      <x:c r="G119" s="54"/>
      <x:c r="H119" s="54"/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  <x:c r="AA119" s="54"/>
      <x:c r="AB119" s="54"/>
      <x:c r="AC119" s="54"/>
      <x:c r="AD119" s="54"/>
      <x:c r="AE119" s="54"/>
      <x:c r="AF119" s="54"/>
      <x:c r="AG119" s="54"/>
      <x:c r="AH119" s="54"/>
      <x:c r="AI119" s="54"/>
      <x:c r="AJ119" s="54"/>
      <x:c r="AK119" s="54"/>
      <x:c r="AL119" s="54"/>
      <x:c r="AM119" s="54"/>
      <x:c r="AN119" s="54"/>
      <x:c r="AO119" s="54"/>
      <x:c r="AP119" s="54"/>
      <x:c r="AQ119" s="54"/>
      <x:c r="AR119" s="54"/>
      <x:c r="AS119" s="54"/>
      <x:c r="AT119" s="54"/>
      <x:c r="AU119" s="54"/>
      <x:c r="AV119" s="54"/>
      <x:c r="AW119" s="54"/>
    </x:row>
    <x:row r="120">
      <x:c r="A120" s="54"/>
      <x:c r="B120" s="54"/>
      <x:c r="C120" s="54"/>
      <x:c r="D120" s="54"/>
      <x:c r="E120" s="54"/>
      <x:c r="F120" s="54"/>
      <x:c r="G120" s="54"/>
      <x:c r="H120" s="54"/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  <x:c r="AA120" s="54"/>
      <x:c r="AB120" s="54"/>
      <x:c r="AC120" s="54"/>
      <x:c r="AD120" s="54"/>
      <x:c r="AE120" s="54"/>
      <x:c r="AF120" s="54"/>
      <x:c r="AG120" s="54"/>
      <x:c r="AH120" s="54"/>
      <x:c r="AI120" s="54"/>
      <x:c r="AJ120" s="54"/>
      <x:c r="AK120" s="54"/>
      <x:c r="AL120" s="54"/>
      <x:c r="AM120" s="54"/>
      <x:c r="AN120" s="54"/>
      <x:c r="AO120" s="54"/>
      <x:c r="AP120" s="54"/>
      <x:c r="AQ120" s="54"/>
      <x:c r="AR120" s="54"/>
      <x:c r="AS120" s="54"/>
      <x:c r="AT120" s="54"/>
      <x:c r="AU120" s="54"/>
      <x:c r="AV120" s="54"/>
      <x:c r="AW120" s="54"/>
    </x:row>
    <x:row r="121">
      <x:c r="A121" s="54"/>
      <x:c r="B121" s="54"/>
      <x:c r="C121" s="54"/>
      <x:c r="D121" s="54"/>
      <x:c r="E121" s="54"/>
      <x:c r="F121" s="54"/>
      <x:c r="G121" s="54"/>
      <x:c r="H121" s="54"/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  <x:c r="AA121" s="54"/>
      <x:c r="AB121" s="54"/>
      <x:c r="AC121" s="54"/>
      <x:c r="AD121" s="54"/>
      <x:c r="AE121" s="54"/>
      <x:c r="AF121" s="54"/>
      <x:c r="AG121" s="54"/>
      <x:c r="AH121" s="54"/>
      <x:c r="AI121" s="54"/>
      <x:c r="AJ121" s="54"/>
      <x:c r="AK121" s="54"/>
      <x:c r="AL121" s="54"/>
      <x:c r="AM121" s="54"/>
      <x:c r="AN121" s="54"/>
      <x:c r="AO121" s="54"/>
      <x:c r="AP121" s="54"/>
      <x:c r="AQ121" s="54"/>
      <x:c r="AR121" s="54"/>
      <x:c r="AS121" s="54"/>
      <x:c r="AT121" s="54"/>
      <x:c r="AU121" s="54"/>
      <x:c r="AV121" s="54"/>
      <x:c r="AW121" s="54"/>
    </x:row>
    <x:row r="122">
      <x:c r="A122" s="54"/>
      <x:c r="B122" s="54"/>
      <x:c r="C122" s="54"/>
      <x:c r="D122" s="54"/>
      <x:c r="E122" s="54"/>
      <x:c r="F122" s="54"/>
      <x:c r="G122" s="54"/>
      <x:c r="H122" s="54"/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  <x:c r="AA122" s="54"/>
      <x:c r="AB122" s="54"/>
      <x:c r="AC122" s="54"/>
      <x:c r="AD122" s="54"/>
      <x:c r="AE122" s="54"/>
      <x:c r="AF122" s="54"/>
      <x:c r="AG122" s="54"/>
      <x:c r="AH122" s="54"/>
      <x:c r="AI122" s="54"/>
      <x:c r="AJ122" s="54"/>
      <x:c r="AK122" s="54"/>
      <x:c r="AL122" s="54"/>
      <x:c r="AM122" s="54"/>
      <x:c r="AN122" s="54"/>
      <x:c r="AO122" s="54"/>
      <x:c r="AP122" s="54"/>
      <x:c r="AQ122" s="54"/>
      <x:c r="AR122" s="54"/>
      <x:c r="AS122" s="54"/>
      <x:c r="AT122" s="54"/>
      <x:c r="AU122" s="54"/>
      <x:c r="AV122" s="54"/>
      <x:c r="AW122" s="54"/>
    </x:row>
    <x:row r="123">
      <x:c r="A123" s="54"/>
      <x:c r="B123" s="54"/>
      <x:c r="C123" s="54"/>
      <x:c r="D123" s="54"/>
      <x:c r="E123" s="54"/>
      <x:c r="F123" s="54"/>
      <x:c r="G123" s="54"/>
      <x:c r="H123" s="54"/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  <x:c r="AA123" s="54"/>
      <x:c r="AB123" s="54"/>
      <x:c r="AC123" s="54"/>
      <x:c r="AD123" s="54"/>
      <x:c r="AE123" s="54"/>
      <x:c r="AF123" s="54"/>
      <x:c r="AG123" s="54"/>
      <x:c r="AH123" s="54"/>
      <x:c r="AI123" s="54"/>
      <x:c r="AJ123" s="54"/>
      <x:c r="AK123" s="54"/>
      <x:c r="AL123" s="54"/>
      <x:c r="AM123" s="54"/>
      <x:c r="AN123" s="54"/>
      <x:c r="AO123" s="54"/>
      <x:c r="AP123" s="54"/>
      <x:c r="AQ123" s="54"/>
      <x:c r="AR123" s="54"/>
      <x:c r="AS123" s="54"/>
      <x:c r="AT123" s="54"/>
      <x:c r="AU123" s="54"/>
      <x:c r="AV123" s="54"/>
      <x:c r="AW123" s="54"/>
    </x:row>
    <x:row r="124">
      <x:c r="A124" s="54"/>
      <x:c r="B124" s="54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  <x:c r="AA124" s="54"/>
      <x:c r="AB124" s="54"/>
      <x:c r="AC124" s="54"/>
      <x:c r="AD124" s="54"/>
      <x:c r="AE124" s="54"/>
      <x:c r="AF124" s="54"/>
      <x:c r="AG124" s="54"/>
      <x:c r="AH124" s="54"/>
      <x:c r="AI124" s="54"/>
      <x:c r="AJ124" s="54"/>
      <x:c r="AK124" s="54"/>
      <x:c r="AL124" s="54"/>
      <x:c r="AM124" s="54"/>
      <x:c r="AN124" s="54"/>
      <x:c r="AO124" s="54"/>
      <x:c r="AP124" s="54"/>
      <x:c r="AQ124" s="54"/>
      <x:c r="AR124" s="54"/>
      <x:c r="AS124" s="54"/>
      <x:c r="AT124" s="54"/>
      <x:c r="AU124" s="54"/>
      <x:c r="AV124" s="54"/>
      <x:c r="AW124" s="54"/>
    </x:row>
    <x:row r="125">
      <x:c r="A125" s="54"/>
      <x:c r="B125" s="54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  <x:c r="AA125" s="54"/>
      <x:c r="AB125" s="54"/>
      <x:c r="AC125" s="54"/>
      <x:c r="AD125" s="54"/>
      <x:c r="AE125" s="54"/>
      <x:c r="AF125" s="54"/>
      <x:c r="AG125" s="54"/>
      <x:c r="AH125" s="54"/>
      <x:c r="AI125" s="54"/>
      <x:c r="AJ125" s="54"/>
      <x:c r="AK125" s="54"/>
      <x:c r="AL125" s="54"/>
      <x:c r="AM125" s="54"/>
      <x:c r="AN125" s="54"/>
      <x:c r="AO125" s="54"/>
      <x:c r="AP125" s="54"/>
      <x:c r="AQ125" s="54"/>
      <x:c r="AR125" s="54"/>
      <x:c r="AS125" s="54"/>
      <x:c r="AT125" s="54"/>
      <x:c r="AU125" s="54"/>
      <x:c r="AV125" s="54"/>
      <x:c r="AW125" s="54"/>
    </x:row>
    <x:row r="126">
      <x:c r="A126" s="54"/>
      <x:c r="B126" s="54"/>
      <x:c r="C126" s="54"/>
      <x:c r="D126" s="54"/>
      <x:c r="E126" s="54"/>
      <x:c r="F126" s="54"/>
      <x:c r="G126" s="54"/>
      <x:c r="H126" s="54"/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  <x:c r="AA126" s="54"/>
      <x:c r="AB126" s="54"/>
      <x:c r="AC126" s="54"/>
      <x:c r="AD126" s="54"/>
      <x:c r="AE126" s="54"/>
      <x:c r="AF126" s="54"/>
      <x:c r="AG126" s="54"/>
      <x:c r="AH126" s="54"/>
      <x:c r="AI126" s="54"/>
      <x:c r="AJ126" s="54"/>
      <x:c r="AK126" s="54"/>
      <x:c r="AL126" s="54"/>
      <x:c r="AM126" s="54"/>
      <x:c r="AN126" s="54"/>
      <x:c r="AO126" s="54"/>
      <x:c r="AP126" s="54"/>
      <x:c r="AQ126" s="54"/>
      <x:c r="AR126" s="54"/>
      <x:c r="AS126" s="54"/>
      <x:c r="AT126" s="54"/>
      <x:c r="AU126" s="54"/>
      <x:c r="AV126" s="54"/>
      <x:c r="AW126" s="54"/>
    </x:row>
    <x:row r="127">
      <x:c r="A127" s="54"/>
      <x:c r="B127" s="54"/>
      <x:c r="C127" s="54"/>
      <x:c r="D127" s="54"/>
      <x:c r="E127" s="54"/>
      <x:c r="F127" s="54"/>
      <x:c r="G127" s="54"/>
      <x:c r="H127" s="54"/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  <x:c r="AA127" s="54"/>
      <x:c r="AB127" s="54"/>
      <x:c r="AC127" s="54"/>
      <x:c r="AD127" s="54"/>
      <x:c r="AE127" s="54"/>
      <x:c r="AF127" s="54"/>
      <x:c r="AG127" s="54"/>
      <x:c r="AH127" s="54"/>
      <x:c r="AI127" s="54"/>
      <x:c r="AJ127" s="54"/>
      <x:c r="AK127" s="54"/>
      <x:c r="AL127" s="54"/>
      <x:c r="AM127" s="54"/>
      <x:c r="AN127" s="54"/>
      <x:c r="AO127" s="54"/>
      <x:c r="AP127" s="54"/>
      <x:c r="AQ127" s="54"/>
      <x:c r="AR127" s="54"/>
      <x:c r="AS127" s="54"/>
      <x:c r="AT127" s="54"/>
      <x:c r="AU127" s="54"/>
      <x:c r="AV127" s="54"/>
      <x:c r="AW127" s="54"/>
    </x:row>
    <x:row r="128">
      <x:c r="A128" s="54"/>
      <x:c r="B128" s="54"/>
      <x:c r="C128" s="54"/>
      <x:c r="D128" s="54"/>
      <x:c r="E128" s="54"/>
      <x:c r="F128" s="54"/>
      <x:c r="G128" s="54"/>
      <x:c r="H128" s="54"/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  <x:c r="AA128" s="54"/>
      <x:c r="AB128" s="54"/>
      <x:c r="AC128" s="54"/>
      <x:c r="AD128" s="54"/>
      <x:c r="AE128" s="54"/>
      <x:c r="AF128" s="54"/>
      <x:c r="AG128" s="54"/>
      <x:c r="AH128" s="54"/>
      <x:c r="AI128" s="54"/>
      <x:c r="AJ128" s="54"/>
      <x:c r="AK128" s="54"/>
      <x:c r="AL128" s="54"/>
      <x:c r="AM128" s="54"/>
      <x:c r="AN128" s="54"/>
      <x:c r="AO128" s="54"/>
      <x:c r="AP128" s="54"/>
      <x:c r="AQ128" s="54"/>
      <x:c r="AR128" s="54"/>
      <x:c r="AS128" s="54"/>
      <x:c r="AT128" s="54"/>
      <x:c r="AU128" s="54"/>
      <x:c r="AV128" s="54"/>
      <x:c r="AW128" s="54"/>
    </x:row>
    <x:row r="129">
      <x:c r="A129" s="54"/>
      <x:c r="B129" s="54"/>
      <x:c r="C129" s="54"/>
      <x:c r="D129" s="54"/>
      <x:c r="E129" s="54"/>
      <x:c r="F129" s="54"/>
      <x:c r="G129" s="54"/>
      <x:c r="H129" s="54"/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  <x:c r="AA129" s="54"/>
      <x:c r="AB129" s="54"/>
      <x:c r="AC129" s="54"/>
      <x:c r="AD129" s="54"/>
      <x:c r="AE129" s="54"/>
      <x:c r="AF129" s="54"/>
      <x:c r="AG129" s="54"/>
      <x:c r="AH129" s="54"/>
      <x:c r="AI129" s="54"/>
      <x:c r="AJ129" s="54"/>
      <x:c r="AK129" s="54"/>
      <x:c r="AL129" s="54"/>
      <x:c r="AM129" s="54"/>
      <x:c r="AN129" s="54"/>
      <x:c r="AO129" s="54"/>
      <x:c r="AP129" s="54"/>
      <x:c r="AQ129" s="54"/>
      <x:c r="AR129" s="54"/>
      <x:c r="AS129" s="54"/>
      <x:c r="AT129" s="54"/>
      <x:c r="AU129" s="54"/>
      <x:c r="AV129" s="54"/>
      <x:c r="AW129" s="54"/>
    </x:row>
    <x:row r="130">
      <x:c r="A130" s="54"/>
      <x:c r="B130" s="54"/>
      <x:c r="C130" s="54"/>
      <x:c r="D130" s="54"/>
      <x:c r="E130" s="54"/>
      <x:c r="F130" s="54"/>
      <x:c r="G130" s="54"/>
      <x:c r="H130" s="54"/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  <x:c r="AA130" s="54"/>
      <x:c r="AB130" s="54"/>
      <x:c r="AC130" s="54"/>
      <x:c r="AD130" s="54"/>
      <x:c r="AE130" s="54"/>
      <x:c r="AF130" s="54"/>
      <x:c r="AG130" s="54"/>
      <x:c r="AH130" s="54"/>
      <x:c r="AI130" s="54"/>
      <x:c r="AJ130" s="54"/>
      <x:c r="AK130" s="54"/>
      <x:c r="AL130" s="54"/>
      <x:c r="AM130" s="54"/>
      <x:c r="AN130" s="54"/>
      <x:c r="AO130" s="54"/>
      <x:c r="AP130" s="54"/>
      <x:c r="AQ130" s="54"/>
      <x:c r="AR130" s="54"/>
      <x:c r="AS130" s="54"/>
      <x:c r="AT130" s="54"/>
      <x:c r="AU130" s="54"/>
      <x:c r="AV130" s="54"/>
      <x:c r="AW130" s="54"/>
    </x:row>
    <x:row r="131">
      <x:c r="A131" s="54"/>
      <x:c r="B131" s="54"/>
      <x:c r="C131" s="54"/>
      <x:c r="D131" s="54"/>
      <x:c r="E131" s="54"/>
      <x:c r="F131" s="54"/>
      <x:c r="G131" s="54"/>
      <x:c r="H131" s="54"/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  <x:c r="AA131" s="54"/>
      <x:c r="AB131" s="54"/>
      <x:c r="AC131" s="54"/>
      <x:c r="AD131" s="54"/>
      <x:c r="AE131" s="54"/>
      <x:c r="AF131" s="54"/>
      <x:c r="AG131" s="54"/>
      <x:c r="AH131" s="54"/>
      <x:c r="AI131" s="54"/>
      <x:c r="AJ131" s="54"/>
      <x:c r="AK131" s="54"/>
      <x:c r="AL131" s="54"/>
      <x:c r="AM131" s="54"/>
      <x:c r="AN131" s="54"/>
      <x:c r="AO131" s="54"/>
      <x:c r="AP131" s="54"/>
      <x:c r="AQ131" s="54"/>
      <x:c r="AR131" s="54"/>
      <x:c r="AS131" s="54"/>
      <x:c r="AT131" s="54"/>
      <x:c r="AU131" s="54"/>
      <x:c r="AV131" s="54"/>
      <x:c r="AW131" s="54"/>
    </x:row>
    <x:row r="132">
      <x:c r="A132" s="54"/>
      <x:c r="B132" s="54"/>
      <x:c r="C132" s="54"/>
      <x:c r="D132" s="54"/>
      <x:c r="E132" s="54"/>
      <x:c r="F132" s="54"/>
      <x:c r="G132" s="54"/>
      <x:c r="H132" s="54"/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  <x:c r="AA132" s="54"/>
      <x:c r="AB132" s="54"/>
      <x:c r="AC132" s="54"/>
      <x:c r="AD132" s="54"/>
      <x:c r="AE132" s="54"/>
      <x:c r="AF132" s="54"/>
      <x:c r="AG132" s="54"/>
      <x:c r="AH132" s="54"/>
      <x:c r="AI132" s="54"/>
      <x:c r="AJ132" s="54"/>
      <x:c r="AK132" s="54"/>
      <x:c r="AL132" s="54"/>
      <x:c r="AM132" s="54"/>
      <x:c r="AN132" s="54"/>
      <x:c r="AO132" s="54"/>
      <x:c r="AP132" s="54"/>
      <x:c r="AQ132" s="54"/>
      <x:c r="AR132" s="54"/>
      <x:c r="AS132" s="54"/>
      <x:c r="AT132" s="54"/>
      <x:c r="AU132" s="54"/>
      <x:c r="AV132" s="54"/>
      <x:c r="AW132" s="54"/>
    </x:row>
    <x:row r="133">
      <x:c r="A133" s="54"/>
      <x:c r="B133" s="54"/>
      <x:c r="C133" s="54"/>
      <x:c r="D133" s="54"/>
      <x:c r="E133" s="54"/>
      <x:c r="F133" s="54"/>
      <x:c r="G133" s="54"/>
      <x:c r="H133" s="54"/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  <x:c r="AA133" s="54"/>
      <x:c r="AB133" s="54"/>
      <x:c r="AC133" s="54"/>
      <x:c r="AD133" s="54"/>
      <x:c r="AE133" s="54"/>
      <x:c r="AF133" s="54"/>
      <x:c r="AG133" s="54"/>
      <x:c r="AH133" s="54"/>
      <x:c r="AI133" s="54"/>
      <x:c r="AJ133" s="54"/>
      <x:c r="AK133" s="54"/>
      <x:c r="AL133" s="54"/>
      <x:c r="AM133" s="54"/>
      <x:c r="AN133" s="54"/>
      <x:c r="AO133" s="54"/>
      <x:c r="AP133" s="54"/>
      <x:c r="AQ133" s="54"/>
      <x:c r="AR133" s="54"/>
      <x:c r="AS133" s="54"/>
      <x:c r="AT133" s="54"/>
      <x:c r="AU133" s="54"/>
      <x:c r="AV133" s="54"/>
      <x:c r="AW133" s="54"/>
    </x:row>
    <x:row r="134">
      <x:c r="A134" s="54"/>
      <x:c r="B134" s="54"/>
      <x:c r="C134" s="54"/>
      <x:c r="D134" s="54"/>
      <x:c r="E134" s="54"/>
      <x:c r="F134" s="54"/>
      <x:c r="G134" s="54"/>
      <x:c r="H134" s="54"/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  <x:c r="AA134" s="54"/>
      <x:c r="AB134" s="54"/>
      <x:c r="AC134" s="54"/>
      <x:c r="AD134" s="54"/>
      <x:c r="AE134" s="54"/>
      <x:c r="AF134" s="54"/>
      <x:c r="AG134" s="54"/>
      <x:c r="AH134" s="54"/>
      <x:c r="AI134" s="54"/>
      <x:c r="AJ134" s="54"/>
      <x:c r="AK134" s="54"/>
      <x:c r="AL134" s="54"/>
      <x:c r="AM134" s="54"/>
      <x:c r="AN134" s="54"/>
      <x:c r="AO134" s="54"/>
      <x:c r="AP134" s="54"/>
      <x:c r="AQ134" s="54"/>
      <x:c r="AR134" s="54"/>
      <x:c r="AS134" s="54"/>
      <x:c r="AT134" s="54"/>
      <x:c r="AU134" s="54"/>
      <x:c r="AV134" s="54"/>
      <x:c r="AW134" s="54"/>
    </x:row>
    <x:row r="135">
      <x:c r="A135" s="54"/>
      <x:c r="B135" s="54"/>
      <x:c r="C135" s="54"/>
      <x:c r="D135" s="54"/>
      <x:c r="E135" s="54"/>
      <x:c r="F135" s="54"/>
      <x:c r="G135" s="54"/>
      <x:c r="H135" s="54"/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  <x:c r="AA135" s="54"/>
      <x:c r="AB135" s="54"/>
      <x:c r="AC135" s="54"/>
      <x:c r="AD135" s="54"/>
      <x:c r="AE135" s="54"/>
      <x:c r="AF135" s="54"/>
      <x:c r="AG135" s="54"/>
      <x:c r="AH135" s="54"/>
      <x:c r="AI135" s="54"/>
      <x:c r="AJ135" s="54"/>
      <x:c r="AK135" s="54"/>
      <x:c r="AL135" s="54"/>
      <x:c r="AM135" s="54"/>
      <x:c r="AN135" s="54"/>
      <x:c r="AO135" s="54"/>
      <x:c r="AP135" s="54"/>
      <x:c r="AQ135" s="54"/>
      <x:c r="AR135" s="54"/>
      <x:c r="AS135" s="54"/>
      <x:c r="AT135" s="54"/>
      <x:c r="AU135" s="54"/>
      <x:c r="AV135" s="54"/>
      <x:c r="AW135" s="54"/>
    </x:row>
    <x:row r="136">
      <x:c r="A136" s="54"/>
      <x:c r="B136" s="54"/>
      <x:c r="C136" s="54"/>
      <x:c r="D136" s="54"/>
      <x:c r="E136" s="54"/>
      <x:c r="F136" s="54"/>
      <x:c r="G136" s="54"/>
      <x:c r="H136" s="54"/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  <x:c r="AA136" s="54"/>
      <x:c r="AB136" s="54"/>
      <x:c r="AC136" s="54"/>
      <x:c r="AD136" s="54"/>
      <x:c r="AE136" s="54"/>
      <x:c r="AF136" s="54"/>
      <x:c r="AG136" s="54"/>
      <x:c r="AH136" s="54"/>
      <x:c r="AI136" s="54"/>
      <x:c r="AJ136" s="54"/>
      <x:c r="AK136" s="54"/>
      <x:c r="AL136" s="54"/>
      <x:c r="AM136" s="54"/>
      <x:c r="AN136" s="54"/>
      <x:c r="AO136" s="54"/>
      <x:c r="AP136" s="54"/>
      <x:c r="AQ136" s="54"/>
      <x:c r="AR136" s="54"/>
      <x:c r="AS136" s="54"/>
      <x:c r="AT136" s="54"/>
      <x:c r="AU136" s="54"/>
      <x:c r="AV136" s="54"/>
      <x:c r="AW136" s="54"/>
    </x:row>
    <x:row r="137">
      <x:c r="A137" s="54"/>
      <x:c r="B137" s="54"/>
      <x:c r="C137" s="54"/>
      <x:c r="D137" s="54"/>
      <x:c r="E137" s="54"/>
      <x:c r="F137" s="54"/>
      <x:c r="G137" s="54"/>
      <x:c r="H137" s="54"/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  <x:c r="AA137" s="54"/>
      <x:c r="AB137" s="54"/>
      <x:c r="AC137" s="54"/>
      <x:c r="AD137" s="54"/>
      <x:c r="AE137" s="54"/>
      <x:c r="AF137" s="54"/>
      <x:c r="AG137" s="54"/>
      <x:c r="AH137" s="54"/>
      <x:c r="AI137" s="54"/>
      <x:c r="AJ137" s="54"/>
      <x:c r="AK137" s="54"/>
      <x:c r="AL137" s="54"/>
      <x:c r="AM137" s="54"/>
      <x:c r="AN137" s="54"/>
      <x:c r="AO137" s="54"/>
      <x:c r="AP137" s="54"/>
      <x:c r="AQ137" s="54"/>
      <x:c r="AR137" s="54"/>
      <x:c r="AS137" s="54"/>
      <x:c r="AT137" s="54"/>
      <x:c r="AU137" s="54"/>
      <x:c r="AV137" s="54"/>
      <x:c r="AW137" s="54"/>
    </x:row>
    <x:row r="138">
      <x:c r="A138" s="54"/>
      <x:c r="B138" s="54"/>
      <x:c r="C138" s="54"/>
      <x:c r="D138" s="54"/>
      <x:c r="E138" s="54"/>
      <x:c r="F138" s="54"/>
      <x:c r="G138" s="54"/>
      <x:c r="H138" s="54"/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  <x:c r="AA138" s="54"/>
      <x:c r="AB138" s="54"/>
      <x:c r="AC138" s="54"/>
      <x:c r="AD138" s="54"/>
      <x:c r="AE138" s="54"/>
      <x:c r="AF138" s="54"/>
      <x:c r="AG138" s="54"/>
      <x:c r="AH138" s="54"/>
      <x:c r="AI138" s="54"/>
      <x:c r="AJ138" s="54"/>
      <x:c r="AK138" s="54"/>
      <x:c r="AL138" s="54"/>
      <x:c r="AM138" s="54"/>
      <x:c r="AN138" s="54"/>
      <x:c r="AO138" s="54"/>
      <x:c r="AP138" s="54"/>
      <x:c r="AQ138" s="54"/>
      <x:c r="AR138" s="54"/>
      <x:c r="AS138" s="54"/>
      <x:c r="AT138" s="54"/>
      <x:c r="AU138" s="54"/>
      <x:c r="AV138" s="54"/>
      <x:c r="AW138" s="54"/>
    </x:row>
    <x:row r="139">
      <x:c r="A139" s="54"/>
      <x:c r="B139" s="54"/>
      <x:c r="C139" s="54"/>
      <x:c r="D139" s="54"/>
      <x:c r="E139" s="54"/>
      <x:c r="F139" s="54"/>
      <x:c r="G139" s="54"/>
      <x:c r="H139" s="54"/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  <x:c r="AA139" s="54"/>
      <x:c r="AB139" s="54"/>
      <x:c r="AC139" s="54"/>
      <x:c r="AD139" s="54"/>
      <x:c r="AE139" s="54"/>
      <x:c r="AF139" s="54"/>
      <x:c r="AG139" s="54"/>
      <x:c r="AH139" s="54"/>
      <x:c r="AI139" s="54"/>
      <x:c r="AJ139" s="54"/>
      <x:c r="AK139" s="54"/>
      <x:c r="AL139" s="54"/>
      <x:c r="AM139" s="54"/>
      <x:c r="AN139" s="54"/>
      <x:c r="AO139" s="54"/>
      <x:c r="AP139" s="54"/>
      <x:c r="AQ139" s="54"/>
      <x:c r="AR139" s="54"/>
      <x:c r="AS139" s="54"/>
      <x:c r="AT139" s="54"/>
      <x:c r="AU139" s="54"/>
      <x:c r="AV139" s="54"/>
      <x:c r="AW139" s="54"/>
    </x:row>
    <x:row r="140">
      <x:c r="A140" s="54"/>
      <x:c r="B140" s="54"/>
      <x:c r="C140" s="54"/>
      <x:c r="D140" s="54"/>
      <x:c r="E140" s="54"/>
      <x:c r="F140" s="54"/>
      <x:c r="G140" s="54"/>
      <x:c r="H140" s="54"/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  <x:c r="AA140" s="54"/>
      <x:c r="AB140" s="54"/>
      <x:c r="AC140" s="54"/>
      <x:c r="AD140" s="54"/>
      <x:c r="AE140" s="54"/>
      <x:c r="AF140" s="54"/>
      <x:c r="AG140" s="54"/>
      <x:c r="AH140" s="54"/>
      <x:c r="AI140" s="54"/>
      <x:c r="AJ140" s="54"/>
      <x:c r="AK140" s="54"/>
      <x:c r="AL140" s="54"/>
      <x:c r="AM140" s="54"/>
      <x:c r="AN140" s="54"/>
      <x:c r="AO140" s="54"/>
      <x:c r="AP140" s="54"/>
      <x:c r="AQ140" s="54"/>
      <x:c r="AR140" s="54"/>
      <x:c r="AS140" s="54"/>
      <x:c r="AT140" s="54"/>
      <x:c r="AU140" s="54"/>
      <x:c r="AV140" s="54"/>
      <x:c r="AW140" s="54"/>
    </x:row>
    <x:row r="141">
      <x:c r="A141" s="54"/>
      <x:c r="B141" s="54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  <x:c r="AA141" s="54"/>
      <x:c r="AB141" s="54"/>
      <x:c r="AC141" s="54"/>
      <x:c r="AD141" s="54"/>
      <x:c r="AE141" s="54"/>
      <x:c r="AF141" s="54"/>
      <x:c r="AG141" s="54"/>
      <x:c r="AH141" s="54"/>
      <x:c r="AI141" s="54"/>
      <x:c r="AJ141" s="54"/>
      <x:c r="AK141" s="54"/>
      <x:c r="AL141" s="54"/>
      <x:c r="AM141" s="54"/>
      <x:c r="AN141" s="54"/>
      <x:c r="AO141" s="54"/>
      <x:c r="AP141" s="54"/>
      <x:c r="AQ141" s="54"/>
      <x:c r="AR141" s="54"/>
      <x:c r="AS141" s="54"/>
      <x:c r="AT141" s="54"/>
      <x:c r="AU141" s="54"/>
      <x:c r="AV141" s="54"/>
      <x:c r="AW141" s="54"/>
    </x:row>
    <x:row r="142">
      <x:c r="A142" s="54"/>
      <x:c r="B142" s="54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  <x:c r="AA142" s="54"/>
      <x:c r="AB142" s="54"/>
      <x:c r="AC142" s="54"/>
      <x:c r="AD142" s="54"/>
      <x:c r="AE142" s="54"/>
      <x:c r="AF142" s="54"/>
      <x:c r="AG142" s="54"/>
      <x:c r="AH142" s="54"/>
      <x:c r="AI142" s="54"/>
      <x:c r="AJ142" s="54"/>
      <x:c r="AK142" s="54"/>
      <x:c r="AL142" s="54"/>
      <x:c r="AM142" s="54"/>
      <x:c r="AN142" s="54"/>
      <x:c r="AO142" s="54"/>
      <x:c r="AP142" s="54"/>
      <x:c r="AQ142" s="54"/>
      <x:c r="AR142" s="54"/>
      <x:c r="AS142" s="54"/>
      <x:c r="AT142" s="54"/>
      <x:c r="AU142" s="54"/>
      <x:c r="AV142" s="54"/>
      <x:c r="AW142" s="54"/>
    </x:row>
    <x:row r="143">
      <x:c r="A143" s="54"/>
      <x:c r="B143" s="54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  <x:c r="AA143" s="54"/>
      <x:c r="AB143" s="54"/>
      <x:c r="AC143" s="54"/>
      <x:c r="AD143" s="54"/>
      <x:c r="AE143" s="54"/>
      <x:c r="AF143" s="54"/>
      <x:c r="AG143" s="54"/>
      <x:c r="AH143" s="54"/>
      <x:c r="AI143" s="54"/>
      <x:c r="AJ143" s="54"/>
      <x:c r="AK143" s="54"/>
      <x:c r="AL143" s="54"/>
      <x:c r="AM143" s="54"/>
      <x:c r="AN143" s="54"/>
      <x:c r="AO143" s="54"/>
      <x:c r="AP143" s="54"/>
      <x:c r="AQ143" s="54"/>
      <x:c r="AR143" s="54"/>
      <x:c r="AS143" s="54"/>
      <x:c r="AT143" s="54"/>
      <x:c r="AU143" s="54"/>
      <x:c r="AV143" s="54"/>
      <x:c r="AW143" s="54"/>
    </x:row>
    <x:row r="144">
      <x:c r="A144" s="54"/>
      <x:c r="B144" s="54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  <x:c r="AA144" s="54"/>
      <x:c r="AB144" s="54"/>
      <x:c r="AC144" s="54"/>
      <x:c r="AD144" s="54"/>
      <x:c r="AE144" s="54"/>
      <x:c r="AF144" s="54"/>
      <x:c r="AG144" s="54"/>
      <x:c r="AH144" s="54"/>
      <x:c r="AI144" s="54"/>
      <x:c r="AJ144" s="54"/>
      <x:c r="AK144" s="54"/>
      <x:c r="AL144" s="54"/>
      <x:c r="AM144" s="54"/>
      <x:c r="AN144" s="54"/>
      <x:c r="AO144" s="54"/>
      <x:c r="AP144" s="54"/>
      <x:c r="AQ144" s="54"/>
      <x:c r="AR144" s="54"/>
      <x:c r="AS144" s="54"/>
      <x:c r="AT144" s="54"/>
      <x:c r="AU144" s="54"/>
      <x:c r="AV144" s="54"/>
      <x:c r="AW144" s="54"/>
    </x:row>
    <x:row r="145">
      <x:c r="A145" s="54"/>
      <x:c r="B145" s="54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  <x:c r="AA145" s="54"/>
      <x:c r="AB145" s="54"/>
      <x:c r="AC145" s="54"/>
      <x:c r="AD145" s="54"/>
      <x:c r="AE145" s="54"/>
      <x:c r="AF145" s="54"/>
      <x:c r="AG145" s="54"/>
      <x:c r="AH145" s="54"/>
      <x:c r="AI145" s="54"/>
      <x:c r="AJ145" s="54"/>
      <x:c r="AK145" s="54"/>
      <x:c r="AL145" s="54"/>
      <x:c r="AM145" s="54"/>
      <x:c r="AN145" s="54"/>
      <x:c r="AO145" s="54"/>
      <x:c r="AP145" s="54"/>
      <x:c r="AQ145" s="54"/>
      <x:c r="AR145" s="54"/>
      <x:c r="AS145" s="54"/>
      <x:c r="AT145" s="54"/>
      <x:c r="AU145" s="54"/>
      <x:c r="AV145" s="54"/>
      <x:c r="AW145" s="54"/>
    </x:row>
    <x:row r="146">
      <x:c r="A146" s="54"/>
      <x:c r="B146" s="54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  <x:c r="AA146" s="54"/>
      <x:c r="AB146" s="54"/>
      <x:c r="AC146" s="54"/>
      <x:c r="AD146" s="54"/>
      <x:c r="AE146" s="54"/>
      <x:c r="AF146" s="54"/>
      <x:c r="AG146" s="54"/>
      <x:c r="AH146" s="54"/>
      <x:c r="AI146" s="54"/>
      <x:c r="AJ146" s="54"/>
      <x:c r="AK146" s="54"/>
      <x:c r="AL146" s="54"/>
      <x:c r="AM146" s="54"/>
      <x:c r="AN146" s="54"/>
      <x:c r="AO146" s="54"/>
      <x:c r="AP146" s="54"/>
      <x:c r="AQ146" s="54"/>
      <x:c r="AR146" s="54"/>
      <x:c r="AS146" s="54"/>
      <x:c r="AT146" s="54"/>
      <x:c r="AU146" s="54"/>
      <x:c r="AV146" s="54"/>
      <x:c r="AW146" s="54"/>
    </x:row>
    <x:row r="147">
      <x:c r="A147" s="54"/>
      <x:c r="B147" s="54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  <x:c r="AA147" s="54"/>
      <x:c r="AB147" s="54"/>
      <x:c r="AC147" s="54"/>
      <x:c r="AD147" s="54"/>
      <x:c r="AE147" s="54"/>
      <x:c r="AF147" s="54"/>
      <x:c r="AG147" s="54"/>
      <x:c r="AH147" s="54"/>
      <x:c r="AI147" s="54"/>
      <x:c r="AJ147" s="54"/>
      <x:c r="AK147" s="54"/>
      <x:c r="AL147" s="54"/>
      <x:c r="AM147" s="54"/>
      <x:c r="AN147" s="54"/>
      <x:c r="AO147" s="54"/>
      <x:c r="AP147" s="54"/>
      <x:c r="AQ147" s="54"/>
      <x:c r="AR147" s="54"/>
      <x:c r="AS147" s="54"/>
      <x:c r="AT147" s="54"/>
      <x:c r="AU147" s="54"/>
      <x:c r="AV147" s="54"/>
      <x:c r="AW147" s="54"/>
    </x:row>
    <x:row r="148">
      <x:c r="A148" s="54"/>
      <x:c r="B148" s="54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  <x:c r="AA148" s="54"/>
      <x:c r="AB148" s="54"/>
      <x:c r="AC148" s="54"/>
      <x:c r="AD148" s="54"/>
      <x:c r="AE148" s="54"/>
      <x:c r="AF148" s="54"/>
      <x:c r="AG148" s="54"/>
      <x:c r="AH148" s="54"/>
      <x:c r="AI148" s="54"/>
      <x:c r="AJ148" s="54"/>
      <x:c r="AK148" s="54"/>
      <x:c r="AL148" s="54"/>
      <x:c r="AM148" s="54"/>
      <x:c r="AN148" s="54"/>
      <x:c r="AO148" s="54"/>
      <x:c r="AP148" s="54"/>
      <x:c r="AQ148" s="54"/>
      <x:c r="AR148" s="54"/>
      <x:c r="AS148" s="54"/>
      <x:c r="AT148" s="54"/>
      <x:c r="AU148" s="54"/>
      <x:c r="AV148" s="54"/>
      <x:c r="AW148" s="54"/>
    </x:row>
    <x:row r="149">
      <x:c r="A149" s="54"/>
      <x:c r="B149" s="54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  <x:c r="AA149" s="54"/>
      <x:c r="AB149" s="54"/>
      <x:c r="AC149" s="54"/>
      <x:c r="AD149" s="54"/>
      <x:c r="AE149" s="54"/>
      <x:c r="AF149" s="54"/>
      <x:c r="AG149" s="54"/>
      <x:c r="AH149" s="54"/>
      <x:c r="AI149" s="54"/>
      <x:c r="AJ149" s="54"/>
      <x:c r="AK149" s="54"/>
      <x:c r="AL149" s="54"/>
      <x:c r="AM149" s="54"/>
      <x:c r="AN149" s="54"/>
      <x:c r="AO149" s="54"/>
      <x:c r="AP149" s="54"/>
      <x:c r="AQ149" s="54"/>
      <x:c r="AR149" s="54"/>
      <x:c r="AS149" s="54"/>
      <x:c r="AT149" s="54"/>
      <x:c r="AU149" s="54"/>
      <x:c r="AV149" s="54"/>
      <x:c r="AW149" s="54"/>
    </x:row>
    <x:row r="150">
      <x:c r="A150" s="54"/>
      <x:c r="B150" s="54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  <x:c r="AA150" s="54"/>
      <x:c r="AB150" s="54"/>
      <x:c r="AC150" s="54"/>
      <x:c r="AD150" s="54"/>
      <x:c r="AE150" s="54"/>
      <x:c r="AF150" s="54"/>
      <x:c r="AG150" s="54"/>
      <x:c r="AH150" s="54"/>
      <x:c r="AI150" s="54"/>
      <x:c r="AJ150" s="54"/>
      <x:c r="AK150" s="54"/>
      <x:c r="AL150" s="54"/>
      <x:c r="AM150" s="54"/>
      <x:c r="AN150" s="54"/>
      <x:c r="AO150" s="54"/>
      <x:c r="AP150" s="54"/>
      <x:c r="AQ150" s="54"/>
      <x:c r="AR150" s="54"/>
      <x:c r="AS150" s="54"/>
      <x:c r="AT150" s="54"/>
      <x:c r="AU150" s="54"/>
      <x:c r="AV150" s="54"/>
      <x:c r="AW150" s="54"/>
    </x:row>
    <x:row r="151">
      <x:c r="A151" s="54"/>
      <x:c r="B151" s="54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  <x:c r="AA151" s="54"/>
      <x:c r="AB151" s="54"/>
      <x:c r="AC151" s="54"/>
      <x:c r="AD151" s="54"/>
      <x:c r="AE151" s="54"/>
      <x:c r="AF151" s="54"/>
      <x:c r="AG151" s="54"/>
      <x:c r="AH151" s="54"/>
      <x:c r="AI151" s="54"/>
      <x:c r="AJ151" s="54"/>
      <x:c r="AK151" s="54"/>
      <x:c r="AL151" s="54"/>
      <x:c r="AM151" s="54"/>
      <x:c r="AN151" s="54"/>
      <x:c r="AO151" s="54"/>
      <x:c r="AP151" s="54"/>
      <x:c r="AQ151" s="54"/>
      <x:c r="AR151" s="54"/>
      <x:c r="AS151" s="54"/>
      <x:c r="AT151" s="54"/>
      <x:c r="AU151" s="54"/>
      <x:c r="AV151" s="54"/>
      <x:c r="AW151" s="54"/>
    </x:row>
    <x:row r="152">
      <x:c r="A152" s="54"/>
      <x:c r="B152" s="54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  <x:c r="AA152" s="54"/>
      <x:c r="AB152" s="54"/>
      <x:c r="AC152" s="54"/>
      <x:c r="AD152" s="54"/>
      <x:c r="AE152" s="54"/>
      <x:c r="AF152" s="54"/>
      <x:c r="AG152" s="54"/>
      <x:c r="AH152" s="54"/>
      <x:c r="AI152" s="54"/>
      <x:c r="AJ152" s="54"/>
      <x:c r="AK152" s="54"/>
      <x:c r="AL152" s="54"/>
      <x:c r="AM152" s="54"/>
      <x:c r="AN152" s="54"/>
      <x:c r="AO152" s="54"/>
      <x:c r="AP152" s="54"/>
      <x:c r="AQ152" s="54"/>
      <x:c r="AR152" s="54"/>
      <x:c r="AS152" s="54"/>
      <x:c r="AT152" s="54"/>
      <x:c r="AU152" s="54"/>
      <x:c r="AV152" s="54"/>
      <x:c r="AW152" s="54"/>
    </x:row>
    <x:row r="153">
      <x:c r="A153" s="54"/>
      <x:c r="B153" s="54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  <x:c r="AA153" s="54"/>
      <x:c r="AB153" s="54"/>
      <x:c r="AC153" s="54"/>
      <x:c r="AD153" s="54"/>
      <x:c r="AE153" s="54"/>
      <x:c r="AF153" s="54"/>
      <x:c r="AG153" s="54"/>
      <x:c r="AH153" s="54"/>
      <x:c r="AI153" s="54"/>
      <x:c r="AJ153" s="54"/>
      <x:c r="AK153" s="54"/>
      <x:c r="AL153" s="54"/>
      <x:c r="AM153" s="54"/>
      <x:c r="AN153" s="54"/>
      <x:c r="AO153" s="54"/>
      <x:c r="AP153" s="54"/>
      <x:c r="AQ153" s="54"/>
      <x:c r="AR153" s="54"/>
      <x:c r="AS153" s="54"/>
      <x:c r="AT153" s="54"/>
      <x:c r="AU153" s="54"/>
      <x:c r="AV153" s="54"/>
      <x:c r="AW153" s="54"/>
    </x:row>
    <x:row r="154">
      <x:c r="A154" s="54"/>
      <x:c r="B154" s="54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  <x:c r="AA154" s="54"/>
      <x:c r="AB154" s="54"/>
      <x:c r="AC154" s="54"/>
      <x:c r="AD154" s="54"/>
      <x:c r="AE154" s="54"/>
      <x:c r="AF154" s="54"/>
      <x:c r="AG154" s="54"/>
      <x:c r="AH154" s="54"/>
      <x:c r="AI154" s="54"/>
      <x:c r="AJ154" s="54"/>
      <x:c r="AK154" s="54"/>
      <x:c r="AL154" s="54"/>
      <x:c r="AM154" s="54"/>
      <x:c r="AN154" s="54"/>
      <x:c r="AO154" s="54"/>
      <x:c r="AP154" s="54"/>
      <x:c r="AQ154" s="54"/>
      <x:c r="AR154" s="54"/>
      <x:c r="AS154" s="54"/>
      <x:c r="AT154" s="54"/>
      <x:c r="AU154" s="54"/>
      <x:c r="AV154" s="54"/>
      <x:c r="AW154" s="54"/>
    </x:row>
    <x:row r="155">
      <x:c r="A155" s="54"/>
      <x:c r="B155" s="54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  <x:c r="AA155" s="54"/>
      <x:c r="AB155" s="54"/>
      <x:c r="AC155" s="54"/>
      <x:c r="AD155" s="54"/>
      <x:c r="AE155" s="54"/>
      <x:c r="AF155" s="54"/>
      <x:c r="AG155" s="54"/>
      <x:c r="AH155" s="54"/>
      <x:c r="AI155" s="54"/>
      <x:c r="AJ155" s="54"/>
      <x:c r="AK155" s="54"/>
      <x:c r="AL155" s="54"/>
      <x:c r="AM155" s="54"/>
      <x:c r="AN155" s="54"/>
      <x:c r="AO155" s="54"/>
      <x:c r="AP155" s="54"/>
      <x:c r="AQ155" s="54"/>
      <x:c r="AR155" s="54"/>
      <x:c r="AS155" s="54"/>
      <x:c r="AT155" s="54"/>
      <x:c r="AU155" s="54"/>
      <x:c r="AV155" s="54"/>
      <x:c r="AW155" s="54"/>
    </x:row>
    <x:row r="156">
      <x:c r="A156" s="54"/>
      <x:c r="B156" s="54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  <x:c r="AA156" s="54"/>
      <x:c r="AB156" s="54"/>
      <x:c r="AC156" s="54"/>
      <x:c r="AD156" s="54"/>
      <x:c r="AE156" s="54"/>
      <x:c r="AF156" s="54"/>
      <x:c r="AG156" s="54"/>
      <x:c r="AH156" s="54"/>
      <x:c r="AI156" s="54"/>
      <x:c r="AJ156" s="54"/>
      <x:c r="AK156" s="54"/>
      <x:c r="AL156" s="54"/>
      <x:c r="AM156" s="54"/>
      <x:c r="AN156" s="54"/>
      <x:c r="AO156" s="54"/>
      <x:c r="AP156" s="54"/>
      <x:c r="AQ156" s="54"/>
      <x:c r="AR156" s="54"/>
      <x:c r="AS156" s="54"/>
      <x:c r="AT156" s="54"/>
      <x:c r="AU156" s="54"/>
      <x:c r="AV156" s="54"/>
      <x:c r="AW156" s="54"/>
    </x:row>
    <x:row r="157">
      <x:c r="A157" s="54"/>
      <x:c r="B157" s="54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  <x:c r="AA157" s="54"/>
      <x:c r="AB157" s="54"/>
      <x:c r="AC157" s="54"/>
      <x:c r="AD157" s="54"/>
      <x:c r="AE157" s="54"/>
      <x:c r="AF157" s="54"/>
      <x:c r="AG157" s="54"/>
      <x:c r="AH157" s="54"/>
      <x:c r="AI157" s="54"/>
      <x:c r="AJ157" s="54"/>
      <x:c r="AK157" s="54"/>
      <x:c r="AL157" s="54"/>
      <x:c r="AM157" s="54"/>
      <x:c r="AN157" s="54"/>
      <x:c r="AO157" s="54"/>
      <x:c r="AP157" s="54"/>
      <x:c r="AQ157" s="54"/>
      <x:c r="AR157" s="54"/>
      <x:c r="AS157" s="54"/>
      <x:c r="AT157" s="54"/>
      <x:c r="AU157" s="54"/>
      <x:c r="AV157" s="54"/>
      <x:c r="AW157" s="54"/>
    </x:row>
    <x:row r="158">
      <x:c r="A158" s="54"/>
      <x:c r="B158" s="54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  <x:c r="AA158" s="54"/>
      <x:c r="AB158" s="54"/>
      <x:c r="AC158" s="54"/>
      <x:c r="AD158" s="54"/>
      <x:c r="AE158" s="54"/>
      <x:c r="AF158" s="54"/>
      <x:c r="AG158" s="54"/>
      <x:c r="AH158" s="54"/>
      <x:c r="AI158" s="54"/>
      <x:c r="AJ158" s="54"/>
      <x:c r="AK158" s="54"/>
      <x:c r="AL158" s="54"/>
      <x:c r="AM158" s="54"/>
      <x:c r="AN158" s="54"/>
      <x:c r="AO158" s="54"/>
      <x:c r="AP158" s="54"/>
      <x:c r="AQ158" s="54"/>
      <x:c r="AR158" s="54"/>
      <x:c r="AS158" s="54"/>
      <x:c r="AT158" s="54"/>
      <x:c r="AU158" s="54"/>
      <x:c r="AV158" s="54"/>
      <x:c r="AW158" s="54"/>
    </x:row>
    <x:row r="159">
      <x:c r="A159" s="54"/>
      <x:c r="B159" s="54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  <x:c r="AA159" s="54"/>
      <x:c r="AB159" s="54"/>
      <x:c r="AC159" s="54"/>
      <x:c r="AD159" s="54"/>
      <x:c r="AE159" s="54"/>
      <x:c r="AF159" s="54"/>
      <x:c r="AG159" s="54"/>
      <x:c r="AH159" s="54"/>
      <x:c r="AI159" s="54"/>
      <x:c r="AJ159" s="54"/>
      <x:c r="AK159" s="54"/>
      <x:c r="AL159" s="54"/>
      <x:c r="AM159" s="54"/>
      <x:c r="AN159" s="54"/>
      <x:c r="AO159" s="54"/>
      <x:c r="AP159" s="54"/>
      <x:c r="AQ159" s="54"/>
      <x:c r="AR159" s="54"/>
      <x:c r="AS159" s="54"/>
      <x:c r="AT159" s="54"/>
      <x:c r="AU159" s="54"/>
      <x:c r="AV159" s="54"/>
      <x:c r="AW159" s="54"/>
    </x:row>
    <x:row r="160">
      <x:c r="A160" s="54"/>
      <x:c r="B160" s="54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  <x:c r="AA160" s="54"/>
      <x:c r="AB160" s="54"/>
      <x:c r="AC160" s="54"/>
      <x:c r="AD160" s="54"/>
      <x:c r="AE160" s="54"/>
      <x:c r="AF160" s="54"/>
      <x:c r="AG160" s="54"/>
      <x:c r="AH160" s="54"/>
      <x:c r="AI160" s="54"/>
      <x:c r="AJ160" s="54"/>
      <x:c r="AK160" s="54"/>
      <x:c r="AL160" s="54"/>
      <x:c r="AM160" s="54"/>
      <x:c r="AN160" s="54"/>
      <x:c r="AO160" s="54"/>
      <x:c r="AP160" s="54"/>
      <x:c r="AQ160" s="54"/>
      <x:c r="AR160" s="54"/>
      <x:c r="AS160" s="54"/>
      <x:c r="AT160" s="54"/>
      <x:c r="AU160" s="54"/>
      <x:c r="AV160" s="54"/>
      <x:c r="AW160" s="5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</x:cols>
  <x:sheetData>
    <x:row r="1">
      <x:c r="A1" s="65" t="str">
        <x:v>Deck</x:v>
      </x:c>
      <x:c r="B1" s="65" t="str">
        <x:v>Size</x:v>
      </x:c>
      <x:c r="C1" s="65" t="str">
        <x:v>C_D_fixed</x:v>
      </x:c>
      <x:c r="D1" s="65" t="str">
        <x:v>C_D_marginal</x:v>
      </x:c>
      <x:c r="E1" s="65" t="str">
        <x:v>C_BaselineD</x:v>
      </x:c>
      <x:c r="F1" s="65" t="str">
        <x:v>C_Utility</x:v>
      </x:c>
      <x:c r="G1" s="65" t="str">
        <x:v>C_Role</x:v>
      </x:c>
      <x:c r="H1" s="65" t="str">
        <x:v>C_AdjD</x:v>
      </x:c>
      <x:c r="I1" s="65" t="str">
        <x:v>C_AdjScore</x:v>
      </x:c>
      <x:c r="J1" s="65" t="str">
        <x:v>T_D_fixed</x:v>
      </x:c>
      <x:c r="K1" s="65" t="str">
        <x:v>T_D_marginal</x:v>
      </x:c>
      <x:c r="L1" s="65" t="str">
        <x:v>T_BaselineD</x:v>
      </x:c>
      <x:c r="M1" s="65" t="str">
        <x:v>T_Utility</x:v>
      </x:c>
      <x:c r="N1" s="65" t="str">
        <x:v>T_Role</x:v>
      </x:c>
      <x:c r="O1" s="65" t="str">
        <x:v>T_AdjD</x:v>
      </x:c>
      <x:c r="P1" s="65" t="str">
        <x:v>T_AdjScore</x:v>
      </x:c>
      <x:c r="Q1" s="65" t="str">
        <x:v>PT_D_fixed</x:v>
      </x:c>
      <x:c r="R1" s="65" t="str">
        <x:v>PT_D_marginal</x:v>
      </x:c>
      <x:c r="S1" s="65" t="str">
        <x:v>PT_BaselineD</x:v>
      </x:c>
      <x:c r="T1" s="65" t="str">
        <x:v>PT_Utility</x:v>
      </x:c>
      <x:c r="U1" s="65" t="str">
        <x:v>PT_Role</x:v>
      </x:c>
      <x:c r="V1" s="65" t="str">
        <x:v>PT_AdjD</x:v>
      </x:c>
      <x:c r="W1" s="65" t="str">
        <x:v>PT_AdjScore</x:v>
      </x:c>
      <x:c r="X1" s="65" t="str">
        <x:v>E_D_fixed</x:v>
      </x:c>
      <x:c r="Y1" s="65" t="str">
        <x:v>E_D_marginal</x:v>
      </x:c>
      <x:c r="Z1" s="65" t="str">
        <x:v>E_BaselineD</x:v>
      </x:c>
      <x:c r="AA1" s="65" t="str">
        <x:v>E_Utility</x:v>
      </x:c>
      <x:c r="AB1" s="65" t="str">
        <x:v>E_Role</x:v>
      </x:c>
      <x:c r="AC1" s="65" t="str">
        <x:v>E_AdjD</x:v>
      </x:c>
      <x:c r="AD1" s="65" t="str">
        <x:v>E_AdjScore</x:v>
      </x:c>
      <x:c r="AE1" s="54"/>
      <x:c r="AF1" s="54"/>
      <x:c r="AG1" s="54"/>
      <x:c r="AH1" s="54"/>
      <x:c r="AI1" s="54"/>
      <x:c r="AJ1" s="54"/>
      <x:c r="AK1" s="54"/>
      <x:c r="AL1" s="54"/>
      <x:c r="AM1" s="54"/>
      <x:c r="AN1" s="54"/>
      <x:c r="AO1" s="54"/>
      <x:c r="AP1" s="54"/>
      <x:c r="AQ1" s="54"/>
      <x:c r="AR1" s="54"/>
      <x:c r="AS1" s="54"/>
      <x:c r="AT1" s="54"/>
      <x:c r="AU1" s="54"/>
      <x:c r="AV1" s="54"/>
      <x:c r="AW1" s="54"/>
    </x:row>
    <x:row r="2">
      <x:c r="A2" s="54" t="str">
        <x:v>D1</x:v>
      </x:c>
      <x:c r="B2" s="54" t="n">
        <x:v>3</x:v>
      </x:c>
      <x:c r="C2" s="78" t="n">
        <x:v>3.092992528811549e-11</x:v>
      </x:c>
      <x:c r="D2" s="78" t="n">
        <x:v>3.092992528811549e-11</x:v>
      </x:c>
      <x:c r="E2" s="78" t="n">
        <x:v>3.092992528811549e-11</x:v>
      </x:c>
      <x:c r="F2" s="78" t="n">
        <x:v>1.5</x:v>
      </x:c>
      <x:c r="G2" s="78" t="n">
        <x:v>0</x:v>
      </x:c>
      <x:c r="H2" s="78" t="n">
        <x:v>0</x:v>
      </x:c>
      <x:c r="I2" s="78" t="n">
        <x:v>0</x:v>
      </x:c>
      <x:c r="J2" s="78" t="n">
        <x:v>0.000015689345858865983</x:v>
      </x:c>
      <x:c r="K2" s="78" t="n">
        <x:v>0.000015689345858865983</x:v>
      </x:c>
      <x:c r="L2" s="78" t="n">
        <x:v>0.000015689345858865983</x:v>
      </x:c>
      <x:c r="M2" s="78" t="n">
        <x:v>1</x:v>
      </x:c>
      <x:c r="N2" s="78" t="n">
        <x:v>1.5</x:v>
      </x:c>
      <x:c r="O2" s="78" t="n">
        <x:v>1.000015689345859</x:v>
      </x:c>
      <x:c r="P2" s="78" t="n">
        <x:v>2.000031378691718</x:v>
      </x:c>
      <x:c r="Q2" s="78" t="n">
        <x:v>0.6948888562591972</x:v>
      </x:c>
      <x:c r="R2" s="78" t="n">
        <x:v>0.6948888562591972</x:v>
      </x:c>
      <x:c r="S2" s="78" t="n">
        <x:v>0.6948888562591972</x:v>
      </x:c>
      <x:c r="T2" s="78" t="n">
        <x:v>1.625</x:v>
      </x:c>
      <x:c r="U2" s="78" t="n">
        <x:v>0</x:v>
      </x:c>
      <x:c r="V2" s="78" t="n">
        <x:v>0</x:v>
      </x:c>
      <x:c r="W2" s="78" t="n">
        <x:v>0</x:v>
      </x:c>
      <x:c r="X2" s="78" t="n">
        <x:v>0.5984335392365301</x:v>
      </x:c>
      <x:c r="Y2" s="78" t="n">
        <x:v>0.5984335392365301</x:v>
      </x:c>
      <x:c r="Z2" s="78" t="n">
        <x:v>0.5984335392365301</x:v>
      </x:c>
      <x:c r="AA2" s="78" t="n">
        <x:v>1.5</x:v>
      </x:c>
      <x:c r="AB2" s="78" t="n">
        <x:v>0</x:v>
      </x:c>
      <x:c r="AC2" s="78" t="n">
        <x:v>0</x:v>
      </x:c>
      <x:c r="AD2" s="78" t="n">
        <x:v>0</x:v>
      </x:c>
      <x:c r="AE2" s="54"/>
      <x:c r="AF2" s="54"/>
      <x:c r="AG2" s="54"/>
      <x:c r="AH2" s="54"/>
      <x:c r="AI2" s="54"/>
      <x:c r="AJ2" s="54"/>
      <x:c r="AK2" s="54"/>
      <x:c r="AL2" s="54"/>
      <x:c r="AM2" s="54"/>
      <x:c r="AN2" s="54"/>
      <x:c r="AO2" s="54"/>
      <x:c r="AP2" s="54"/>
      <x:c r="AQ2" s="54"/>
      <x:c r="AR2" s="54"/>
      <x:c r="AS2" s="54"/>
      <x:c r="AT2" s="54"/>
      <x:c r="AU2" s="54"/>
      <x:c r="AV2" s="54"/>
      <x:c r="AW2" s="54"/>
    </x:row>
    <x:row r="3">
      <x:c r="A3" s="54" t="str">
        <x:v>D1</x:v>
      </x:c>
      <x:c r="B3" s="54" t="n">
        <x:v>4</x:v>
      </x:c>
      <x:c r="C3" s="78" t="n">
        <x:v>2.303266181022415e-7</x:v>
      </x:c>
      <x:c r="D3" s="78" t="n">
        <x:v>1.5581446180774798</x:v>
      </x:c>
      <x:c r="E3" s="78" t="n">
        <x:v>0.3895363272643335</x:v>
      </x:c>
      <x:c r="F3" s="78" t="n">
        <x:v>1.5</x:v>
      </x:c>
      <x:c r="G3" s="78" t="n">
        <x:v>0</x:v>
      </x:c>
      <x:c r="H3" s="78" t="n">
        <x:v>0</x:v>
      </x:c>
      <x:c r="I3" s="78" t="n">
        <x:v>0</x:v>
      </x:c>
      <x:c r="J3" s="78" t="n">
        <x:v>0.0001842666718621199</x:v>
      </x:c>
      <x:c r="K3" s="78" t="n">
        <x:v>2.0436681231741094</x:v>
      </x:c>
      <x:c r="L3" s="78" t="n">
        <x:v>0.511055230797424</x:v>
      </x:c>
      <x:c r="M3" s="78" t="n">
        <x:v>1</x:v>
      </x:c>
      <x:c r="N3" s="78" t="n">
        <x:v>1.5</x:v>
      </x:c>
      <x:c r="O3" s="78" t="n">
        <x:v>1.511055230797424</x:v>
      </x:c>
      <x:c r="P3" s="78" t="n">
        <x:v>3.022110461594848</x:v>
      </x:c>
      <x:c r="Q3" s="78" t="n">
        <x:v>2.073641021364272</x:v>
      </x:c>
      <x:c r="R3" s="78" t="n">
        <x:v>4.124835651207339</x:v>
      </x:c>
      <x:c r="S3" s="78" t="n">
        <x:v>2.5864396788250383</x:v>
      </x:c>
      <x:c r="T3" s="78" t="n">
        <x:v>1.625</x:v>
      </x:c>
      <x:c r="U3" s="78" t="n">
        <x:v>0</x:v>
      </x:c>
      <x:c r="V3" s="78" t="n">
        <x:v>1.7739396788250383</x:v>
      </x:c>
      <x:c r="W3" s="78" t="n">
        <x:v>3.5478793576500767</x:v>
      </x:c>
      <x:c r="X3" s="78" t="n">
        <x:v>3.191283273434939</x:v>
      </x:c>
      <x:c r="Y3" s="78" t="n">
        <x:v>4.64148480707108</x:v>
      </x:c>
      <x:c r="Z3" s="78" t="n">
        <x:v>3.5538336568439743</x:v>
      </x:c>
      <x:c r="AA3" s="78" t="n">
        <x:v>4.5</x:v>
      </x:c>
      <x:c r="AB3" s="78" t="n">
        <x:v>0</x:v>
      </x:c>
      <x:c r="AC3" s="78" t="n">
        <x:v>1.3038336568439743</x:v>
      </x:c>
      <x:c r="AD3" s="78" t="n">
        <x:v>2.6076673136879487</x:v>
      </x:c>
      <x:c r="AE3" s="54"/>
      <x:c r="AF3" s="54"/>
      <x:c r="AG3" s="54"/>
      <x:c r="AH3" s="54"/>
      <x:c r="AI3" s="54"/>
      <x:c r="AJ3" s="54"/>
      <x:c r="AK3" s="54"/>
      <x:c r="AL3" s="54"/>
      <x:c r="AM3" s="54"/>
      <x:c r="AN3" s="54"/>
      <x:c r="AO3" s="54"/>
      <x:c r="AP3" s="54"/>
      <x:c r="AQ3" s="54"/>
      <x:c r="AR3" s="54"/>
      <x:c r="AS3" s="54"/>
      <x:c r="AT3" s="54"/>
      <x:c r="AU3" s="54"/>
      <x:c r="AV3" s="54"/>
      <x:c r="AW3" s="54"/>
    </x:row>
    <x:row r="4">
      <x:c r="A4" s="54" t="str">
        <x:v>D1</x:v>
      </x:c>
      <x:c r="B4" s="54" t="n">
        <x:v>5</x:v>
      </x:c>
      <x:c r="C4" s="78" t="n">
        <x:v>0.001354810539456582</x:v>
      </x:c>
      <x:c r="D4" s="78" t="n">
        <x:v>3.1856010360142584</x:v>
      </x:c>
      <x:c r="E4" s="78" t="n">
        <x:v>0.797416366908157</x:v>
      </x:c>
      <x:c r="F4" s="78" t="n">
        <x:v>1.5</x:v>
      </x:c>
      <x:c r="G4" s="78" t="n">
        <x:v>0</x:v>
      </x:c>
      <x:c r="H4" s="78" t="n">
        <x:v>0.04741636690815698</x:v>
      </x:c>
      <x:c r="I4" s="78" t="n">
        <x:v>0.09483273381631396</x:v>
      </x:c>
      <x:c r="J4" s="78" t="n">
        <x:v>0.0020447849317662948</x:v>
      </x:c>
      <x:c r="K4" s="78" t="n">
        <x:v>4.076589649219052</x:v>
      </x:c>
      <x:c r="L4" s="78" t="n">
        <x:v>1.0206810010035878</x:v>
      </x:c>
      <x:c r="M4" s="78" t="n">
        <x:v>1</x:v>
      </x:c>
      <x:c r="N4" s="78" t="n">
        <x:v>1.5</x:v>
      </x:c>
      <x:c r="O4" s="78" t="n">
        <x:v>2.020681001003588</x:v>
      </x:c>
      <x:c r="P4" s="78" t="n">
        <x:v>4.041362002007176</x:v>
      </x:c>
      <x:c r="Q4" s="78" t="n">
        <x:v>3.7337517926801636</x:v>
      </x:c>
      <x:c r="R4" s="78" t="n">
        <x:v>7.544051538372172</x:v>
      </x:c>
      <x:c r="S4" s="78" t="n">
        <x:v>4.686326729103166</x:v>
      </x:c>
      <x:c r="T4" s="78" t="n">
        <x:v>1.625</x:v>
      </x:c>
      <x:c r="U4" s="78" t="n">
        <x:v>0</x:v>
      </x:c>
      <x:c r="V4" s="78" t="n">
        <x:v>3.8738267291031656</x:v>
      </x:c>
      <x:c r="W4" s="78" t="n">
        <x:v>7.747653458206331</x:v>
      </x:c>
      <x:c r="X4" s="78"/>
      <x:c r="Y4" s="78"/>
      <x:c r="Z4" s="78"/>
      <x:c r="AA4" s="78"/>
      <x:c r="AB4" s="78"/>
      <x:c r="AC4" s="78"/>
      <x:c r="AD4" s="78"/>
      <x:c r="AE4" s="54"/>
      <x:c r="AF4" s="54"/>
      <x:c r="AG4" s="54"/>
      <x:c r="AH4" s="54"/>
      <x:c r="AI4" s="54"/>
      <x:c r="AJ4" s="54"/>
      <x:c r="AK4" s="54"/>
      <x:c r="AL4" s="54"/>
      <x:c r="AM4" s="54"/>
      <x:c r="AN4" s="54"/>
      <x:c r="AO4" s="54"/>
      <x:c r="AP4" s="54"/>
      <x:c r="AQ4" s="54"/>
      <x:c r="AR4" s="54"/>
      <x:c r="AS4" s="54"/>
      <x:c r="AT4" s="54"/>
      <x:c r="AU4" s="54"/>
      <x:c r="AV4" s="54"/>
      <x:c r="AW4" s="54"/>
    </x:row>
    <x:row r="5">
      <x:c r="A5" s="54" t="str">
        <x:v>D1</x:v>
      </x:c>
      <x:c r="B5" s="54" t="n">
        <x:v>6</x:v>
      </x:c>
      <x:c r="C5" s="78" t="n">
        <x:v>0.1451873610014558</x:v>
      </x:c>
      <x:c r="D5" s="78" t="n">
        <x:v>4.890349128252684</x:v>
      </x:c>
      <x:c r="E5" s="78" t="n">
        <x:v>1.3314778028142626</x:v>
      </x:c>
      <x:c r="F5" s="78" t="n">
        <x:v>3</x:v>
      </x:c>
      <x:c r="G5" s="78" t="n">
        <x:v>0</x:v>
      </x:c>
      <x:c r="H5" s="78" t="n">
        <x:v>0</x:v>
      </x:c>
      <x:c r="I5" s="78" t="n">
        <x:v>0</x:v>
      </x:c>
      <x:c r="J5" s="78" t="n">
        <x:v>0.016798282102354095</x:v>
      </x:c>
      <x:c r="K5" s="78" t="n">
        <x:v>6.099791472576012</x:v>
      </x:c>
      <x:c r="L5" s="78" t="n">
        <x:v>1.5375465797207686</x:v>
      </x:c>
      <x:c r="M5" s="78" t="n">
        <x:v>1</x:v>
      </x:c>
      <x:c r="N5" s="78" t="n">
        <x:v>1.5</x:v>
      </x:c>
      <x:c r="O5" s="78" t="n">
        <x:v>2.5375465797207686</x:v>
      </x:c>
      <x:c r="P5" s="78" t="n">
        <x:v>5.075093159441537</x:v>
      </x:c>
      <x:c r="Q5" s="78" t="n">
        <x:v>5.523736582612727</x:v>
      </x:c>
      <x:c r="R5" s="78" t="n">
        <x:v>10.953547722849022</x:v>
      </x:c>
      <x:c r="S5" s="78" t="n">
        <x:v>6.8811893676718014</x:v>
      </x:c>
      <x:c r="T5" s="78" t="n">
        <x:v>2.6</x:v>
      </x:c>
      <x:c r="U5" s="78" t="n">
        <x:v>0</x:v>
      </x:c>
      <x:c r="V5" s="78" t="n">
        <x:v>5.581189367671802</x:v>
      </x:c>
      <x:c r="W5" s="78" t="n">
        <x:v>11.162378735343603</x:v>
      </x:c>
      <x:c r="X5" s="78"/>
      <x:c r="Y5" s="78"/>
      <x:c r="Z5" s="78"/>
      <x:c r="AA5" s="78"/>
      <x:c r="AB5" s="78"/>
      <x:c r="AC5" s="78"/>
      <x:c r="AD5" s="78"/>
      <x:c r="AE5" s="54"/>
      <x:c r="AF5" s="54"/>
      <x:c r="AG5" s="54"/>
      <x:c r="AH5" s="54"/>
      <x:c r="AI5" s="54"/>
      <x:c r="AJ5" s="54"/>
      <x:c r="AK5" s="54"/>
      <x:c r="AL5" s="54"/>
      <x:c r="AM5" s="54"/>
      <x:c r="AN5" s="54"/>
      <x:c r="AO5" s="54"/>
      <x:c r="AP5" s="54"/>
      <x:c r="AQ5" s="54"/>
      <x:c r="AR5" s="54"/>
      <x:c r="AS5" s="54"/>
      <x:c r="AT5" s="54"/>
      <x:c r="AU5" s="54"/>
      <x:c r="AV5" s="54"/>
      <x:c r="AW5" s="54"/>
    </x:row>
    <x:row r="6">
      <x:c r="A6" s="54" t="str">
        <x:v>D1</x:v>
      </x:c>
      <x:c r="B6" s="54" t="n">
        <x:v>7</x:v>
      </x:c>
      <x:c r="C6" s="78" t="n">
        <x:v>1.0533634451710168</x:v>
      </x:c>
      <x:c r="D6" s="78" t="n">
        <x:v>6.682108597480739</x:v>
      </x:c>
      <x:c r="E6" s="78" t="n">
        <x:v>2.460549733248447</x:v>
      </x:c>
      <x:c r="F6" s="78" t="n">
        <x:v>3</x:v>
      </x:c>
      <x:c r="G6" s="78" t="n">
        <x:v>0</x:v>
      </x:c>
      <x:c r="H6" s="78" t="n">
        <x:v>0.9605497332484472</x:v>
      </x:c>
      <x:c r="I6" s="78" t="n">
        <x:v>1.9210994664968943</x:v>
      </x:c>
      <x:c r="J6" s="78" t="n">
        <x:v>0.08959492453777018</x:v>
      </x:c>
      <x:c r="K6" s="78" t="n">
        <x:v>8.114694493118277</x:v>
      </x:c>
      <x:c r="L6" s="78" t="n">
        <x:v>2.095869816682897</x:v>
      </x:c>
      <x:c r="M6" s="78" t="n">
        <x:v>1</x:v>
      </x:c>
      <x:c r="N6" s="78" t="n">
        <x:v>1.5</x:v>
      </x:c>
      <x:c r="O6" s="78" t="n">
        <x:v>3.095869816682897</x:v>
      </x:c>
      <x:c r="P6" s="78" t="n">
        <x:v>6.191739633365794</x:v>
      </x:c>
      <x:c r="Q6" s="78" t="n">
        <x:v>7.419157689443406</x:v>
      </x:c>
      <x:c r="R6" s="78" t="n">
        <x:v>14.354745104511178</x:v>
      </x:c>
      <x:c r="S6" s="78" t="n">
        <x:v>9.153054543210349</x:v>
      </x:c>
      <x:c r="T6" s="78" t="n">
        <x:v>2.6</x:v>
      </x:c>
      <x:c r="U6" s="78" t="n">
        <x:v>0</x:v>
      </x:c>
      <x:c r="V6" s="78" t="n">
        <x:v>7.853054543210349</x:v>
      </x:c>
      <x:c r="W6" s="78" t="n">
        <x:v>15.706109086420698</x:v>
      </x:c>
      <x:c r="X6" s="78"/>
      <x:c r="Y6" s="78"/>
      <x:c r="Z6" s="78"/>
      <x:c r="AA6" s="78"/>
      <x:c r="AB6" s="78"/>
      <x:c r="AC6" s="78"/>
      <x:c r="AD6" s="78"/>
      <x:c r="AE6" s="54"/>
      <x:c r="AF6" s="54"/>
      <x:c r="AG6" s="54"/>
      <x:c r="AH6" s="54"/>
      <x:c r="AI6" s="54"/>
      <x:c r="AJ6" s="54"/>
      <x:c r="AK6" s="54"/>
      <x:c r="AL6" s="54"/>
      <x:c r="AM6" s="54"/>
      <x:c r="AN6" s="54"/>
      <x:c r="AO6" s="54"/>
      <x:c r="AP6" s="54"/>
      <x:c r="AQ6" s="54"/>
      <x:c r="AR6" s="54"/>
      <x:c r="AS6" s="54"/>
      <x:c r="AT6" s="54"/>
      <x:c r="AU6" s="54"/>
      <x:c r="AV6" s="54"/>
      <x:c r="AW6" s="54"/>
    </x:row>
    <x:row r="7">
      <x:c r="A7" s="54" t="str">
        <x:v>D1</x:v>
      </x:c>
      <x:c r="B7" s="54" t="n">
        <x:v>8</x:v>
      </x:c>
      <x:c r="C7" s="78" t="n">
        <x:v>2.7696193988684192</x:v>
      </x:c>
      <x:c r="D7" s="78" t="n">
        <x:v>8.572958969353024</x:v>
      </x:c>
      <x:c r="E7" s="78" t="n">
        <x:v>4.22045429148957</x:v>
      </x:c>
      <x:c r="F7" s="78" t="n">
        <x:v>3</x:v>
      </x:c>
      <x:c r="G7" s="78" t="n">
        <x:v>0</x:v>
      </x:c>
      <x:c r="H7" s="78" t="n">
        <x:v>2.7204542914895704</x:v>
      </x:c>
      <x:c r="I7" s="78" t="n">
        <x:v>5.440908582979141</x:v>
      </x:c>
      <x:c r="J7" s="78" t="n">
        <x:v>0.31130557489530314</x:v>
      </x:c>
      <x:c r="K7" s="78" t="n">
        <x:v>10.123327900646947</x:v>
      </x:c>
      <x:c r="L7" s="78" t="n">
        <x:v>2.764311156333214</x:v>
      </x:c>
      <x:c r="M7" s="78" t="n">
        <x:v>1</x:v>
      </x:c>
      <x:c r="N7" s="78" t="n">
        <x:v>1.5</x:v>
      </x:c>
      <x:c r="O7" s="78" t="n">
        <x:v>3.764311156333214</x:v>
      </x:c>
      <x:c r="P7" s="78" t="n">
        <x:v>7.528622312666428</x:v>
      </x:c>
      <x:c r="Q7" s="78" t="n">
        <x:v>9.427531435176967</x:v>
      </x:c>
      <x:c r="R7" s="78" t="n">
        <x:v>17.74967287315974</x:v>
      </x:c>
      <x:c r="S7" s="78" t="n">
        <x:v>11.50806679467266</x:v>
      </x:c>
      <x:c r="T7" s="78" t="n">
        <x:v>2.6</x:v>
      </x:c>
      <x:c r="U7" s="78" t="n">
        <x:v>0</x:v>
      </x:c>
      <x:c r="V7" s="78" t="n">
        <x:v>10.208066794672659</x:v>
      </x:c>
      <x:c r="W7" s="78" t="n">
        <x:v>20.416133589345318</x:v>
      </x:c>
      <x:c r="X7" s="78"/>
      <x:c r="Y7" s="78"/>
      <x:c r="Z7" s="78"/>
      <x:c r="AA7" s="78"/>
      <x:c r="AB7" s="78"/>
      <x:c r="AC7" s="78"/>
      <x:c r="AD7" s="78"/>
      <x:c r="AE7" s="54"/>
      <x:c r="AF7" s="54"/>
      <x:c r="AG7" s="54"/>
      <x:c r="AH7" s="54"/>
      <x:c r="AI7" s="54"/>
      <x:c r="AJ7" s="54"/>
      <x:c r="AK7" s="54"/>
      <x:c r="AL7" s="54"/>
      <x:c r="AM7" s="54"/>
      <x:c r="AN7" s="54"/>
      <x:c r="AO7" s="54"/>
      <x:c r="AP7" s="54"/>
      <x:c r="AQ7" s="54"/>
      <x:c r="AR7" s="54"/>
      <x:c r="AS7" s="54"/>
      <x:c r="AT7" s="54"/>
      <x:c r="AU7" s="54"/>
      <x:c r="AV7" s="54"/>
      <x:c r="AW7" s="54"/>
    </x:row>
    <x:row r="8">
      <x:c r="A8" s="54" t="str">
        <x:v>D1</x:v>
      </x:c>
      <x:c r="B8" s="54" t="n">
        <x:v>9</x:v>
      </x:c>
      <x:c r="C8" s="78" t="n">
        <x:v>4.997460698871354</x:v>
      </x:c>
      <x:c r="D8" s="78" t="n">
        <x:v>10.578292538879138</x:v>
      </x:c>
      <x:c r="E8" s="78" t="n">
        <x:v>6.3926686588732995</x:v>
      </x:c>
      <x:c r="F8" s="78" t="n">
        <x:v>3</x:v>
      </x:c>
      <x:c r="G8" s="78" t="n">
        <x:v>0</x:v>
      </x:c>
      <x:c r="H8" s="78" t="n">
        <x:v>4.8926686588732995</x:v>
      </x:c>
      <x:c r="I8" s="78" t="n">
        <x:v>9.785337317746599</x:v>
      </x:c>
      <x:c r="J8" s="78" t="n">
        <x:v>0.7706020544237423</x:v>
      </x:c>
      <x:c r="K8" s="78" t="n">
        <x:v>12.12866147017306</x:v>
      </x:c>
      <x:c r="L8" s="78" t="n">
        <x:v>3.610116908361072</x:v>
      </x:c>
      <x:c r="M8" s="78" t="n">
        <x:v>1</x:v>
      </x:c>
      <x:c r="N8" s="78" t="n">
        <x:v>1.5</x:v>
      </x:c>
      <x:c r="O8" s="78" t="n">
        <x:v>4.610116908361071</x:v>
      </x:c>
      <x:c r="P8" s="78" t="n">
        <x:v>9.220233816722143</x:v>
      </x:c>
      <x:c r="Q8" s="78" t="n">
        <x:v>11.566360897018845</x:v>
      </x:c>
      <x:c r="R8" s="78" t="n">
        <x:v>21.14130080380574</x:v>
      </x:c>
      <x:c r="S8" s="78" t="n">
        <x:v>13.960095873715568</x:v>
      </x:c>
      <x:c r="T8" s="78" t="n">
        <x:v>2.6</x:v>
      </x:c>
      <x:c r="U8" s="78" t="n">
        <x:v>0</x:v>
      </x:c>
      <x:c r="V8" s="78" t="n">
        <x:v>12.660095873715568</x:v>
      </x:c>
      <x:c r="W8" s="78" t="n">
        <x:v>25.320191747431135</x:v>
      </x:c>
      <x:c r="X8" s="78"/>
      <x:c r="Y8" s="78"/>
      <x:c r="Z8" s="78"/>
      <x:c r="AA8" s="78"/>
      <x:c r="AB8" s="78"/>
      <x:c r="AC8" s="78"/>
      <x:c r="AD8" s="78"/>
      <x:c r="AE8" s="54"/>
      <x:c r="AF8" s="54"/>
      <x:c r="AG8" s="54"/>
      <x:c r="AH8" s="54"/>
      <x:c r="AI8" s="54"/>
      <x:c r="AJ8" s="54"/>
      <x:c r="AK8" s="54"/>
      <x:c r="AL8" s="54"/>
      <x:c r="AM8" s="54"/>
      <x:c r="AN8" s="54"/>
      <x:c r="AO8" s="54"/>
      <x:c r="AP8" s="54"/>
      <x:c r="AQ8" s="54"/>
      <x:c r="AR8" s="54"/>
      <x:c r="AS8" s="54"/>
      <x:c r="AT8" s="54"/>
      <x:c r="AU8" s="54"/>
      <x:c r="AV8" s="54"/>
      <x:c r="AW8" s="54"/>
    </x:row>
    <x:row r="9">
      <x:c r="A9" s="54" t="str">
        <x:v>D1</x:v>
      </x:c>
      <x:c r="B9" s="54" t="n">
        <x:v>10</x:v>
      </x:c>
      <x:c r="C9" s="78" t="n">
        <x:v>7.645204615630132</x:v>
      </x:c>
      <x:c r="D9" s="78" t="n">
        <x:v>12.71835870237541</x:v>
      </x:c>
      <x:c r="E9" s="78" t="n">
        <x:v>8.913493137316452</x:v>
      </x:c>
      <x:c r="F9" s="78" t="n">
        <x:v>3</x:v>
      </x:c>
      <x:c r="G9" s="78" t="n">
        <x:v>0</x:v>
      </x:c>
      <x:c r="H9" s="78" t="n">
        <x:v>7.413493137316452</x:v>
      </x:c>
      <x:c r="I9" s="78" t="n">
        <x:v>14.826986274632905</x:v>
      </x:c>
      <x:c r="J9" s="78" t="n">
        <x:v>1.5066052532486618</x:v>
      </x:c>
      <x:c r="K9" s="78" t="n">
        <x:v>14.13519624104481</x:v>
      </x:c>
      <x:c r="L9" s="78" t="n">
        <x:v>4.663753000197699</x:v>
      </x:c>
      <x:c r="M9" s="78" t="n">
        <x:v>1</x:v>
      </x:c>
      <x:c r="N9" s="78" t="n">
        <x:v>1.5</x:v>
      </x:c>
      <x:c r="O9" s="78" t="n">
        <x:v>5.663753000197699</x:v>
      </x:c>
      <x:c r="P9" s="78" t="n">
        <x:v>11.327506000395397</x:v>
      </x:c>
      <x:c r="Q9" s="78" t="n">
        <x:v>13.860573000491767</x:v>
      </x:c>
      <x:c r="R9" s="78" t="n">
        <x:v>24.53412993579738</x:v>
      </x:c>
      <x:c r="S9" s="78" t="n">
        <x:v>16.528962234318172</x:v>
      </x:c>
      <x:c r="T9" s="78" t="n">
        <x:v>2.6</x:v>
      </x:c>
      <x:c r="U9" s="78" t="n">
        <x:v>0</x:v>
      </x:c>
      <x:c r="V9" s="78" t="n">
        <x:v>15.228962234318171</x:v>
      </x:c>
      <x:c r="W9" s="78" t="n">
        <x:v>30.457924468636342</x:v>
      </x:c>
      <x:c r="X9" s="78"/>
      <x:c r="Y9" s="78"/>
      <x:c r="Z9" s="78"/>
      <x:c r="AA9" s="78"/>
      <x:c r="AB9" s="78"/>
      <x:c r="AC9" s="78"/>
      <x:c r="AD9" s="78"/>
      <x:c r="AE9" s="54"/>
      <x:c r="AF9" s="54"/>
      <x:c r="AG9" s="54"/>
      <x:c r="AH9" s="54"/>
      <x:c r="AI9" s="54"/>
      <x:c r="AJ9" s="54"/>
      <x:c r="AK9" s="54"/>
      <x:c r="AL9" s="54"/>
      <x:c r="AM9" s="54"/>
      <x:c r="AN9" s="54"/>
      <x:c r="AO9" s="54"/>
      <x:c r="AP9" s="54"/>
      <x:c r="AQ9" s="54"/>
      <x:c r="AR9" s="54"/>
      <x:c r="AS9" s="54"/>
      <x:c r="AT9" s="54"/>
      <x:c r="AU9" s="54"/>
      <x:c r="AV9" s="54"/>
      <x:c r="AW9" s="54"/>
    </x:row>
    <x:row r="10">
      <x:c r="A10" s="54" t="str">
        <x:v>D1</x:v>
      </x:c>
      <x:c r="B10" s="54" t="n">
        <x:v>11</x:v>
      </x:c>
      <x:c r="C10" s="78" t="n">
        <x:v>10.736018728867728</x:v>
      </x:c>
      <x:c r="D10" s="78" t="n">
        <x:v>15.020943795369455</x:v>
      </x:c>
      <x:c r="E10" s="78" t="n">
        <x:v>11.80724999549316</x:v>
      </x:c>
      <x:c r="F10" s="78" t="n">
        <x:v>3</x:v>
      </x:c>
      <x:c r="G10" s="78" t="n">
        <x:v>0</x:v>
      </x:c>
      <x:c r="H10" s="78" t="n">
        <x:v>10.30724999549316</x:v>
      </x:c>
      <x:c r="I10" s="78" t="n">
        <x:v>20.61449999098632</x:v>
      </x:c>
      <x:c r="J10" s="78" t="n">
        <x:v>2.5240108882774694</x:v>
      </x:c>
      <x:c r="K10" s="78" t="n">
        <x:v>16.150099261587073</x:v>
      </x:c>
      <x:c r="L10" s="78" t="n">
        <x:v>5.93053298160487</x:v>
      </x:c>
      <x:c r="M10" s="78" t="n">
        <x:v>1</x:v>
      </x:c>
      <x:c r="N10" s="78" t="n">
        <x:v>1.5</x:v>
      </x:c>
      <x:c r="O10" s="78" t="n">
        <x:v>6.93053298160487</x:v>
      </x:c>
      <x:c r="P10" s="78" t="n">
        <x:v>13.86106596320974</x:v>
      </x:c>
      <x:c r="Q10" s="78" t="n">
        <x:v>16.345479650279767</x:v>
      </x:c>
      <x:c r="R10" s="78" t="n">
        <x:v>27.93532731745954</x:v>
      </x:c>
      <x:c r="S10" s="78" t="n">
        <x:v>19.24294156707471</x:v>
      </x:c>
      <x:c r="T10" s="78" t="n">
        <x:v>2.6</x:v>
      </x:c>
      <x:c r="U10" s="78" t="n">
        <x:v>0</x:v>
      </x:c>
      <x:c r="V10" s="78" t="n">
        <x:v>17.94294156707471</x:v>
      </x:c>
      <x:c r="W10" s="78" t="n">
        <x:v>35.88588313414942</x:v>
      </x:c>
      <x:c r="X10" s="78"/>
      <x:c r="Y10" s="78"/>
      <x:c r="Z10" s="78"/>
      <x:c r="AA10" s="78"/>
      <x:c r="AB10" s="78"/>
      <x:c r="AC10" s="78"/>
      <x:c r="AD10" s="78"/>
      <x:c r="AE10" s="54"/>
      <x:c r="AF10" s="54"/>
      <x:c r="AG10" s="54"/>
      <x:c r="AH10" s="54"/>
      <x:c r="AI10" s="54"/>
      <x:c r="AJ10" s="54"/>
      <x:c r="AK10" s="54"/>
      <x:c r="AL10" s="54"/>
      <x:c r="AM10" s="54"/>
      <x:c r="AN10" s="54"/>
      <x:c r="AO10" s="54"/>
      <x:c r="AP10" s="54"/>
      <x:c r="AQ10" s="54"/>
      <x:c r="AR10" s="54"/>
      <x:c r="AS10" s="54"/>
      <x:c r="AT10" s="54"/>
      <x:c r="AU10" s="54"/>
      <x:c r="AV10" s="54"/>
      <x:c r="AW10" s="54"/>
    </x:row>
    <x:row r="11">
      <x:c r="A11" s="54" t="str">
        <x:v>D1</x:v>
      </x:c>
      <x:c r="B11" s="54" t="n">
        <x:v>12</x:v>
      </x:c>
      <x:c r="C11" s="78" t="n">
        <x:v>14.340146080753653</x:v>
      </x:c>
      <x:c r="D11" s="78" t="n">
        <x:v>17.52646973236019</x:v>
      </x:c>
      <x:c r="E11" s="78" t="n">
        <x:v>15.136726993655287</x:v>
      </x:c>
      <x:c r="F11" s="78" t="n">
        <x:v>3</x:v>
      </x:c>
      <x:c r="G11" s="78" t="n">
        <x:v>0</x:v>
      </x:c>
      <x:c r="H11" s="78" t="n">
        <x:v>13.636726993655287</x:v>
      </x:c>
      <x:c r="I11" s="78" t="n">
        <x:v>27.273453987310575</x:v>
      </x:c>
      <x:c r="J11" s="78" t="n">
        <x:v>3.835801514563327</x:v>
      </x:c>
      <x:c r="K11" s="78" t="n">
        <x:v>18.185621569332074</x:v>
      </x:c>
      <x:c r="L11" s="78" t="n">
        <x:v>7.423256528255514</x:v>
      </x:c>
      <x:c r="M11" s="78" t="n">
        <x:v>1</x:v>
      </x:c>
      <x:c r="N11" s="78" t="n">
        <x:v>1.5</x:v>
      </x:c>
      <x:c r="O11" s="78" t="n">
        <x:v>8.423256528255514</x:v>
      </x:c>
      <x:c r="P11" s="78" t="n">
        <x:v>16.84651305651103</x:v>
      </x:c>
      <x:c r="Q11" s="78" t="n">
        <x:v>19.074149138584716</x:v>
      </x:c>
      <x:c r="R11" s="78" t="n">
        <x:v>31.357143986324427</x:v>
      </x:c>
      <x:c r="S11" s="78" t="n">
        <x:v>22.144897850519644</x:v>
      </x:c>
      <x:c r="T11" s="78" t="n">
        <x:v>2.6</x:v>
      </x:c>
      <x:c r="U11" s="78" t="n">
        <x:v>0</x:v>
      </x:c>
      <x:c r="V11" s="78" t="n">
        <x:v>20.844897850519644</x:v>
      </x:c>
      <x:c r="W11" s="78" t="n">
        <x:v>41.68979570103929</x:v>
      </x:c>
      <x:c r="X11" s="78"/>
      <x:c r="Y11" s="78"/>
      <x:c r="Z11" s="78"/>
      <x:c r="AA11" s="78"/>
      <x:c r="AB11" s="78"/>
      <x:c r="AC11" s="78"/>
      <x:c r="AD11" s="78"/>
      <x:c r="AE11" s="54"/>
      <x:c r="AF11" s="54"/>
      <x:c r="AG11" s="54"/>
      <x:c r="AH11" s="54"/>
      <x:c r="AI11" s="54"/>
      <x:c r="AJ11" s="54"/>
      <x:c r="AK11" s="54"/>
      <x:c r="AL11" s="54"/>
      <x:c r="AM11" s="54"/>
      <x:c r="AN11" s="54"/>
      <x:c r="AO11" s="54"/>
      <x:c r="AP11" s="54"/>
      <x:c r="AQ11" s="54"/>
      <x:c r="AR11" s="54"/>
      <x:c r="AS11" s="54"/>
      <x:c r="AT11" s="54"/>
      <x:c r="AU11" s="54"/>
      <x:c r="AV11" s="54"/>
      <x:c r="AW11" s="54"/>
    </x:row>
    <x:row r="12">
      <x:c r="A12" s="54" t="str">
        <x:v>D1</x:v>
      </x:c>
      <x:c r="B12" s="54" t="n">
        <x:v>13</x:v>
      </x:c>
      <x:c r="C12" s="78" t="n">
        <x:v>18.579071871786862</x:v>
      </x:c>
      <x:c r="D12" s="78" t="n">
        <x:v>20.299058454599972</x:v>
      </x:c>
      <x:c r="E12" s="78" t="n">
        <x:v>19.00906851749014</x:v>
      </x:c>
      <x:c r="F12" s="78" t="n">
        <x:v>3</x:v>
      </x:c>
      <x:c r="G12" s="78" t="n">
        <x:v>0</x:v>
      </x:c>
      <x:c r="H12" s="78" t="n">
        <x:v>17.50906851749014</x:v>
      </x:c>
      <x:c r="I12" s="78" t="n">
        <x:v>35.01813703498028</x:v>
      </x:c>
      <x:c r="J12" s="78" t="n">
        <x:v>5.500932562430093</x:v>
      </x:c>
      <x:c r="K12" s="78" t="n">
        <x:v>20.26506311101191</x:v>
      </x:c>
      <x:c r="L12" s="78" t="n">
        <x:v>9.191965199575547</x:v>
      </x:c>
      <x:c r="M12" s="78" t="n">
        <x:v>1</x:v>
      </x:c>
      <x:c r="N12" s="78" t="n">
        <x:v>1.5</x:v>
      </x:c>
      <x:c r="O12" s="78" t="n">
        <x:v>10.191965199575547</x:v>
      </x:c>
      <x:c r="P12" s="78" t="n">
        <x:v>20.383930399151094</x:v>
      </x:c>
      <x:c r="Q12" s="78" t="n">
        <x:v>22.134419933276277</x:v>
      </x:c>
      <x:c r="R12" s="78" t="n">
        <x:v>34.82287988912415</x:v>
      </x:c>
      <x:c r="S12" s="78" t="n">
        <x:v>25.306534922238246</x:v>
      </x:c>
      <x:c r="T12" s="78" t="n">
        <x:v>2.6</x:v>
      </x:c>
      <x:c r="U12" s="78" t="n">
        <x:v>0</x:v>
      </x:c>
      <x:c r="V12" s="78" t="n">
        <x:v>24.006534922238245</x:v>
      </x:c>
      <x:c r="W12" s="78" t="n">
        <x:v>48.01306984447649</x:v>
      </x:c>
      <x:c r="X12" s="78"/>
      <x:c r="Y12" s="78"/>
      <x:c r="Z12" s="78"/>
      <x:c r="AA12" s="78"/>
      <x:c r="AB12" s="78"/>
      <x:c r="AC12" s="78"/>
      <x:c r="AD12" s="78"/>
      <x:c r="AE12" s="54"/>
      <x:c r="AF12" s="54"/>
      <x:c r="AG12" s="54"/>
      <x:c r="AH12" s="54"/>
      <x:c r="AI12" s="54"/>
      <x:c r="AJ12" s="54"/>
      <x:c r="AK12" s="54"/>
      <x:c r="AL12" s="54"/>
      <x:c r="AM12" s="54"/>
      <x:c r="AN12" s="54"/>
      <x:c r="AO12" s="54"/>
      <x:c r="AP12" s="54"/>
      <x:c r="AQ12" s="54"/>
      <x:c r="AR12" s="54"/>
      <x:c r="AS12" s="54"/>
      <x:c r="AT12" s="54"/>
      <x:c r="AU12" s="54"/>
      <x:c r="AV12" s="54"/>
      <x:c r="AW12" s="54"/>
    </x:row>
    <x:row r="13">
      <x:c r="A13" s="54" t="str">
        <x:v>D1</x:v>
      </x:c>
      <x:c r="B13" s="54" t="n">
        <x:v>14</x:v>
      </x:c>
      <x:c r="C13" s="78" t="n">
        <x:v>23.68198244199229</x:v>
      </x:c>
      <x:c r="D13" s="78" t="n">
        <x:v>23.456058875750085</x:v>
      </x:c>
      <x:c r="E13" s="78" t="n">
        <x:v>23.62550155043174</x:v>
      </x:c>
      <x:c r="F13" s="78" t="n">
        <x:v>3</x:v>
      </x:c>
      <x:c r="G13" s="78" t="n">
        <x:v>0</x:v>
      </x:c>
      <x:c r="H13" s="78" t="n">
        <x:v>22.12550155043174</x:v>
      </x:c>
      <x:c r="I13" s="78" t="n">
        <x:v>44.25100310086348</x:v>
      </x:c>
      <x:c r="J13" s="78" t="n">
        <x:v>7.675290890631728</x:v>
      </x:c>
      <x:c r="K13" s="78" t="n">
        <x:v>22.441234279150297</x:v>
      </x:c>
      <x:c r="L13" s="78" t="n">
        <x:v>11.36677673776137</x:v>
      </x:c>
      <x:c r="M13" s="78" t="n">
        <x:v>1</x:v>
      </x:c>
      <x:c r="N13" s="78" t="n">
        <x:v>1.5</x:v>
      </x:c>
      <x:c r="O13" s="78" t="n">
        <x:v>12.36677673776137</x:v>
      </x:c>
      <x:c r="P13" s="78" t="n">
        <x:v>24.73355347552274</x:v>
      </x:c>
      <x:c r="Q13" s="78" t="n">
        <x:v>25.696885462534553</x:v>
      </x:c>
      <x:c r="R13" s="78" t="n">
        <x:v>38.385345418382435</x:v>
      </x:c>
      <x:c r="S13" s="78" t="n">
        <x:v>28.869000451496525</x:v>
      </x:c>
      <x:c r="T13" s="78" t="n">
        <x:v>2.6</x:v>
      </x:c>
      <x:c r="U13" s="78" t="n">
        <x:v>0</x:v>
      </x:c>
      <x:c r="V13" s="78" t="n">
        <x:v>27.569000451496525</x:v>
      </x:c>
      <x:c r="W13" s="78" t="n">
        <x:v>55.13800090299305</x:v>
      </x:c>
      <x:c r="X13" s="78"/>
      <x:c r="Y13" s="78"/>
      <x:c r="Z13" s="78"/>
      <x:c r="AA13" s="78"/>
      <x:c r="AB13" s="78"/>
      <x:c r="AC13" s="78"/>
      <x:c r="AD13" s="78"/>
      <x:c r="AE13" s="54"/>
      <x:c r="AF13" s="54"/>
      <x:c r="AG13" s="54"/>
      <x:c r="AH13" s="54"/>
      <x:c r="AI13" s="54"/>
      <x:c r="AJ13" s="54"/>
      <x:c r="AK13" s="54"/>
      <x:c r="AL13" s="54"/>
      <x:c r="AM13" s="54"/>
      <x:c r="AN13" s="54"/>
      <x:c r="AO13" s="54"/>
      <x:c r="AP13" s="54"/>
      <x:c r="AQ13" s="54"/>
      <x:c r="AR13" s="54"/>
      <x:c r="AS13" s="54"/>
      <x:c r="AT13" s="54"/>
      <x:c r="AU13" s="54"/>
      <x:c r="AV13" s="54"/>
      <x:c r="AW13" s="54"/>
    </x:row>
    <x:row r="14">
      <x:c r="A14" s="54" t="str">
        <x:v>D1</x:v>
      </x:c>
      <x:c r="B14" s="54" t="n">
        <x:v>15</x:v>
      </x:c>
      <x:c r="C14" s="78" t="n">
        <x:v>30.218674039583593</x:v>
      </x:c>
      <x:c r="D14" s="78" t="n">
        <x:v>27.28470027223918</x:v>
      </x:c>
      <x:c r="E14" s="78" t="n">
        <x:v>29.48518059774749</x:v>
      </x:c>
      <x:c r="F14" s="78" t="n">
        <x:v>3</x:v>
      </x:c>
      <x:c r="G14" s="78" t="n">
        <x:v>0</x:v>
      </x:c>
      <x:c r="H14" s="78" t="n">
        <x:v>27.98518059774749</x:v>
      </x:c>
      <x:c r="I14" s="78" t="n">
        <x:v>55.97036119549498</x:v>
      </x:c>
      <x:c r="J14" s="78" t="n">
        <x:v>10.810563076569682</x:v>
      </x:c>
      <x:c r="K14" s="78" t="n">
        <x:v>24.8835813145195</x:v>
      </x:c>
      <x:c r="L14" s="78" t="n">
        <x:v>14.328817636057138</x:v>
      </x:c>
      <x:c r="M14" s="78" t="n">
        <x:v>1</x:v>
      </x:c>
      <x:c r="N14" s="78" t="n">
        <x:v>1.5</x:v>
      </x:c>
      <x:c r="O14" s="78" t="n">
        <x:v>15.328817636057138</x:v>
      </x:c>
      <x:c r="P14" s="78" t="n">
        <x:v>30.657635272114277</x:v>
      </x:c>
      <x:c r="Q14" s="78" t="n">
        <x:v>30.218674039583593</x:v>
      </x:c>
      <x:c r="R14" s="78" t="n">
        <x:v>42.213986814871525</x:v>
      </x:c>
      <x:c r="S14" s="78" t="n">
        <x:v>33.217502233405575</x:v>
      </x:c>
      <x:c r="T14" s="78" t="n">
        <x:v>2.6</x:v>
      </x:c>
      <x:c r="U14" s="78" t="n">
        <x:v>0</x:v>
      </x:c>
      <x:c r="V14" s="78" t="n">
        <x:v>27.98518059774749</x:v>
      </x:c>
      <x:c r="W14" s="78" t="n">
        <x:v>55.97036119549498</x:v>
      </x:c>
      <x:c r="X14" s="78"/>
      <x:c r="Y14" s="78"/>
      <x:c r="Z14" s="78"/>
      <x:c r="AA14" s="78"/>
      <x:c r="AB14" s="78"/>
      <x:c r="AC14" s="78"/>
      <x:c r="AD14" s="78"/>
      <x:c r="AE14" s="54"/>
      <x:c r="AF14" s="54"/>
      <x:c r="AG14" s="54"/>
      <x:c r="AH14" s="54"/>
      <x:c r="AI14" s="54"/>
      <x:c r="AJ14" s="54"/>
      <x:c r="AK14" s="54"/>
      <x:c r="AL14" s="54"/>
      <x:c r="AM14" s="54"/>
      <x:c r="AN14" s="54"/>
      <x:c r="AO14" s="54"/>
      <x:c r="AP14" s="54"/>
      <x:c r="AQ14" s="54"/>
      <x:c r="AR14" s="54"/>
      <x:c r="AS14" s="54"/>
      <x:c r="AT14" s="54"/>
      <x:c r="AU14" s="54"/>
      <x:c r="AV14" s="54"/>
      <x:c r="AW14" s="54"/>
    </x:row>
    <x:row r="15">
      <x:c r="A15" s="54" t="str">
        <x:v>D2</x:v>
      </x:c>
      <x:c r="B15" s="54" t="n">
        <x:v>3</x:v>
      </x:c>
      <x:c r="C15" s="78" t="n">
        <x:v>2.2002878031015974e-7</x:v>
      </x:c>
      <x:c r="D15" s="78" t="n">
        <x:v>2.2002878031015974e-7</x:v>
      </x:c>
      <x:c r="E15" s="78" t="n">
        <x:v>2.2002878031015974e-7</x:v>
      </x:c>
      <x:c r="F15" s="78" t="n">
        <x:v>1.5</x:v>
      </x:c>
      <x:c r="G15" s="78" t="n">
        <x:v>0</x:v>
      </x:c>
      <x:c r="H15" s="78" t="n">
        <x:v>0</x:v>
      </x:c>
      <x:c r="I15" s="78" t="n">
        <x:v>0</x:v>
      </x:c>
      <x:c r="J15" s="78" t="n">
        <x:v>0.00001756434617245252</x:v>
      </x:c>
      <x:c r="K15" s="78" t="n">
        <x:v>0.00001756434617245252</x:v>
      </x:c>
      <x:c r="L15" s="78" t="n">
        <x:v>0.00001756434617245252</x:v>
      </x:c>
      <x:c r="M15" s="78" t="n">
        <x:v>1</x:v>
      </x:c>
      <x:c r="N15" s="78" t="n">
        <x:v>1.5</x:v>
      </x:c>
      <x:c r="O15" s="78" t="n">
        <x:v>1.0000175643461724</x:v>
      </x:c>
      <x:c r="P15" s="78" t="n">
        <x:v>2.000035128692345</x:v>
      </x:c>
      <x:c r="Q15" s="78" t="n">
        <x:v>1.0365812076868104</x:v>
      </x:c>
      <x:c r="R15" s="78" t="n">
        <x:v>1.0365812076868104</x:v>
      </x:c>
      <x:c r="S15" s="78" t="n">
        <x:v>1.0365812076868104</x:v>
      </x:c>
      <x:c r="T15" s="78" t="n">
        <x:v>1.625</x:v>
      </x:c>
      <x:c r="U15" s="78" t="n">
        <x:v>0</x:v>
      </x:c>
      <x:c r="V15" s="78" t="n">
        <x:v>0.2240812076868104</x:v>
      </x:c>
      <x:c r="W15" s="78" t="n">
        <x:v>0.4481624153736208</x:v>
      </x:c>
      <x:c r="X15" s="78" t="n">
        <x:v>0.4524792578072436</x:v>
      </x:c>
      <x:c r="Y15" s="78" t="n">
        <x:v>0.4524792578072436</x:v>
      </x:c>
      <x:c r="Z15" s="78" t="n">
        <x:v>0.4524792578072436</x:v>
      </x:c>
      <x:c r="AA15" s="78" t="n">
        <x:v>1.5</x:v>
      </x:c>
      <x:c r="AB15" s="78" t="n">
        <x:v>0</x:v>
      </x:c>
      <x:c r="AC15" s="78" t="n">
        <x:v>0</x:v>
      </x:c>
      <x:c r="AD15" s="78" t="n">
        <x:v>0</x:v>
      </x:c>
      <x:c r="AE15" s="54"/>
      <x:c r="AF15" s="54"/>
      <x:c r="AG15" s="54"/>
      <x:c r="AH15" s="54"/>
      <x:c r="AI15" s="54"/>
      <x:c r="AJ15" s="54"/>
      <x:c r="AK15" s="54"/>
      <x:c r="AL15" s="54"/>
      <x:c r="AM15" s="54"/>
      <x:c r="AN15" s="54"/>
      <x:c r="AO15" s="54"/>
      <x:c r="AP15" s="54"/>
      <x:c r="AQ15" s="54"/>
      <x:c r="AR15" s="54"/>
      <x:c r="AS15" s="54"/>
      <x:c r="AT15" s="54"/>
      <x:c r="AU15" s="54"/>
      <x:c r="AV15" s="54"/>
      <x:c r="AW15" s="54"/>
    </x:row>
    <x:row r="16">
      <x:c r="A16" s="54" t="str">
        <x:v>D2</x:v>
      </x:c>
      <x:c r="B16" s="54" t="n">
        <x:v>4</x:v>
      </x:c>
      <x:c r="C16" s="78" t="n">
        <x:v>0.00046918227783473033</x:v>
      </x:c>
      <x:c r="D16" s="78" t="n">
        <x:v>1.7917596892568353</x:v>
      </x:c>
      <x:c r="E16" s="78" t="n">
        <x:v>0.44829180902258486</x:v>
      </x:c>
      <x:c r="F16" s="78" t="n">
        <x:v>1.5</x:v>
      </x:c>
      <x:c r="G16" s="78" t="n">
        <x:v>0</x:v>
      </x:c>
      <x:c r="H16" s="78" t="n">
        <x:v>0</x:v>
      </x:c>
      <x:c r="I16" s="78" t="n">
        <x:v>0</x:v>
      </x:c>
      <x:c r="J16" s="78" t="n">
        <x:v>0.00021982111423857285</x:v>
      </x:c>
      <x:c r="K16" s="78" t="n">
        <x:v>2.0541412980417184</x:v>
      </x:c>
      <x:c r="L16" s="78" t="n">
        <x:v>0.5137001903461086</x:v>
      </x:c>
      <x:c r="M16" s="78" t="n">
        <x:v>1</x:v>
      </x:c>
      <x:c r="N16" s="78" t="n">
        <x:v>1.5</x:v>
      </x:c>
      <x:c r="O16" s="78" t="n">
        <x:v>1.5137001903461087</x:v>
      </x:c>
      <x:c r="P16" s="78" t="n">
        <x:v>3.0274003806922174</x:v>
      </x:c>
      <x:c r="Q16" s="78" t="n">
        <x:v>2.7308727162330997</x:v>
      </x:c>
      <x:c r="R16" s="78" t="n">
        <x:v>4.700142853816457</x:v>
      </x:c>
      <x:c r="S16" s="78" t="n">
        <x:v>3.223190250628939</x:v>
      </x:c>
      <x:c r="T16" s="78" t="n">
        <x:v>1.625</x:v>
      </x:c>
      <x:c r="U16" s="78" t="n">
        <x:v>0</x:v>
      </x:c>
      <x:c r="V16" s="78" t="n">
        <x:v>2.410690250628939</x:v>
      </x:c>
      <x:c r="W16" s="78" t="n">
        <x:v>4.821380501257878</x:v>
      </x:c>
      <x:c r="X16" s="78" t="n">
        <x:v>2.516045566102439</x:v>
      </x:c>
      <x:c r="Y16" s="78" t="n">
        <x:v>4.035998196263353</x:v>
      </x:c>
      <x:c r="Z16" s="78" t="n">
        <x:v>2.8960337236426676</x:v>
      </x:c>
      <x:c r="AA16" s="78" t="n">
        <x:v>4.5</x:v>
      </x:c>
      <x:c r="AB16" s="78" t="n">
        <x:v>0</x:v>
      </x:c>
      <x:c r="AC16" s="78" t="n">
        <x:v>0.6460337236426676</x:v>
      </x:c>
      <x:c r="AD16" s="78" t="n">
        <x:v>1.2920674472853353</x:v>
      </x:c>
      <x:c r="AE16" s="54"/>
      <x:c r="AF16" s="54"/>
      <x:c r="AG16" s="54"/>
      <x:c r="AH16" s="54"/>
      <x:c r="AI16" s="54"/>
      <x:c r="AJ16" s="54"/>
      <x:c r="AK16" s="54"/>
      <x:c r="AL16" s="54"/>
      <x:c r="AM16" s="54"/>
      <x:c r="AN16" s="54"/>
      <x:c r="AO16" s="54"/>
      <x:c r="AP16" s="54"/>
      <x:c r="AQ16" s="54"/>
      <x:c r="AR16" s="54"/>
      <x:c r="AS16" s="54"/>
      <x:c r="AT16" s="54"/>
      <x:c r="AU16" s="54"/>
      <x:c r="AV16" s="54"/>
      <x:c r="AW16" s="54"/>
    </x:row>
    <x:row r="17">
      <x:c r="A17" s="54" t="str">
        <x:v>D2</x:v>
      </x:c>
      <x:c r="B17" s="54" t="n">
        <x:v>5</x:v>
      </x:c>
      <x:c r="C17" s="78" t="n">
        <x:v>0.0761808687207781</x:v>
      </x:c>
      <x:c r="D17" s="78" t="n">
        <x:v>3.6565442934997803</x:v>
      </x:c>
      <x:c r="E17" s="78" t="n">
        <x:v>0.9712717249155286</x:v>
      </x:c>
      <x:c r="F17" s="78" t="n">
        <x:v>1.5</x:v>
      </x:c>
      <x:c r="G17" s="78" t="n">
        <x:v>0</x:v>
      </x:c>
      <x:c r="H17" s="78" t="n">
        <x:v>0.2212717249155286</x:v>
      </x:c>
      <x:c r="I17" s="78" t="n">
        <x:v>0.4425434498310572</x:v>
      </x:c>
      <x:c r="J17" s="78" t="n">
        <x:v>0.0025295372626708825</x:v>
      </x:c>
      <x:c r="K17" s="78" t="n">
        <x:v>4.101247459078618</x:v>
      </x:c>
      <x:c r="L17" s="78" t="n">
        <x:v>1.0272090177166575</x:v>
      </x:c>
      <x:c r="M17" s="78" t="n">
        <x:v>1</x:v>
      </x:c>
      <x:c r="N17" s="78" t="n">
        <x:v>1.5</x:v>
      </x:c>
      <x:c r="O17" s="78" t="n">
        <x:v>2.0272090177166575</x:v>
      </x:c>
      <x:c r="P17" s="78" t="n">
        <x:v>4.054418035433315</x:v>
      </x:c>
      <x:c r="Q17" s="78" t="n">
        <x:v>4.653947618970088</x:v>
      </x:c>
      <x:c r="R17" s="78" t="n">
        <x:v>8.356686927287457</x:v>
      </x:c>
      <x:c r="S17" s="78" t="n">
        <x:v>5.57963244604943</x:v>
      </x:c>
      <x:c r="T17" s="78" t="n">
        <x:v>1.625</x:v>
      </x:c>
      <x:c r="U17" s="78" t="n">
        <x:v>0</x:v>
      </x:c>
      <x:c r="V17" s="78" t="n">
        <x:v>4.76713244604943</x:v>
      </x:c>
      <x:c r="W17" s="78" t="n">
        <x:v>9.53426489209886</x:v>
      </x:c>
      <x:c r="X17" s="78" t="n">
        <x:v>5.949754290098155</x:v>
      </x:c>
      <x:c r="Y17" s="78" t="n">
        <x:v>8.29867807330467</x:v>
      </x:c>
      <x:c r="Z17" s="78" t="n">
        <x:v>6.536985235899783</x:v>
      </x:c>
      <x:c r="AA17" s="78" t="n">
        <x:v>7.5</x:v>
      </x:c>
      <x:c r="AB17" s="78" t="n">
        <x:v>0</x:v>
      </x:c>
      <x:c r="AC17" s="78" t="n">
        <x:v>2.786985235899783</x:v>
      </x:c>
      <x:c r="AD17" s="78" t="n">
        <x:v>5.573970471799566</x:v>
      </x:c>
      <x:c r="AE17" s="54"/>
      <x:c r="AF17" s="54"/>
      <x:c r="AG17" s="54"/>
      <x:c r="AH17" s="54"/>
      <x:c r="AI17" s="54"/>
      <x:c r="AJ17" s="54"/>
      <x:c r="AK17" s="54"/>
      <x:c r="AL17" s="54"/>
      <x:c r="AM17" s="54"/>
      <x:c r="AN17" s="54"/>
      <x:c r="AO17" s="54"/>
      <x:c r="AP17" s="54"/>
      <x:c r="AQ17" s="54"/>
      <x:c r="AR17" s="54"/>
      <x:c r="AS17" s="54"/>
      <x:c r="AT17" s="54"/>
      <x:c r="AU17" s="54"/>
      <x:c r="AV17" s="54"/>
      <x:c r="AW17" s="54"/>
    </x:row>
    <x:row r="18">
      <x:c r="A18" s="54" t="str">
        <x:v>D2</x:v>
      </x:c>
      <x:c r="B18" s="54" t="n">
        <x:v>6</x:v>
      </x:c>
      <x:c r="C18" s="78" t="n">
        <x:v>0.7697208558913408</x:v>
      </x:c>
      <x:c r="D18" s="78" t="n">
        <x:v>5.602454442555094</x:v>
      </x:c>
      <x:c r="E18" s="78" t="n">
        <x:v>1.977904252557279</x:v>
      </x:c>
      <x:c r="F18" s="78" t="n">
        <x:v>3</x:v>
      </x:c>
      <x:c r="G18" s="78" t="n">
        <x:v>0</x:v>
      </x:c>
      <x:c r="H18" s="78" t="n">
        <x:v>0.477904252557279</x:v>
      </x:c>
      <x:c r="I18" s="78" t="n">
        <x:v>0.955808505114558</x:v>
      </x:c>
      <x:c r="J18" s="78" t="n">
        <x:v>0.020787998417182398</x:v>
      </x:c>
      <x:c r="K18" s="78" t="n">
        <x:v>6.142467787938256</x:v>
      </x:c>
      <x:c r="L18" s="78" t="n">
        <x:v>1.5512079457974508</x:v>
      </x:c>
      <x:c r="M18" s="78" t="n">
        <x:v>1</x:v>
      </x:c>
      <x:c r="N18" s="78" t="n">
        <x:v>1.5</x:v>
      </x:c>
      <x:c r="O18" s="78" t="n">
        <x:v>2.551207945797451</x:v>
      </x:c>
      <x:c r="P18" s="78" t="n">
        <x:v>5.102415891594902</x:v>
      </x:c>
      <x:c r="Q18" s="78" t="n">
        <x:v>6.691008313323787</x:v>
      </x:c>
      <x:c r="R18" s="78" t="n">
        <x:v>12.007345168581196</x:v>
      </x:c>
      <x:c r="S18" s="78" t="n">
        <x:v>8.02009252713814</x:v>
      </x:c>
      <x:c r="T18" s="78" t="n">
        <x:v>2.6</x:v>
      </x:c>
      <x:c r="U18" s="78" t="n">
        <x:v>0</x:v>
      </x:c>
      <x:c r="V18" s="78" t="n">
        <x:v>6.7200925271381395</x:v>
      </x:c>
      <x:c r="W18" s="78" t="n">
        <x:v>13.440185054276279</x:v>
      </x:c>
      <x:c r="X18" s="78"/>
      <x:c r="Y18" s="78"/>
      <x:c r="Z18" s="78"/>
      <x:c r="AA18" s="78"/>
      <x:c r="AB18" s="78"/>
      <x:c r="AC18" s="78"/>
      <x:c r="AD18" s="78"/>
      <x:c r="AE18" s="54"/>
      <x:c r="AF18" s="54"/>
      <x:c r="AG18" s="54"/>
      <x:c r="AH18" s="54"/>
      <x:c r="AI18" s="54"/>
      <x:c r="AJ18" s="54"/>
      <x:c r="AK18" s="54"/>
      <x:c r="AL18" s="54"/>
      <x:c r="AM18" s="54"/>
      <x:c r="AN18" s="54"/>
      <x:c r="AO18" s="54"/>
      <x:c r="AP18" s="54"/>
      <x:c r="AQ18" s="54"/>
      <x:c r="AR18" s="54"/>
      <x:c r="AS18" s="54"/>
      <x:c r="AT18" s="54"/>
      <x:c r="AU18" s="54"/>
      <x:c r="AV18" s="54"/>
      <x:c r="AW18" s="54"/>
    </x:row>
    <x:row r="19">
      <x:c r="A19" s="54" t="str">
        <x:v>D2</x:v>
      </x:c>
      <x:c r="B19" s="54" t="n">
        <x:v>7</x:v>
      </x:c>
      <x:c r="C19" s="78" t="n">
        <x:v>2.3120506705958523</x:v>
      </x:c>
      <x:c r="D19" s="78" t="n">
        <x:v>7.639336369816133</x:v>
      </x:c>
      <x:c r="E19" s="78" t="n">
        <x:v>3.6438720954009227</x:v>
      </x:c>
      <x:c r="F19" s="78" t="n">
        <x:v>3</x:v>
      </x:c>
      <x:c r="G19" s="78" t="n">
        <x:v>0</x:v>
      </x:c>
      <x:c r="H19" s="78" t="n">
        <x:v>2.1438720954009227</x:v>
      </x:c>
      <x:c r="I19" s="78" t="n">
        <x:v>4.287744190801845</x:v>
      </x:c>
      <x:c r="J19" s="78" t="n">
        <x:v>0.10794783736950327</x:v>
      </x:c>
      <x:c r="K19" s="78" t="n">
        <x:v>8.179349715199296</x:v>
      </x:c>
      <x:c r="L19" s="78" t="n">
        <x:v>2.1257983068269515</x:v>
      </x:c>
      <x:c r="M19" s="78" t="n">
        <x:v>1</x:v>
      </x:c>
      <x:c r="N19" s="78" t="n">
        <x:v>1.5</x:v>
      </x:c>
      <x:c r="O19" s="78" t="n">
        <x:v>3.1257983068269515</x:v>
      </x:c>
      <x:c r="P19" s="78" t="n">
        <x:v>6.251596613653903</x:v>
      </x:c>
      <x:c r="Q19" s="78" t="n">
        <x:v>8.832702365899145</x:v>
      </x:c>
      <x:c r="R19" s="78" t="n">
        <x:v>15.653665008276336</x:v>
      </x:c>
      <x:c r="S19" s="78" t="n">
        <x:v>10.537943026493442</x:v>
      </x:c>
      <x:c r="T19" s="78" t="n">
        <x:v>2.6</x:v>
      </x:c>
      <x:c r="U19" s="78" t="n">
        <x:v>0</x:v>
      </x:c>
      <x:c r="V19" s="78" t="n">
        <x:v>9.237943026493442</x:v>
      </x:c>
      <x:c r="W19" s="78" t="n">
        <x:v>18.475886052986883</x:v>
      </x:c>
      <x:c r="X19" s="78"/>
      <x:c r="Y19" s="78"/>
      <x:c r="Z19" s="78"/>
      <x:c r="AA19" s="78"/>
      <x:c r="AB19" s="78"/>
      <x:c r="AC19" s="78"/>
      <x:c r="AD19" s="78"/>
      <x:c r="AE19" s="54"/>
      <x:c r="AF19" s="54"/>
      <x:c r="AG19" s="54"/>
      <x:c r="AH19" s="54"/>
      <x:c r="AI19" s="54"/>
      <x:c r="AJ19" s="54"/>
      <x:c r="AK19" s="54"/>
      <x:c r="AL19" s="54"/>
      <x:c r="AM19" s="54"/>
      <x:c r="AN19" s="54"/>
      <x:c r="AO19" s="54"/>
      <x:c r="AP19" s="54"/>
      <x:c r="AQ19" s="54"/>
      <x:c r="AR19" s="54"/>
      <x:c r="AS19" s="54"/>
      <x:c r="AT19" s="54"/>
      <x:c r="AU19" s="54"/>
      <x:c r="AV19" s="54"/>
      <x:c r="AW19" s="54"/>
    </x:row>
    <x:row r="20">
      <x:c r="A20" s="54" t="str">
        <x:v>D2</x:v>
      </x:c>
      <x:c r="B20" s="54" t="n">
        <x:v>8</x:v>
      </x:c>
      <x:c r="C20" s="78" t="n">
        <x:v>4.406542900133957</x:v>
      </x:c>
      <x:c r="D20" s="78" t="n">
        <x:v>9.779402533312405</x:v>
      </x:c>
      <x:c r="E20" s="78" t="n">
        <x:v>5.749757808428569</x:v>
      </x:c>
      <x:c r="F20" s="78" t="n">
        <x:v>3</x:v>
      </x:c>
      <x:c r="G20" s="78" t="n">
        <x:v>0</x:v>
      </x:c>
      <x:c r="H20" s="78" t="n">
        <x:v>4.249757808428569</x:v>
      </x:c>
      <x:c r="I20" s="78" t="n">
        <x:v>8.499515616857138</x:v>
      </x:c>
      <x:c r="J20" s="78" t="n">
        <x:v>0.3618741581361553</x:v>
      </x:c>
      <x:c r="K20" s="78" t="n">
        <x:v>10.21405536303774</x:v>
      </x:c>
      <x:c r="L20" s="78" t="n">
        <x:v>2.8249194593615514</x:v>
      </x:c>
      <x:c r="M20" s="78" t="n">
        <x:v>1</x:v>
      </x:c>
      <x:c r="N20" s="78" t="n">
        <x:v>1.5</x:v>
      </x:c>
      <x:c r="O20" s="78" t="n">
        <x:v>3.8249194593615514</x:v>
      </x:c>
      <x:c r="P20" s="78" t="n">
        <x:v>7.649838918723103</x:v>
      </x:c>
      <x:c r="Q20" s="78" t="n">
        <x:v>11.090486247320404</x:v>
      </x:c>
      <x:c r="R20" s="78" t="n">
        <x:v>19.29780856854888</x:v>
      </x:c>
      <x:c r="S20" s="78" t="n">
        <x:v>13.142316827627523</x:v>
      </x:c>
      <x:c r="T20" s="78" t="n">
        <x:v>2.6</x:v>
      </x:c>
      <x:c r="U20" s="78" t="n">
        <x:v>0</x:v>
      </x:c>
      <x:c r="V20" s="78" t="n">
        <x:v>11.842316827627522</x:v>
      </x:c>
      <x:c r="W20" s="78" t="n">
        <x:v>23.684633655255045</x:v>
      </x:c>
      <x:c r="X20" s="78"/>
      <x:c r="Y20" s="78"/>
      <x:c r="Z20" s="78"/>
      <x:c r="AA20" s="78"/>
      <x:c r="AB20" s="78"/>
      <x:c r="AC20" s="78"/>
      <x:c r="AD20" s="78"/>
      <x:c r="AE20" s="54"/>
      <x:c r="AF20" s="54"/>
      <x:c r="AG20" s="54"/>
      <x:c r="AH20" s="54"/>
      <x:c r="AI20" s="54"/>
      <x:c r="AJ20" s="54"/>
      <x:c r="AK20" s="54"/>
      <x:c r="AL20" s="54"/>
      <x:c r="AM20" s="54"/>
      <x:c r="AN20" s="54"/>
      <x:c r="AO20" s="54"/>
      <x:c r="AP20" s="54"/>
      <x:c r="AQ20" s="54"/>
      <x:c r="AR20" s="54"/>
      <x:c r="AS20" s="54"/>
      <x:c r="AT20" s="54"/>
      <x:c r="AU20" s="54"/>
      <x:c r="AV20" s="54"/>
      <x:c r="AW20" s="54"/>
    </x:row>
    <x:row r="21">
      <x:c r="A21" s="54" t="str">
        <x:v>D2</x:v>
      </x:c>
      <x:c r="B21" s="54" t="n">
        <x:v>9</x:v>
      </x:c>
      <x:c r="C21" s="78" t="n">
        <x:v>6.911008522273202</x:v>
      </x:c>
      <x:c r="D21" s="78" t="n">
        <x:v>12.038185003648058</x:v>
      </x:c>
      <x:c r="E21" s="78" t="n">
        <x:v>8.192802642616916</x:v>
      </x:c>
      <x:c r="F21" s="78" t="n">
        <x:v>3</x:v>
      </x:c>
      <x:c r="G21" s="78" t="n">
        <x:v>0</x:v>
      </x:c>
      <x:c r="H21" s="78" t="n">
        <x:v>6.6928026426169165</x:v>
      </x:c>
      <x:c r="I21" s="78" t="n">
        <x:v>13.385605285233833</x:v>
      </x:c>
      <x:c r="J21" s="78" t="n">
        <x:v>0.8673643983507837</x:v>
      </x:c>
      <x:c r="K21" s="78" t="n">
        <x:v>12.249694282059183</x:v>
      </x:c>
      <x:c r="L21" s="78" t="n">
        <x:v>3.7129468692778835</x:v>
      </x:c>
      <x:c r="M21" s="78" t="n">
        <x:v>1</x:v>
      </x:c>
      <x:c r="N21" s="78" t="n">
        <x:v>1.5</x:v>
      </x:c>
      <x:c r="O21" s="78" t="n">
        <x:v>4.712946869277884</x:v>
      </x:c>
      <x:c r="P21" s="78" t="n">
        <x:v>9.425893738555768</x:v>
      </x:c>
      <x:c r="Q21" s="78" t="n">
        <x:v>13.482793179193358</x:v>
      </x:c>
      <x:c r="R21" s="78" t="n">
        <x:v>22.942885400004425</x:v>
      </x:c>
      <x:c r="S21" s="78" t="n">
        <x:v>15.847816234396124</x:v>
      </x:c>
      <x:c r="T21" s="78" t="n">
        <x:v>2.6</x:v>
      </x:c>
      <x:c r="U21" s="78" t="n">
        <x:v>0</x:v>
      </x:c>
      <x:c r="V21" s="78" t="n">
        <x:v>14.547816234396123</x:v>
      </x:c>
      <x:c r="W21" s="78" t="n">
        <x:v>29.095632468792246</x:v>
      </x:c>
      <x:c r="X21" s="78"/>
      <x:c r="Y21" s="78"/>
      <x:c r="Z21" s="78"/>
      <x:c r="AA21" s="78"/>
      <x:c r="AB21" s="78"/>
      <x:c r="AC21" s="78"/>
      <x:c r="AD21" s="78"/>
      <x:c r="AE21" s="54"/>
      <x:c r="AF21" s="54"/>
      <x:c r="AG21" s="54"/>
      <x:c r="AH21" s="54"/>
      <x:c r="AI21" s="54"/>
      <x:c r="AJ21" s="54"/>
      <x:c r="AK21" s="54"/>
      <x:c r="AL21" s="54"/>
      <x:c r="AM21" s="54"/>
      <x:c r="AN21" s="54"/>
      <x:c r="AO21" s="54"/>
      <x:c r="AP21" s="54"/>
      <x:c r="AQ21" s="54"/>
      <x:c r="AR21" s="54"/>
      <x:c r="AS21" s="54"/>
      <x:c r="AT21" s="54"/>
      <x:c r="AU21" s="54"/>
      <x:c r="AV21" s="54"/>
      <x:c r="AW21" s="54"/>
    </x:row>
    <x:row r="22">
      <x:c r="A22" s="54" t="str">
        <x:v>D2</x:v>
      </x:c>
      <x:c r="B22" s="54" t="n">
        <x:v>10</x:v>
      </x:c>
      <x:c r="C22" s="78" t="n">
        <x:v>9.819258033290108</x:v>
      </x:c>
      <x:c r="D22" s="78" t="n">
        <x:v>14.436080276446427</x:v>
      </x:c>
      <x:c r="E22" s="78" t="n">
        <x:v>10.973463594079188</x:v>
      </x:c>
      <x:c r="F22" s="78" t="n">
        <x:v>3</x:v>
      </x:c>
      <x:c r="G22" s="78" t="n">
        <x:v>0</x:v>
      </x:c>
      <x:c r="H22" s="78" t="n">
        <x:v>9.473463594079188</x:v>
      </x:c>
      <x:c r="I22" s="78" t="n">
        <x:v>18.946927188158377</x:v>
      </x:c>
      <x:c r="J22" s="78" t="n">
        <x:v>1.6541553856574103</x:v>
      </x:c>
      <x:c r="K22" s="78" t="n">
        <x:v>14.290914610918822</x:v>
      </x:c>
      <x:c r="L22" s="78" t="n">
        <x:v>4.813345191972763</x:v>
      </x:c>
      <x:c r="M22" s="78" t="n">
        <x:v>1</x:v>
      </x:c>
      <x:c r="N22" s="78" t="n">
        <x:v>1.5</x:v>
      </x:c>
      <x:c r="O22" s="78" t="n">
        <x:v>5.813345191972763</x:v>
      </x:c>
      <x:c r="P22" s="78" t="n">
        <x:v>11.626690383945526</x:v>
      </x:c>
      <x:c r="Q22" s="78" t="n">
        <x:v>16.034838434465357</x:v>
      </x:c>
      <x:c r="R22" s="78" t="n">
        <x:v>26.59354364129816</x:v>
      </x:c>
      <x:c r="S22" s="78" t="n">
        <x:v>18.674514736173556</x:v>
      </x:c>
      <x:c r="T22" s="78" t="n">
        <x:v>2.6</x:v>
      </x:c>
      <x:c r="U22" s="78" t="n">
        <x:v>0</x:v>
      </x:c>
      <x:c r="V22" s="78" t="n">
        <x:v>17.374514736173555</x:v>
      </x:c>
      <x:c r="W22" s="78" t="n">
        <x:v>34.74902947234711</x:v>
      </x:c>
      <x:c r="X22" s="78"/>
      <x:c r="Y22" s="78"/>
      <x:c r="Z22" s="78"/>
      <x:c r="AA22" s="78"/>
      <x:c r="AB22" s="78"/>
      <x:c r="AC22" s="78"/>
      <x:c r="AD22" s="78"/>
      <x:c r="AE22" s="54"/>
      <x:c r="AF22" s="54"/>
      <x:c r="AG22" s="54"/>
      <x:c r="AH22" s="54"/>
      <x:c r="AI22" s="54"/>
      <x:c r="AJ22" s="54"/>
      <x:c r="AK22" s="54"/>
      <x:c r="AL22" s="54"/>
      <x:c r="AM22" s="54"/>
      <x:c r="AN22" s="54"/>
      <x:c r="AO22" s="54"/>
      <x:c r="AP22" s="54"/>
      <x:c r="AQ22" s="54"/>
      <x:c r="AR22" s="54"/>
      <x:c r="AS22" s="54"/>
      <x:c r="AT22" s="54"/>
      <x:c r="AU22" s="54"/>
      <x:c r="AV22" s="54"/>
      <x:c r="AW22" s="54"/>
    </x:row>
    <x:row r="23">
      <x:c r="A23" s="54" t="str">
        <x:v>D2</x:v>
      </x:c>
      <x:c r="B23" s="54" t="n">
        <x:v>11</x:v>
      </x:c>
      <x:c r="C23" s="78" t="n">
        <x:v>13.172638504521592</x:v>
      </x:c>
      <x:c r="D23" s="78" t="n">
        <x:v>17.001029633907965</x:v>
      </x:c>
      <x:c r="E23" s="78" t="n">
        <x:v>14.129736286868184</x:v>
      </x:c>
      <x:c r="F23" s="78" t="n">
        <x:v>3</x:v>
      </x:c>
      <x:c r="G23" s="78" t="n">
        <x:v>0</x:v>
      </x:c>
      <x:c r="H23" s="78" t="n">
        <x:v>12.629736286868184</x:v>
      </x:c>
      <x:c r="I23" s="78" t="n">
        <x:v>25.259472573736367</x:v>
      </x:c>
      <x:c r="J23" s="78" t="n">
        <x:v>2.721554960128284</x:v>
      </x:c>
      <x:c r="K23" s="78" t="n">
        <x:v>16.345038344614366</x:v>
      </x:c>
      <x:c r="L23" s="78" t="n">
        <x:v>6.127425806249804</x:v>
      </x:c>
      <x:c r="M23" s="78" t="n">
        <x:v>1</x:v>
      </x:c>
      <x:c r="N23" s="78" t="n">
        <x:v>1.5</x:v>
      </x:c>
      <x:c r="O23" s="78" t="n">
        <x:v>7.127425806249804</x:v>
      </x:c>
      <x:c r="P23" s="78" t="n">
        <x:v>14.254851612499609</x:v>
      </x:c>
      <x:c r="Q23" s="78" t="n">
        <x:v>18.782109348720848</x:v>
      </x:c>
      <x:c r="R23" s="78" t="n">
        <x:v>30.25710528742781</x:v>
      </x:c>
      <x:c r="S23" s="78" t="n">
        <x:v>21.650858333397586</x:v>
      </x:c>
      <x:c r="T23" s="78" t="n">
        <x:v>2.6</x:v>
      </x:c>
      <x:c r="U23" s="78" t="n">
        <x:v>0</x:v>
      </x:c>
      <x:c r="V23" s="78" t="n">
        <x:v>20.350858333397586</x:v>
      </x:c>
      <x:c r="W23" s="78" t="n">
        <x:v>40.70171666679517</x:v>
      </x:c>
      <x:c r="X23" s="78"/>
      <x:c r="Y23" s="78"/>
      <x:c r="Z23" s="78"/>
      <x:c r="AA23" s="78"/>
      <x:c r="AB23" s="78"/>
      <x:c r="AC23" s="78"/>
      <x:c r="AD23" s="78"/>
      <x:c r="AE23" s="54"/>
      <x:c r="AF23" s="54"/>
      <x:c r="AG23" s="54"/>
      <x:c r="AH23" s="54"/>
      <x:c r="AI23" s="54"/>
      <x:c r="AJ23" s="54"/>
      <x:c r="AK23" s="54"/>
      <x:c r="AL23" s="54"/>
      <x:c r="AM23" s="54"/>
      <x:c r="AN23" s="54"/>
      <x:c r="AO23" s="54"/>
      <x:c r="AP23" s="54"/>
      <x:c r="AQ23" s="54"/>
      <x:c r="AR23" s="54"/>
      <x:c r="AS23" s="54"/>
      <x:c r="AT23" s="54"/>
      <x:c r="AU23" s="54"/>
      <x:c r="AV23" s="54"/>
      <x:c r="AW23" s="54"/>
    </x:row>
    <x:row r="24">
      <x:c r="A24" s="54" t="str">
        <x:v>D2</x:v>
      </x:c>
      <x:c r="B24" s="54" t="n">
        <x:v>12</x:v>
      </x:c>
      <x:c r="C24" s="78" t="n">
        <x:v>17.04383856444378</x:v>
      </x:c>
      <x:c r="D24" s="78" t="n">
        <x:v>19.773618356147747</x:v>
      </x:c>
      <x:c r="E24" s="78" t="n">
        <x:v>17.726283512369772</x:v>
      </x:c>
      <x:c r="F24" s="78" t="n">
        <x:v>3</x:v>
      </x:c>
      <x:c r="G24" s="78" t="n">
        <x:v>0</x:v>
      </x:c>
      <x:c r="H24" s="78" t="n">
        <x:v>16.226283512369772</x:v>
      </x:c>
      <x:c r="I24" s="78" t="n">
        <x:v>32.452567024739544</x:v>
      </x:c>
      <x:c r="J24" s="78" t="n">
        <x:v>4.082516930004016</x:v>
      </x:c>
      <x:c r="K24" s="78" t="n">
        <x:v>18.424479886294204</x:v>
      </x:c>
      <x:c r="L24" s="78" t="n">
        <x:v>7.668007669076563</x:v>
      </x:c>
      <x:c r="M24" s="78" t="n">
        <x:v>1</x:v>
      </x:c>
      <x:c r="N24" s="78" t="n">
        <x:v>1.5</x:v>
      </x:c>
      <x:c r="O24" s="78" t="n">
        <x:v>8.668007669076562</x:v>
      </x:c>
      <x:c r="P24" s="78" t="n">
        <x:v>17.336015338153125</x:v>
      </x:c>
      <x:c r="Q24" s="78" t="n">
        <x:v>21.77784162227484</x:v>
      </x:c>
      <x:c r="R24" s="78" t="n">
        <x:v>33.94598474154174</x:v>
      </x:c>
      <x:c r="S24" s="78" t="n">
        <x:v>24.819877402091564</x:v>
      </x:c>
      <x:c r="T24" s="78" t="n">
        <x:v>2.6</x:v>
      </x:c>
      <x:c r="U24" s="78" t="n">
        <x:v>0</x:v>
      </x:c>
      <x:c r="V24" s="78" t="n">
        <x:v>23.519877402091563</x:v>
      </x:c>
      <x:c r="W24" s="78" t="n">
        <x:v>47.039754804183126</x:v>
      </x:c>
      <x:c r="X24" s="78"/>
      <x:c r="Y24" s="78"/>
      <x:c r="Z24" s="78"/>
      <x:c r="AA24" s="78"/>
      <x:c r="AB24" s="78"/>
      <x:c r="AC24" s="78"/>
      <x:c r="AD24" s="78"/>
      <x:c r="AE24" s="54"/>
      <x:c r="AF24" s="54"/>
      <x:c r="AG24" s="54"/>
      <x:c r="AH24" s="54"/>
      <x:c r="AI24" s="54"/>
      <x:c r="AJ24" s="54"/>
      <x:c r="AK24" s="54"/>
      <x:c r="AL24" s="54"/>
      <x:c r="AM24" s="54"/>
      <x:c r="AN24" s="54"/>
      <x:c r="AO24" s="54"/>
      <x:c r="AP24" s="54"/>
      <x:c r="AQ24" s="54"/>
      <x:c r="AR24" s="54"/>
      <x:c r="AS24" s="54"/>
      <x:c r="AT24" s="54"/>
      <x:c r="AU24" s="54"/>
      <x:c r="AV24" s="54"/>
      <x:c r="AW24" s="54"/>
    </x:row>
    <x:row r="25">
      <x:c r="A25" s="54" t="str">
        <x:v>D2</x:v>
      </x:c>
      <x:c r="B25" s="54" t="n">
        <x:v>13</x:v>
      </x:c>
      <x:c r="C25" s="78" t="n">
        <x:v>21.55469807096063</x:v>
      </x:c>
      <x:c r="D25" s="78" t="n">
        <x:v>22.81814079387117</x:v>
      </x:c>
      <x:c r="E25" s="78" t="n">
        <x:v>21.870558751688264</x:v>
      </x:c>
      <x:c r="F25" s="78" t="n">
        <x:v>3</x:v>
      </x:c>
      <x:c r="G25" s="78" t="n">
        <x:v>0</x:v>
      </x:c>
      <x:c r="H25" s="78" t="n">
        <x:v>20.370558751688264</x:v>
      </x:c>
      <x:c r="I25" s="78" t="n">
        <x:v>40.74111750337653</x:v>
      </x:c>
      <x:c r="J25" s="78" t="n">
        <x:v>5.798309441470191</x:v>
      </x:c>
      <x:c r="K25" s="78" t="n">
        <x:v>20.55271159214347</x:v>
      </x:c>
      <x:c r="L25" s="78" t="n">
        <x:v>9.48690997913851</x:v>
      </x:c>
      <x:c r="M25" s="78" t="n">
        <x:v>1</x:v>
      </x:c>
      <x:c r="N25" s="78" t="n">
        <x:v>1.5</x:v>
      </x:c>
      <x:c r="O25" s="78" t="n">
        <x:v>10.48690997913851</x:v>
      </x:c>
      <x:c r="P25" s="78" t="n">
        <x:v>20.97381995827702</x:v>
      </x:c>
      <x:c r="Q25" s="78" t="n">
        <x:v>25.110046132450044</x:v>
      </x:c>
      <x:c r="R25" s="78" t="n">
        <x:v>37.68365435982511</x:v>
      </x:c>
      <x:c r="S25" s="78" t="n">
        <x:v>28.253448189293813</x:v>
      </x:c>
      <x:c r="T25" s="78" t="n">
        <x:v>2.6</x:v>
      </x:c>
      <x:c r="U25" s="78" t="n">
        <x:v>0</x:v>
      </x:c>
      <x:c r="V25" s="78" t="n">
        <x:v>26.953448189293812</x:v>
      </x:c>
      <x:c r="W25" s="78" t="n">
        <x:v>53.906896378587625</x:v>
      </x:c>
      <x:c r="X25" s="78"/>
      <x:c r="Y25" s="78"/>
      <x:c r="Z25" s="78"/>
      <x:c r="AA25" s="78"/>
      <x:c r="AB25" s="78"/>
      <x:c r="AC25" s="78"/>
      <x:c r="AD25" s="78"/>
      <x:c r="AE25" s="54"/>
      <x:c r="AF25" s="54"/>
      <x:c r="AG25" s="54"/>
      <x:c r="AH25" s="54"/>
      <x:c r="AI25" s="54"/>
      <x:c r="AJ25" s="54"/>
      <x:c r="AK25" s="54"/>
      <x:c r="AL25" s="54"/>
      <x:c r="AM25" s="54"/>
      <x:c r="AN25" s="54"/>
      <x:c r="AO25" s="54"/>
      <x:c r="AP25" s="54"/>
      <x:c r="AQ25" s="54"/>
      <x:c r="AR25" s="54"/>
      <x:c r="AS25" s="54"/>
      <x:c r="AT25" s="54"/>
      <x:c r="AU25" s="54"/>
      <x:c r="AV25" s="54"/>
      <x:c r="AW25" s="54"/>
    </x:row>
    <x:row r="26">
      <x:c r="A26" s="54" t="str">
        <x:v>D2</x:v>
      </x:c>
      <x:c r="B26" s="54" t="n">
        <x:v>14</x:v>
      </x:c>
      <x:c r="C26" s="78" t="n">
        <x:v>26.93459542450109</x:v>
      </x:c>
      <x:c r="D26" s="78" t="n">
        <x:v>26.252127998356315</x:v>
      </x:c>
      <x:c r="E26" s="78" t="n">
        <x:v>26.763978567964898</x:v>
      </x:c>
      <x:c r="F26" s="78" t="n">
        <x:v>3</x:v>
      </x:c>
      <x:c r="G26" s="78" t="n">
        <x:v>0</x:v>
      </x:c>
      <x:c r="H26" s="78" t="n">
        <x:v>25.263978567964898</x:v>
      </x:c>
      <x:c r="I26" s="78" t="n">
        <x:v>50.527957135929796</x:v>
      </x:c>
      <x:c r="J26" s="78" t="n">
        <x:v>8.026968873859985</x:v>
      </x:c>
      <x:c r="K26" s="78" t="n">
        <x:v>22.78272599230268</x:v>
      </x:c>
      <x:c r="L26" s="78" t="n">
        <x:v>11.715908153470659</x:v>
      </x:c>
      <x:c r="M26" s="78" t="n">
        <x:v>1</x:v>
      </x:c>
      <x:c r="N26" s="78" t="n">
        <x:v>1.5</x:v>
      </x:c>
      <x:c r="O26" s="78" t="n">
        <x:v>12.715908153470659</x:v>
      </x:c>
      <x:c r="P26" s="78" t="n">
        <x:v>25.431816306941318</x:v>
      </x:c>
      <x:c r="Q26" s="78" t="n">
        <x:v>28.949498445043353</x:v>
      </x:c>
      <x:c r="R26" s="78" t="n">
        <x:v>41.52310667241842</x:v>
      </x:c>
      <x:c r="S26" s="78" t="n">
        <x:v>32.092900501887115</x:v>
      </x:c>
      <x:c r="T26" s="78" t="n">
        <x:v>2.6</x:v>
      </x:c>
      <x:c r="U26" s="78" t="n">
        <x:v>0</x:v>
      </x:c>
      <x:c r="V26" s="78" t="n">
        <x:v>30.792900501887114</x:v>
      </x:c>
      <x:c r="W26" s="78" t="n">
        <x:v>61.58580100377423</x:v>
      </x:c>
      <x:c r="X26" s="78"/>
      <x:c r="Y26" s="78"/>
      <x:c r="Z26" s="78"/>
      <x:c r="AA26" s="78"/>
      <x:c r="AB26" s="78"/>
      <x:c r="AC26" s="78"/>
      <x:c r="AD26" s="78"/>
      <x:c r="AE26" s="54"/>
      <x:c r="AF26" s="54"/>
      <x:c r="AG26" s="54"/>
      <x:c r="AH26" s="54"/>
      <x:c r="AI26" s="54"/>
      <x:c r="AJ26" s="54"/>
      <x:c r="AK26" s="54"/>
      <x:c r="AL26" s="54"/>
      <x:c r="AM26" s="54"/>
      <x:c r="AN26" s="54"/>
      <x:c r="AO26" s="54"/>
      <x:c r="AP26" s="54"/>
      <x:c r="AQ26" s="54"/>
      <x:c r="AR26" s="54"/>
      <x:c r="AS26" s="54"/>
      <x:c r="AT26" s="54"/>
      <x:c r="AU26" s="54"/>
      <x:c r="AV26" s="54"/>
      <x:c r="AW26" s="54"/>
    </x:row>
    <x:row r="27">
      <x:c r="A27" s="54" t="str">
        <x:v>D2</x:v>
      </x:c>
      <x:c r="B27" s="54" t="n">
        <x:v>15</x:v>
      </x:c>
      <x:c r="C27" s="78" t="n">
        <x:v>33.753519489776615</x:v>
      </x:c>
      <x:c r="D27" s="78" t="n">
        <x:v>30.363001862529625</x:v>
      </x:c>
      <x:c r="E27" s="78" t="n">
        <x:v>32.905890082964866</x:v>
      </x:c>
      <x:c r="F27" s="78" t="n">
        <x:v>3</x:v>
      </x:c>
      <x:c r="G27" s="78" t="n">
        <x:v>0</x:v>
      </x:c>
      <x:c r="H27" s="78" t="n">
        <x:v>31.405890082964866</x:v>
      </x:c>
      <x:c r="I27" s="78" t="n">
        <x:v>62.81178016592973</x:v>
      </x:c>
      <x:c r="J27" s="78" t="n">
        <x:v>11.221395408107893</x:v>
      </x:c>
      <x:c r="K27" s="78" t="n">
        <x:v>25.28416194404189</x:v>
      </x:c>
      <x:c r="L27" s="78" t="n">
        <x:v>14.737087042091392</x:v>
      </x:c>
      <x:c r="M27" s="78" t="n">
        <x:v>1</x:v>
      </x:c>
      <x:c r="N27" s="78" t="n">
        <x:v>1.5</x:v>
      </x:c>
      <x:c r="O27" s="78" t="n">
        <x:v>15.737087042091392</x:v>
      </x:c>
      <x:c r="P27" s="78" t="n">
        <x:v>31.474174084182785</x:v>
      </x:c>
      <x:c r="Q27" s="78" t="n">
        <x:v>33.753519489776615</x:v>
      </x:c>
      <x:c r="R27" s="78" t="n">
        <x:v>45.633980536591736</x:v>
      </x:c>
      <x:c r="S27" s="78" t="n">
        <x:v>36.7236347514804</x:v>
      </x:c>
      <x:c r="T27" s="78" t="n">
        <x:v>2.6</x:v>
      </x:c>
      <x:c r="U27" s="78" t="n">
        <x:v>0</x:v>
      </x:c>
      <x:c r="V27" s="78" t="n">
        <x:v>31.405890082964866</x:v>
      </x:c>
      <x:c r="W27" s="78" t="n">
        <x:v>62.81178016592973</x:v>
      </x:c>
      <x:c r="X27" s="78"/>
      <x:c r="Y27" s="78"/>
      <x:c r="Z27" s="78"/>
      <x:c r="AA27" s="78"/>
      <x:c r="AB27" s="78"/>
      <x:c r="AC27" s="78"/>
      <x:c r="AD27" s="78"/>
      <x:c r="AE27" s="54"/>
      <x:c r="AF27" s="54"/>
      <x:c r="AG27" s="54"/>
      <x:c r="AH27" s="54"/>
      <x:c r="AI27" s="54"/>
      <x:c r="AJ27" s="54"/>
      <x:c r="AK27" s="54"/>
      <x:c r="AL27" s="54"/>
      <x:c r="AM27" s="54"/>
      <x:c r="AN27" s="54"/>
      <x:c r="AO27" s="54"/>
      <x:c r="AP27" s="54"/>
      <x:c r="AQ27" s="54"/>
      <x:c r="AR27" s="54"/>
      <x:c r="AS27" s="54"/>
      <x:c r="AT27" s="54"/>
      <x:c r="AU27" s="54"/>
      <x:c r="AV27" s="54"/>
      <x:c r="AW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  <x:c r="AA28" s="54"/>
      <x:c r="AB28" s="54"/>
      <x:c r="AC28" s="54"/>
      <x:c r="AD28" s="54"/>
      <x:c r="AE28" s="54"/>
      <x:c r="AF28" s="54"/>
      <x:c r="AG28" s="54"/>
      <x:c r="AH28" s="54"/>
      <x:c r="AI28" s="54"/>
      <x:c r="AJ28" s="54"/>
      <x:c r="AK28" s="54"/>
      <x:c r="AL28" s="54"/>
      <x:c r="AM28" s="54"/>
      <x:c r="AN28" s="54"/>
      <x:c r="AO28" s="54"/>
      <x:c r="AP28" s="54"/>
      <x:c r="AQ28" s="54"/>
      <x:c r="AR28" s="54"/>
      <x:c r="AS28" s="54"/>
      <x:c r="AT28" s="54"/>
      <x:c r="AU28" s="54"/>
      <x:c r="AV28" s="54"/>
      <x:c r="AW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  <x:c r="AA29" s="54"/>
      <x:c r="AB29" s="54"/>
      <x:c r="AC29" s="54"/>
      <x:c r="AD29" s="54"/>
      <x:c r="AE29" s="54"/>
      <x:c r="AF29" s="54"/>
      <x:c r="AG29" s="54"/>
      <x:c r="AH29" s="54"/>
      <x:c r="AI29" s="54"/>
      <x:c r="AJ29" s="54"/>
      <x:c r="AK29" s="54"/>
      <x:c r="AL29" s="54"/>
      <x:c r="AM29" s="54"/>
      <x:c r="AN29" s="54"/>
      <x:c r="AO29" s="54"/>
      <x:c r="AP29" s="54"/>
      <x:c r="AQ29" s="54"/>
      <x:c r="AR29" s="54"/>
      <x:c r="AS29" s="54"/>
      <x:c r="AT29" s="54"/>
      <x:c r="AU29" s="54"/>
      <x:c r="AV29" s="54"/>
      <x:c r="AW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  <x:c r="AA30" s="54"/>
      <x:c r="AB30" s="54"/>
      <x:c r="AC30" s="54"/>
      <x:c r="AD30" s="54"/>
      <x:c r="AE30" s="54"/>
      <x:c r="AF30" s="54"/>
      <x:c r="AG30" s="54"/>
      <x:c r="AH30" s="54"/>
      <x:c r="AI30" s="54"/>
      <x:c r="AJ30" s="54"/>
      <x:c r="AK30" s="54"/>
      <x:c r="AL30" s="54"/>
      <x:c r="AM30" s="54"/>
      <x:c r="AN30" s="54"/>
      <x:c r="AO30" s="54"/>
      <x:c r="AP30" s="54"/>
      <x:c r="AQ30" s="54"/>
      <x:c r="AR30" s="54"/>
      <x:c r="AS30" s="54"/>
      <x:c r="AT30" s="54"/>
      <x:c r="AU30" s="54"/>
      <x:c r="AV30" s="54"/>
      <x:c r="AW30" s="5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  <x:c r="AA31" s="54"/>
      <x:c r="AB31" s="54"/>
      <x:c r="AC31" s="54"/>
      <x:c r="AD31" s="54"/>
      <x:c r="AE31" s="54"/>
      <x:c r="AF31" s="54"/>
      <x:c r="AG31" s="54"/>
      <x:c r="AH31" s="54"/>
      <x:c r="AI31" s="54"/>
      <x:c r="AJ31" s="54"/>
      <x:c r="AK31" s="54"/>
      <x:c r="AL31" s="54"/>
      <x:c r="AM31" s="54"/>
      <x:c r="AN31" s="54"/>
      <x:c r="AO31" s="54"/>
      <x:c r="AP31" s="54"/>
      <x:c r="AQ31" s="54"/>
      <x:c r="AR31" s="54"/>
      <x:c r="AS31" s="54"/>
      <x:c r="AT31" s="54"/>
      <x:c r="AU31" s="54"/>
      <x:c r="AV31" s="54"/>
      <x:c r="AW31" s="5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  <x:c r="AA32" s="54"/>
      <x:c r="AB32" s="54"/>
      <x:c r="AC32" s="54"/>
      <x:c r="AD32" s="54"/>
      <x:c r="AE32" s="54"/>
      <x:c r="AF32" s="54"/>
      <x:c r="AG32" s="54"/>
      <x:c r="AH32" s="54"/>
      <x:c r="AI32" s="54"/>
      <x:c r="AJ32" s="54"/>
      <x:c r="AK32" s="54"/>
      <x:c r="AL32" s="54"/>
      <x:c r="AM32" s="54"/>
      <x:c r="AN32" s="54"/>
      <x:c r="AO32" s="54"/>
      <x:c r="AP32" s="54"/>
      <x:c r="AQ32" s="54"/>
      <x:c r="AR32" s="54"/>
      <x:c r="AS32" s="54"/>
      <x:c r="AT32" s="54"/>
      <x:c r="AU32" s="54"/>
      <x:c r="AV32" s="54"/>
      <x:c r="AW32" s="5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  <x:c r="AA33" s="54"/>
      <x:c r="AB33" s="54"/>
      <x:c r="AC33" s="54"/>
      <x:c r="AD33" s="54"/>
      <x:c r="AE33" s="54"/>
      <x:c r="AF33" s="54"/>
      <x:c r="AG33" s="54"/>
      <x:c r="AH33" s="54"/>
      <x:c r="AI33" s="54"/>
      <x:c r="AJ33" s="54"/>
      <x:c r="AK33" s="54"/>
      <x:c r="AL33" s="54"/>
      <x:c r="AM33" s="54"/>
      <x:c r="AN33" s="54"/>
      <x:c r="AO33" s="54"/>
      <x:c r="AP33" s="54"/>
      <x:c r="AQ33" s="54"/>
      <x:c r="AR33" s="54"/>
      <x:c r="AS33" s="54"/>
      <x:c r="AT33" s="54"/>
      <x:c r="AU33" s="54"/>
      <x:c r="AV33" s="54"/>
      <x:c r="AW33" s="5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  <x:c r="AA34" s="54"/>
      <x:c r="AB34" s="54"/>
      <x:c r="AC34" s="54"/>
      <x:c r="AD34" s="54"/>
      <x:c r="AE34" s="54"/>
      <x:c r="AF34" s="54"/>
      <x:c r="AG34" s="54"/>
      <x:c r="AH34" s="54"/>
      <x:c r="AI34" s="54"/>
      <x:c r="AJ34" s="54"/>
      <x:c r="AK34" s="54"/>
      <x:c r="AL34" s="54"/>
      <x:c r="AM34" s="54"/>
      <x:c r="AN34" s="54"/>
      <x:c r="AO34" s="54"/>
      <x:c r="AP34" s="54"/>
      <x:c r="AQ34" s="54"/>
      <x:c r="AR34" s="54"/>
      <x:c r="AS34" s="54"/>
      <x:c r="AT34" s="54"/>
      <x:c r="AU34" s="54"/>
      <x:c r="AV34" s="54"/>
      <x:c r="AW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  <x:c r="AA35" s="54"/>
      <x:c r="AB35" s="54"/>
      <x:c r="AC35" s="54"/>
      <x:c r="AD35" s="54"/>
      <x:c r="AE35" s="54"/>
      <x:c r="AF35" s="54"/>
      <x:c r="AG35" s="54"/>
      <x:c r="AH35" s="54"/>
      <x:c r="AI35" s="54"/>
      <x:c r="AJ35" s="54"/>
      <x:c r="AK35" s="54"/>
      <x:c r="AL35" s="54"/>
      <x:c r="AM35" s="54"/>
      <x:c r="AN35" s="54"/>
      <x:c r="AO35" s="54"/>
      <x:c r="AP35" s="54"/>
      <x:c r="AQ35" s="54"/>
      <x:c r="AR35" s="54"/>
      <x:c r="AS35" s="54"/>
      <x:c r="AT35" s="54"/>
      <x:c r="AU35" s="54"/>
      <x:c r="AV35" s="54"/>
      <x:c r="AW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  <x:c r="AA36" s="54"/>
      <x:c r="AB36" s="54"/>
      <x:c r="AC36" s="54"/>
      <x:c r="AD36" s="54"/>
      <x:c r="AE36" s="54"/>
      <x:c r="AF36" s="54"/>
      <x:c r="AG36" s="54"/>
      <x:c r="AH36" s="54"/>
      <x:c r="AI36" s="54"/>
      <x:c r="AJ36" s="54"/>
      <x:c r="AK36" s="54"/>
      <x:c r="AL36" s="54"/>
      <x:c r="AM36" s="54"/>
      <x:c r="AN36" s="54"/>
      <x:c r="AO36" s="54"/>
      <x:c r="AP36" s="54"/>
      <x:c r="AQ36" s="54"/>
      <x:c r="AR36" s="54"/>
      <x:c r="AS36" s="54"/>
      <x:c r="AT36" s="54"/>
      <x:c r="AU36" s="54"/>
      <x:c r="AV36" s="54"/>
      <x:c r="AW36" s="5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  <x:c r="AA37" s="54"/>
      <x:c r="AB37" s="54"/>
      <x:c r="AC37" s="54"/>
      <x:c r="AD37" s="54"/>
      <x:c r="AE37" s="54"/>
      <x:c r="AF37" s="54"/>
      <x:c r="AG37" s="54"/>
      <x:c r="AH37" s="54"/>
      <x:c r="AI37" s="54"/>
      <x:c r="AJ37" s="54"/>
      <x:c r="AK37" s="54"/>
      <x:c r="AL37" s="54"/>
      <x:c r="AM37" s="54"/>
      <x:c r="AN37" s="54"/>
      <x:c r="AO37" s="54"/>
      <x:c r="AP37" s="54"/>
      <x:c r="AQ37" s="54"/>
      <x:c r="AR37" s="54"/>
      <x:c r="AS37" s="54"/>
      <x:c r="AT37" s="54"/>
      <x:c r="AU37" s="54"/>
      <x:c r="AV37" s="54"/>
      <x:c r="AW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  <x:c r="AA38" s="54"/>
      <x:c r="AB38" s="54"/>
      <x:c r="AC38" s="54"/>
      <x:c r="AD38" s="54"/>
      <x:c r="AE38" s="54"/>
      <x:c r="AF38" s="54"/>
      <x:c r="AG38" s="54"/>
      <x:c r="AH38" s="54"/>
      <x:c r="AI38" s="54"/>
      <x:c r="AJ38" s="54"/>
      <x:c r="AK38" s="54"/>
      <x:c r="AL38" s="54"/>
      <x:c r="AM38" s="54"/>
      <x:c r="AN38" s="54"/>
      <x:c r="AO38" s="54"/>
      <x:c r="AP38" s="54"/>
      <x:c r="AQ38" s="54"/>
      <x:c r="AR38" s="54"/>
      <x:c r="AS38" s="54"/>
      <x:c r="AT38" s="54"/>
      <x:c r="AU38" s="54"/>
      <x:c r="AV38" s="54"/>
      <x:c r="AW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  <x:c r="AA39" s="54"/>
      <x:c r="AB39" s="54"/>
      <x:c r="AC39" s="54"/>
      <x:c r="AD39" s="54"/>
      <x:c r="AE39" s="54"/>
      <x:c r="AF39" s="54"/>
      <x:c r="AG39" s="54"/>
      <x:c r="AH39" s="54"/>
      <x:c r="AI39" s="54"/>
      <x:c r="AJ39" s="54"/>
      <x:c r="AK39" s="54"/>
      <x:c r="AL39" s="54"/>
      <x:c r="AM39" s="54"/>
      <x:c r="AN39" s="54"/>
      <x:c r="AO39" s="54"/>
      <x:c r="AP39" s="54"/>
      <x:c r="AQ39" s="54"/>
      <x:c r="AR39" s="54"/>
      <x:c r="AS39" s="54"/>
      <x:c r="AT39" s="54"/>
      <x:c r="AU39" s="54"/>
      <x:c r="AV39" s="54"/>
      <x:c r="AW39" s="5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  <x:c r="AA40" s="54"/>
      <x:c r="AB40" s="54"/>
      <x:c r="AC40" s="54"/>
      <x:c r="AD40" s="54"/>
      <x:c r="AE40" s="54"/>
      <x:c r="AF40" s="54"/>
      <x:c r="AG40" s="54"/>
      <x:c r="AH40" s="54"/>
      <x:c r="AI40" s="54"/>
      <x:c r="AJ40" s="54"/>
      <x:c r="AK40" s="54"/>
      <x:c r="AL40" s="54"/>
      <x:c r="AM40" s="54"/>
      <x:c r="AN40" s="54"/>
      <x:c r="AO40" s="54"/>
      <x:c r="AP40" s="54"/>
      <x:c r="AQ40" s="54"/>
      <x:c r="AR40" s="54"/>
      <x:c r="AS40" s="54"/>
      <x:c r="AT40" s="54"/>
      <x:c r="AU40" s="54"/>
      <x:c r="AV40" s="54"/>
      <x:c r="AW40" s="54"/>
    </x:row>
    <x:row r="41">
      <x:c r="A41" s="54"/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  <x:c r="AA41" s="54"/>
      <x:c r="AB41" s="54"/>
      <x:c r="AC41" s="54"/>
      <x:c r="AD41" s="54"/>
      <x:c r="AE41" s="54"/>
      <x:c r="AF41" s="54"/>
      <x:c r="AG41" s="54"/>
      <x:c r="AH41" s="54"/>
      <x:c r="AI41" s="54"/>
      <x:c r="AJ41" s="54"/>
      <x:c r="AK41" s="54"/>
      <x:c r="AL41" s="54"/>
      <x:c r="AM41" s="54"/>
      <x:c r="AN41" s="54"/>
      <x:c r="AO41" s="54"/>
      <x:c r="AP41" s="54"/>
      <x:c r="AQ41" s="54"/>
      <x:c r="AR41" s="54"/>
      <x:c r="AS41" s="54"/>
      <x:c r="AT41" s="54"/>
      <x:c r="AU41" s="54"/>
      <x:c r="AV41" s="54"/>
      <x:c r="AW41" s="54"/>
    </x:row>
    <x:row r="42">
      <x:c r="A42" s="54"/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  <x:c r="AA42" s="54"/>
      <x:c r="AB42" s="54"/>
      <x:c r="AC42" s="54"/>
      <x:c r="AD42" s="54"/>
      <x:c r="AE42" s="54"/>
      <x:c r="AF42" s="54"/>
      <x:c r="AG42" s="54"/>
      <x:c r="AH42" s="54"/>
      <x:c r="AI42" s="54"/>
      <x:c r="AJ42" s="54"/>
      <x:c r="AK42" s="54"/>
      <x:c r="AL42" s="54"/>
      <x:c r="AM42" s="54"/>
      <x:c r="AN42" s="54"/>
      <x:c r="AO42" s="54"/>
      <x:c r="AP42" s="54"/>
      <x:c r="AQ42" s="54"/>
      <x:c r="AR42" s="54"/>
      <x:c r="AS42" s="54"/>
      <x:c r="AT42" s="54"/>
      <x:c r="AU42" s="54"/>
      <x:c r="AV42" s="54"/>
      <x:c r="AW42" s="54"/>
    </x:row>
    <x:row r="43">
      <x:c r="A43" s="54"/>
      <x:c r="B43" s="54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  <x:c r="AA43" s="54"/>
      <x:c r="AB43" s="54"/>
      <x:c r="AC43" s="54"/>
      <x:c r="AD43" s="54"/>
      <x:c r="AE43" s="54"/>
      <x:c r="AF43" s="54"/>
      <x:c r="AG43" s="54"/>
      <x:c r="AH43" s="54"/>
      <x:c r="AI43" s="54"/>
      <x:c r="AJ43" s="54"/>
      <x:c r="AK43" s="54"/>
      <x:c r="AL43" s="54"/>
      <x:c r="AM43" s="54"/>
      <x:c r="AN43" s="54"/>
      <x:c r="AO43" s="54"/>
      <x:c r="AP43" s="54"/>
      <x:c r="AQ43" s="54"/>
      <x:c r="AR43" s="54"/>
      <x:c r="AS43" s="54"/>
      <x:c r="AT43" s="54"/>
      <x:c r="AU43" s="54"/>
      <x:c r="AV43" s="54"/>
      <x:c r="AW43" s="54"/>
    </x:row>
    <x:row r="44">
      <x:c r="A44" s="54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  <x:c r="AA44" s="54"/>
      <x:c r="AB44" s="54"/>
      <x:c r="AC44" s="54"/>
      <x:c r="AD44" s="54"/>
      <x:c r="AE44" s="54"/>
      <x:c r="AF44" s="54"/>
      <x:c r="AG44" s="54"/>
      <x:c r="AH44" s="54"/>
      <x:c r="AI44" s="54"/>
      <x:c r="AJ44" s="54"/>
      <x:c r="AK44" s="54"/>
      <x:c r="AL44" s="54"/>
      <x:c r="AM44" s="54"/>
      <x:c r="AN44" s="54"/>
      <x:c r="AO44" s="54"/>
      <x:c r="AP44" s="54"/>
      <x:c r="AQ44" s="54"/>
      <x:c r="AR44" s="54"/>
      <x:c r="AS44" s="54"/>
      <x:c r="AT44" s="54"/>
      <x:c r="AU44" s="54"/>
      <x:c r="AV44" s="54"/>
      <x:c r="AW44" s="54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  <x:c r="AA45" s="54"/>
      <x:c r="AB45" s="54"/>
      <x:c r="AC45" s="54"/>
      <x:c r="AD45" s="54"/>
      <x:c r="AE45" s="54"/>
      <x:c r="AF45" s="54"/>
      <x:c r="AG45" s="54"/>
      <x:c r="AH45" s="54"/>
      <x:c r="AI45" s="54"/>
      <x:c r="AJ45" s="54"/>
      <x:c r="AK45" s="54"/>
      <x:c r="AL45" s="54"/>
      <x:c r="AM45" s="54"/>
      <x:c r="AN45" s="54"/>
      <x:c r="AO45" s="54"/>
      <x:c r="AP45" s="54"/>
      <x:c r="AQ45" s="54"/>
      <x:c r="AR45" s="54"/>
      <x:c r="AS45" s="54"/>
      <x:c r="AT45" s="54"/>
      <x:c r="AU45" s="54"/>
      <x:c r="AV45" s="54"/>
      <x:c r="AW45" s="54"/>
    </x:row>
    <x:row r="46">
      <x:c r="A46" s="54"/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  <x:c r="AA46" s="54"/>
      <x:c r="AB46" s="54"/>
      <x:c r="AC46" s="54"/>
      <x:c r="AD46" s="54"/>
      <x:c r="AE46" s="54"/>
      <x:c r="AF46" s="54"/>
      <x:c r="AG46" s="54"/>
      <x:c r="AH46" s="54"/>
      <x:c r="AI46" s="54"/>
      <x:c r="AJ46" s="54"/>
      <x:c r="AK46" s="54"/>
      <x:c r="AL46" s="54"/>
      <x:c r="AM46" s="54"/>
      <x:c r="AN46" s="54"/>
      <x:c r="AO46" s="54"/>
      <x:c r="AP46" s="54"/>
      <x:c r="AQ46" s="54"/>
      <x:c r="AR46" s="54"/>
      <x:c r="AS46" s="54"/>
      <x:c r="AT46" s="54"/>
      <x:c r="AU46" s="54"/>
      <x:c r="AV46" s="54"/>
      <x:c r="AW46" s="54"/>
    </x:row>
    <x:row r="47">
      <x:c r="A47" s="54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  <x:c r="AA47" s="54"/>
      <x:c r="AB47" s="54"/>
      <x:c r="AC47" s="54"/>
      <x:c r="AD47" s="54"/>
      <x:c r="AE47" s="54"/>
      <x:c r="AF47" s="54"/>
      <x:c r="AG47" s="54"/>
      <x:c r="AH47" s="54"/>
      <x:c r="AI47" s="54"/>
      <x:c r="AJ47" s="54"/>
      <x:c r="AK47" s="54"/>
      <x:c r="AL47" s="54"/>
      <x:c r="AM47" s="54"/>
      <x:c r="AN47" s="54"/>
      <x:c r="AO47" s="54"/>
      <x:c r="AP47" s="54"/>
      <x:c r="AQ47" s="54"/>
      <x:c r="AR47" s="54"/>
      <x:c r="AS47" s="54"/>
      <x:c r="AT47" s="54"/>
      <x:c r="AU47" s="54"/>
      <x:c r="AV47" s="54"/>
      <x:c r="AW47" s="54"/>
    </x:row>
    <x:row r="48">
      <x:c r="A48" s="54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  <x:c r="AA48" s="54"/>
      <x:c r="AB48" s="54"/>
      <x:c r="AC48" s="54"/>
      <x:c r="AD48" s="54"/>
      <x:c r="AE48" s="54"/>
      <x:c r="AF48" s="54"/>
      <x:c r="AG48" s="54"/>
      <x:c r="AH48" s="54"/>
      <x:c r="AI48" s="54"/>
      <x:c r="AJ48" s="54"/>
      <x:c r="AK48" s="54"/>
      <x:c r="AL48" s="54"/>
      <x:c r="AM48" s="54"/>
      <x:c r="AN48" s="54"/>
      <x:c r="AO48" s="54"/>
      <x:c r="AP48" s="54"/>
      <x:c r="AQ48" s="54"/>
      <x:c r="AR48" s="54"/>
      <x:c r="AS48" s="54"/>
      <x:c r="AT48" s="54"/>
      <x:c r="AU48" s="54"/>
      <x:c r="AV48" s="54"/>
      <x:c r="AW48" s="54"/>
    </x:row>
    <x:row r="49">
      <x:c r="A49" s="54"/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  <x:c r="AA49" s="54"/>
      <x:c r="AB49" s="54"/>
      <x:c r="AC49" s="54"/>
      <x:c r="AD49" s="54"/>
      <x:c r="AE49" s="54"/>
      <x:c r="AF49" s="54"/>
      <x:c r="AG49" s="54"/>
      <x:c r="AH49" s="54"/>
      <x:c r="AI49" s="54"/>
      <x:c r="AJ49" s="54"/>
      <x:c r="AK49" s="54"/>
      <x:c r="AL49" s="54"/>
      <x:c r="AM49" s="54"/>
      <x:c r="AN49" s="54"/>
      <x:c r="AO49" s="54"/>
      <x:c r="AP49" s="54"/>
      <x:c r="AQ49" s="54"/>
      <x:c r="AR49" s="54"/>
      <x:c r="AS49" s="54"/>
      <x:c r="AT49" s="54"/>
      <x:c r="AU49" s="54"/>
      <x:c r="AV49" s="54"/>
      <x:c r="AW49" s="54"/>
    </x:row>
    <x:row r="50">
      <x:c r="A50" s="54"/>
      <x:c r="B50" s="54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  <x:c r="AA50" s="54"/>
      <x:c r="AB50" s="54"/>
      <x:c r="AC50" s="54"/>
      <x:c r="AD50" s="54"/>
      <x:c r="AE50" s="54"/>
      <x:c r="AF50" s="54"/>
      <x:c r="AG50" s="54"/>
      <x:c r="AH50" s="54"/>
      <x:c r="AI50" s="54"/>
      <x:c r="AJ50" s="54"/>
      <x:c r="AK50" s="54"/>
      <x:c r="AL50" s="54"/>
      <x:c r="AM50" s="54"/>
      <x:c r="AN50" s="54"/>
      <x:c r="AO50" s="54"/>
      <x:c r="AP50" s="54"/>
      <x:c r="AQ50" s="54"/>
      <x:c r="AR50" s="54"/>
      <x:c r="AS50" s="54"/>
      <x:c r="AT50" s="54"/>
      <x:c r="AU50" s="54"/>
      <x:c r="AV50" s="54"/>
      <x:c r="AW50" s="54"/>
    </x:row>
    <x:row r="51">
      <x:c r="A51" s="54"/>
      <x:c r="B51" s="54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  <x:c r="AA51" s="54"/>
      <x:c r="AB51" s="54"/>
      <x:c r="AC51" s="54"/>
      <x:c r="AD51" s="54"/>
      <x:c r="AE51" s="54"/>
      <x:c r="AF51" s="54"/>
      <x:c r="AG51" s="54"/>
      <x:c r="AH51" s="54"/>
      <x:c r="AI51" s="54"/>
      <x:c r="AJ51" s="54"/>
      <x:c r="AK51" s="54"/>
      <x:c r="AL51" s="54"/>
      <x:c r="AM51" s="54"/>
      <x:c r="AN51" s="54"/>
      <x:c r="AO51" s="54"/>
      <x:c r="AP51" s="54"/>
      <x:c r="AQ51" s="54"/>
      <x:c r="AR51" s="54"/>
      <x:c r="AS51" s="54"/>
      <x:c r="AT51" s="54"/>
      <x:c r="AU51" s="54"/>
      <x:c r="AV51" s="54"/>
      <x:c r="AW51" s="54"/>
    </x:row>
    <x:row r="52">
      <x:c r="A52" s="54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  <x:c r="AA52" s="54"/>
      <x:c r="AB52" s="54"/>
      <x:c r="AC52" s="54"/>
      <x:c r="AD52" s="54"/>
      <x:c r="AE52" s="54"/>
      <x:c r="AF52" s="54"/>
      <x:c r="AG52" s="54"/>
      <x:c r="AH52" s="54"/>
      <x:c r="AI52" s="54"/>
      <x:c r="AJ52" s="54"/>
      <x:c r="AK52" s="54"/>
      <x:c r="AL52" s="54"/>
      <x:c r="AM52" s="54"/>
      <x:c r="AN52" s="54"/>
      <x:c r="AO52" s="54"/>
      <x:c r="AP52" s="54"/>
      <x:c r="AQ52" s="54"/>
      <x:c r="AR52" s="54"/>
      <x:c r="AS52" s="54"/>
      <x:c r="AT52" s="54"/>
      <x:c r="AU52" s="54"/>
      <x:c r="AV52" s="54"/>
      <x:c r="AW52" s="54"/>
    </x:row>
    <x:row r="53">
      <x:c r="A53" s="54"/>
      <x:c r="B53" s="54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  <x:c r="AA53" s="54"/>
      <x:c r="AB53" s="54"/>
      <x:c r="AC53" s="54"/>
      <x:c r="AD53" s="54"/>
      <x:c r="AE53" s="54"/>
      <x:c r="AF53" s="54"/>
      <x:c r="AG53" s="54"/>
      <x:c r="AH53" s="54"/>
      <x:c r="AI53" s="54"/>
      <x:c r="AJ53" s="54"/>
      <x:c r="AK53" s="54"/>
      <x:c r="AL53" s="54"/>
      <x:c r="AM53" s="54"/>
      <x:c r="AN53" s="54"/>
      <x:c r="AO53" s="54"/>
      <x:c r="AP53" s="54"/>
      <x:c r="AQ53" s="54"/>
      <x:c r="AR53" s="54"/>
      <x:c r="AS53" s="54"/>
      <x:c r="AT53" s="54"/>
      <x:c r="AU53" s="54"/>
      <x:c r="AV53" s="54"/>
      <x:c r="AW53" s="54"/>
    </x:row>
    <x:row r="54">
      <x:c r="A54" s="54"/>
      <x:c r="B54" s="54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  <x:c r="AA54" s="54"/>
      <x:c r="AB54" s="54"/>
      <x:c r="AC54" s="54"/>
      <x:c r="AD54" s="54"/>
      <x:c r="AE54" s="54"/>
      <x:c r="AF54" s="54"/>
      <x:c r="AG54" s="54"/>
      <x:c r="AH54" s="54"/>
      <x:c r="AI54" s="54"/>
      <x:c r="AJ54" s="54"/>
      <x:c r="AK54" s="54"/>
      <x:c r="AL54" s="54"/>
      <x:c r="AM54" s="54"/>
      <x:c r="AN54" s="54"/>
      <x:c r="AO54" s="54"/>
      <x:c r="AP54" s="54"/>
      <x:c r="AQ54" s="54"/>
      <x:c r="AR54" s="54"/>
      <x:c r="AS54" s="54"/>
      <x:c r="AT54" s="54"/>
      <x:c r="AU54" s="54"/>
      <x:c r="AV54" s="54"/>
      <x:c r="AW54" s="54"/>
    </x:row>
    <x:row r="55">
      <x:c r="A55" s="54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  <x:c r="AA55" s="54"/>
      <x:c r="AB55" s="54"/>
      <x:c r="AC55" s="54"/>
      <x:c r="AD55" s="54"/>
      <x:c r="AE55" s="54"/>
      <x:c r="AF55" s="54"/>
      <x:c r="AG55" s="54"/>
      <x:c r="AH55" s="54"/>
      <x:c r="AI55" s="54"/>
      <x:c r="AJ55" s="54"/>
      <x:c r="AK55" s="54"/>
      <x:c r="AL55" s="54"/>
      <x:c r="AM55" s="54"/>
      <x:c r="AN55" s="54"/>
      <x:c r="AO55" s="54"/>
      <x:c r="AP55" s="54"/>
      <x:c r="AQ55" s="54"/>
      <x:c r="AR55" s="54"/>
      <x:c r="AS55" s="54"/>
      <x:c r="AT55" s="54"/>
      <x:c r="AU55" s="54"/>
      <x:c r="AV55" s="54"/>
      <x:c r="AW55" s="54"/>
    </x:row>
    <x:row r="56">
      <x:c r="A56" s="54"/>
      <x:c r="B56" s="54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  <x:c r="AA56" s="54"/>
      <x:c r="AB56" s="54"/>
      <x:c r="AC56" s="54"/>
      <x:c r="AD56" s="54"/>
      <x:c r="AE56" s="54"/>
      <x:c r="AF56" s="54"/>
      <x:c r="AG56" s="54"/>
      <x:c r="AH56" s="54"/>
      <x:c r="AI56" s="54"/>
      <x:c r="AJ56" s="54"/>
      <x:c r="AK56" s="54"/>
      <x:c r="AL56" s="54"/>
      <x:c r="AM56" s="54"/>
      <x:c r="AN56" s="54"/>
      <x:c r="AO56" s="54"/>
      <x:c r="AP56" s="54"/>
      <x:c r="AQ56" s="54"/>
      <x:c r="AR56" s="54"/>
      <x:c r="AS56" s="54"/>
      <x:c r="AT56" s="54"/>
      <x:c r="AU56" s="54"/>
      <x:c r="AV56" s="54"/>
      <x:c r="AW56" s="54"/>
    </x:row>
    <x:row r="57">
      <x:c r="A57" s="54"/>
      <x:c r="B57" s="54"/>
      <x:c r="C57" s="54"/>
      <x:c r="D57" s="54"/>
      <x:c r="E57" s="54"/>
      <x:c r="F57" s="54"/>
      <x:c r="G57" s="54"/>
      <x:c r="H57" s="54"/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  <x:c r="AA57" s="54"/>
      <x:c r="AB57" s="54"/>
      <x:c r="AC57" s="54"/>
      <x:c r="AD57" s="54"/>
      <x:c r="AE57" s="54"/>
      <x:c r="AF57" s="54"/>
      <x:c r="AG57" s="54"/>
      <x:c r="AH57" s="54"/>
      <x:c r="AI57" s="54"/>
      <x:c r="AJ57" s="54"/>
      <x:c r="AK57" s="54"/>
      <x:c r="AL57" s="54"/>
      <x:c r="AM57" s="54"/>
      <x:c r="AN57" s="54"/>
      <x:c r="AO57" s="54"/>
      <x:c r="AP57" s="54"/>
      <x:c r="AQ57" s="54"/>
      <x:c r="AR57" s="54"/>
      <x:c r="AS57" s="54"/>
      <x:c r="AT57" s="54"/>
      <x:c r="AU57" s="54"/>
      <x:c r="AV57" s="54"/>
      <x:c r="AW57" s="54"/>
    </x:row>
    <x:row r="58">
      <x:c r="A58" s="54"/>
      <x:c r="B58" s="54"/>
      <x:c r="C58" s="54"/>
      <x:c r="D58" s="54"/>
      <x:c r="E58" s="54"/>
      <x:c r="F58" s="54"/>
      <x:c r="G58" s="54"/>
      <x:c r="H58" s="54"/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  <x:c r="AA58" s="54"/>
      <x:c r="AB58" s="54"/>
      <x:c r="AC58" s="54"/>
      <x:c r="AD58" s="54"/>
      <x:c r="AE58" s="54"/>
      <x:c r="AF58" s="54"/>
      <x:c r="AG58" s="54"/>
      <x:c r="AH58" s="54"/>
      <x:c r="AI58" s="54"/>
      <x:c r="AJ58" s="54"/>
      <x:c r="AK58" s="54"/>
      <x:c r="AL58" s="54"/>
      <x:c r="AM58" s="54"/>
      <x:c r="AN58" s="54"/>
      <x:c r="AO58" s="54"/>
      <x:c r="AP58" s="54"/>
      <x:c r="AQ58" s="54"/>
      <x:c r="AR58" s="54"/>
      <x:c r="AS58" s="54"/>
      <x:c r="AT58" s="54"/>
      <x:c r="AU58" s="54"/>
      <x:c r="AV58" s="54"/>
      <x:c r="AW58" s="54"/>
    </x:row>
    <x:row r="59">
      <x:c r="A59" s="54"/>
      <x:c r="B59" s="54"/>
      <x:c r="C59" s="54"/>
      <x:c r="D59" s="54"/>
      <x:c r="E59" s="54"/>
      <x:c r="F59" s="54"/>
      <x:c r="G59" s="54"/>
      <x:c r="H59" s="54"/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  <x:c r="AA59" s="54"/>
      <x:c r="AB59" s="54"/>
      <x:c r="AC59" s="54"/>
      <x:c r="AD59" s="54"/>
      <x:c r="AE59" s="54"/>
      <x:c r="AF59" s="54"/>
      <x:c r="AG59" s="54"/>
      <x:c r="AH59" s="54"/>
      <x:c r="AI59" s="54"/>
      <x:c r="AJ59" s="54"/>
      <x:c r="AK59" s="54"/>
      <x:c r="AL59" s="54"/>
      <x:c r="AM59" s="54"/>
      <x:c r="AN59" s="54"/>
      <x:c r="AO59" s="54"/>
      <x:c r="AP59" s="54"/>
      <x:c r="AQ59" s="54"/>
      <x:c r="AR59" s="54"/>
      <x:c r="AS59" s="54"/>
      <x:c r="AT59" s="54"/>
      <x:c r="AU59" s="54"/>
      <x:c r="AV59" s="54"/>
      <x:c r="AW59" s="54"/>
    </x:row>
    <x:row r="60">
      <x:c r="A60" s="54"/>
      <x:c r="B60" s="54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  <x:c r="AA60" s="54"/>
      <x:c r="AB60" s="54"/>
      <x:c r="AC60" s="54"/>
      <x:c r="AD60" s="54"/>
      <x:c r="AE60" s="54"/>
      <x:c r="AF60" s="54"/>
      <x:c r="AG60" s="54"/>
      <x:c r="AH60" s="54"/>
      <x:c r="AI60" s="54"/>
      <x:c r="AJ60" s="54"/>
      <x:c r="AK60" s="54"/>
      <x:c r="AL60" s="54"/>
      <x:c r="AM60" s="54"/>
      <x:c r="AN60" s="54"/>
      <x:c r="AO60" s="54"/>
      <x:c r="AP60" s="54"/>
      <x:c r="AQ60" s="54"/>
      <x:c r="AR60" s="54"/>
      <x:c r="AS60" s="54"/>
      <x:c r="AT60" s="54"/>
      <x:c r="AU60" s="54"/>
      <x:c r="AV60" s="54"/>
      <x:c r="AW60" s="54"/>
    </x:row>
    <x:row r="61">
      <x:c r="A61" s="54"/>
      <x:c r="B61" s="54"/>
      <x:c r="C61" s="54"/>
      <x:c r="D61" s="54"/>
      <x:c r="E61" s="54"/>
      <x:c r="F61" s="54"/>
      <x:c r="G61" s="54"/>
      <x:c r="H61" s="54"/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  <x:c r="AA61" s="54"/>
      <x:c r="AB61" s="54"/>
      <x:c r="AC61" s="54"/>
      <x:c r="AD61" s="54"/>
      <x:c r="AE61" s="54"/>
      <x:c r="AF61" s="54"/>
      <x:c r="AG61" s="54"/>
      <x:c r="AH61" s="54"/>
      <x:c r="AI61" s="54"/>
      <x:c r="AJ61" s="54"/>
      <x:c r="AK61" s="54"/>
      <x:c r="AL61" s="54"/>
      <x:c r="AM61" s="54"/>
      <x:c r="AN61" s="54"/>
      <x:c r="AO61" s="54"/>
      <x:c r="AP61" s="54"/>
      <x:c r="AQ61" s="54"/>
      <x:c r="AR61" s="54"/>
      <x:c r="AS61" s="54"/>
      <x:c r="AT61" s="54"/>
      <x:c r="AU61" s="54"/>
      <x:c r="AV61" s="54"/>
      <x:c r="AW61" s="54"/>
    </x:row>
    <x:row r="62">
      <x:c r="A62" s="54"/>
      <x:c r="B62" s="54"/>
      <x:c r="C62" s="54"/>
      <x:c r="D62" s="54"/>
      <x:c r="E62" s="54"/>
      <x:c r="F62" s="54"/>
      <x:c r="G62" s="54"/>
      <x:c r="H62" s="54"/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  <x:c r="AA62" s="54"/>
      <x:c r="AB62" s="54"/>
      <x:c r="AC62" s="54"/>
      <x:c r="AD62" s="54"/>
      <x:c r="AE62" s="54"/>
      <x:c r="AF62" s="54"/>
      <x:c r="AG62" s="54"/>
      <x:c r="AH62" s="54"/>
      <x:c r="AI62" s="54"/>
      <x:c r="AJ62" s="54"/>
      <x:c r="AK62" s="54"/>
      <x:c r="AL62" s="54"/>
      <x:c r="AM62" s="54"/>
      <x:c r="AN62" s="54"/>
      <x:c r="AO62" s="54"/>
      <x:c r="AP62" s="54"/>
      <x:c r="AQ62" s="54"/>
      <x:c r="AR62" s="54"/>
      <x:c r="AS62" s="54"/>
      <x:c r="AT62" s="54"/>
      <x:c r="AU62" s="54"/>
      <x:c r="AV62" s="54"/>
      <x:c r="AW62" s="54"/>
    </x:row>
    <x:row r="63">
      <x:c r="A63" s="54"/>
      <x:c r="B63" s="54"/>
      <x:c r="C63" s="54"/>
      <x:c r="D63" s="54"/>
      <x:c r="E63" s="54"/>
      <x:c r="F63" s="54"/>
      <x:c r="G63" s="54"/>
      <x:c r="H63" s="54"/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  <x:c r="AA63" s="54"/>
      <x:c r="AB63" s="54"/>
      <x:c r="AC63" s="54"/>
      <x:c r="AD63" s="54"/>
      <x:c r="AE63" s="54"/>
      <x:c r="AF63" s="54"/>
      <x:c r="AG63" s="54"/>
      <x:c r="AH63" s="54"/>
      <x:c r="AI63" s="54"/>
      <x:c r="AJ63" s="54"/>
      <x:c r="AK63" s="54"/>
      <x:c r="AL63" s="54"/>
      <x:c r="AM63" s="54"/>
      <x:c r="AN63" s="54"/>
      <x:c r="AO63" s="54"/>
      <x:c r="AP63" s="54"/>
      <x:c r="AQ63" s="54"/>
      <x:c r="AR63" s="54"/>
      <x:c r="AS63" s="54"/>
      <x:c r="AT63" s="54"/>
      <x:c r="AU63" s="54"/>
      <x:c r="AV63" s="54"/>
      <x:c r="AW63" s="54"/>
    </x:row>
    <x:row r="64">
      <x:c r="A64" s="54"/>
      <x:c r="B64" s="54"/>
      <x:c r="C64" s="54"/>
      <x:c r="D64" s="54"/>
      <x:c r="E64" s="54"/>
      <x:c r="F64" s="54"/>
      <x:c r="G64" s="54"/>
      <x:c r="H64" s="54"/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  <x:c r="AA64" s="54"/>
      <x:c r="AB64" s="54"/>
      <x:c r="AC64" s="54"/>
      <x:c r="AD64" s="54"/>
      <x:c r="AE64" s="54"/>
      <x:c r="AF64" s="54"/>
      <x:c r="AG64" s="54"/>
      <x:c r="AH64" s="54"/>
      <x:c r="AI64" s="54"/>
      <x:c r="AJ64" s="54"/>
      <x:c r="AK64" s="54"/>
      <x:c r="AL64" s="54"/>
      <x:c r="AM64" s="54"/>
      <x:c r="AN64" s="54"/>
      <x:c r="AO64" s="54"/>
      <x:c r="AP64" s="54"/>
      <x:c r="AQ64" s="54"/>
      <x:c r="AR64" s="54"/>
      <x:c r="AS64" s="54"/>
      <x:c r="AT64" s="54"/>
      <x:c r="AU64" s="54"/>
      <x:c r="AV64" s="54"/>
      <x:c r="AW64" s="54"/>
    </x:row>
    <x:row r="65">
      <x:c r="A65" s="54"/>
      <x:c r="B65" s="54"/>
      <x:c r="C65" s="54"/>
      <x:c r="D65" s="54"/>
      <x:c r="E65" s="54"/>
      <x:c r="F65" s="54"/>
      <x:c r="G65" s="54"/>
      <x:c r="H65" s="54"/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  <x:c r="AA65" s="54"/>
      <x:c r="AB65" s="54"/>
      <x:c r="AC65" s="54"/>
      <x:c r="AD65" s="54"/>
      <x:c r="AE65" s="54"/>
      <x:c r="AF65" s="54"/>
      <x:c r="AG65" s="54"/>
      <x:c r="AH65" s="54"/>
      <x:c r="AI65" s="54"/>
      <x:c r="AJ65" s="54"/>
      <x:c r="AK65" s="54"/>
      <x:c r="AL65" s="54"/>
      <x:c r="AM65" s="54"/>
      <x:c r="AN65" s="54"/>
      <x:c r="AO65" s="54"/>
      <x:c r="AP65" s="54"/>
      <x:c r="AQ65" s="54"/>
      <x:c r="AR65" s="54"/>
      <x:c r="AS65" s="54"/>
      <x:c r="AT65" s="54"/>
      <x:c r="AU65" s="54"/>
      <x:c r="AV65" s="54"/>
      <x:c r="AW65" s="54"/>
    </x:row>
    <x:row r="66">
      <x:c r="A66" s="54"/>
      <x:c r="B66" s="54"/>
      <x:c r="C66" s="54"/>
      <x:c r="D66" s="54"/>
      <x:c r="E66" s="54"/>
      <x:c r="F66" s="54"/>
      <x:c r="G66" s="54"/>
      <x:c r="H66" s="54"/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  <x:c r="AA66" s="54"/>
      <x:c r="AB66" s="54"/>
      <x:c r="AC66" s="54"/>
      <x:c r="AD66" s="54"/>
      <x:c r="AE66" s="54"/>
      <x:c r="AF66" s="54"/>
      <x:c r="AG66" s="54"/>
      <x:c r="AH66" s="54"/>
      <x:c r="AI66" s="54"/>
      <x:c r="AJ66" s="54"/>
      <x:c r="AK66" s="54"/>
      <x:c r="AL66" s="54"/>
      <x:c r="AM66" s="54"/>
      <x:c r="AN66" s="54"/>
      <x:c r="AO66" s="54"/>
      <x:c r="AP66" s="54"/>
      <x:c r="AQ66" s="54"/>
      <x:c r="AR66" s="54"/>
      <x:c r="AS66" s="54"/>
      <x:c r="AT66" s="54"/>
      <x:c r="AU66" s="54"/>
      <x:c r="AV66" s="54"/>
      <x:c r="AW66" s="54"/>
    </x:row>
    <x:row r="67">
      <x:c r="A67" s="54"/>
      <x:c r="B67" s="54"/>
      <x:c r="C67" s="54"/>
      <x:c r="D67" s="54"/>
      <x:c r="E67" s="54"/>
      <x:c r="F67" s="54"/>
      <x:c r="G67" s="54"/>
      <x:c r="H67" s="54"/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  <x:c r="AA67" s="54"/>
      <x:c r="AB67" s="54"/>
      <x:c r="AC67" s="54"/>
      <x:c r="AD67" s="54"/>
      <x:c r="AE67" s="54"/>
      <x:c r="AF67" s="54"/>
      <x:c r="AG67" s="54"/>
      <x:c r="AH67" s="54"/>
      <x:c r="AI67" s="54"/>
      <x:c r="AJ67" s="54"/>
      <x:c r="AK67" s="54"/>
      <x:c r="AL67" s="54"/>
      <x:c r="AM67" s="54"/>
      <x:c r="AN67" s="54"/>
      <x:c r="AO67" s="54"/>
      <x:c r="AP67" s="54"/>
      <x:c r="AQ67" s="54"/>
      <x:c r="AR67" s="54"/>
      <x:c r="AS67" s="54"/>
      <x:c r="AT67" s="54"/>
      <x:c r="AU67" s="54"/>
      <x:c r="AV67" s="54"/>
      <x:c r="AW67" s="54"/>
    </x:row>
    <x:row r="68">
      <x:c r="A68" s="54"/>
      <x:c r="B68" s="54"/>
      <x:c r="C68" s="54"/>
      <x:c r="D68" s="54"/>
      <x:c r="E68" s="54"/>
      <x:c r="F68" s="54"/>
      <x:c r="G68" s="54"/>
      <x:c r="H68" s="54"/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  <x:c r="AA68" s="54"/>
      <x:c r="AB68" s="54"/>
      <x:c r="AC68" s="54"/>
      <x:c r="AD68" s="54"/>
      <x:c r="AE68" s="54"/>
      <x:c r="AF68" s="54"/>
      <x:c r="AG68" s="54"/>
      <x:c r="AH68" s="54"/>
      <x:c r="AI68" s="54"/>
      <x:c r="AJ68" s="54"/>
      <x:c r="AK68" s="54"/>
      <x:c r="AL68" s="54"/>
      <x:c r="AM68" s="54"/>
      <x:c r="AN68" s="54"/>
      <x:c r="AO68" s="54"/>
      <x:c r="AP68" s="54"/>
      <x:c r="AQ68" s="54"/>
      <x:c r="AR68" s="54"/>
      <x:c r="AS68" s="54"/>
      <x:c r="AT68" s="54"/>
      <x:c r="AU68" s="54"/>
      <x:c r="AV68" s="54"/>
      <x:c r="AW68" s="54"/>
    </x:row>
    <x:row r="69">
      <x:c r="A69" s="54"/>
      <x:c r="B69" s="54"/>
      <x:c r="C69" s="54"/>
      <x:c r="D69" s="54"/>
      <x:c r="E69" s="54"/>
      <x:c r="F69" s="54"/>
      <x:c r="G69" s="54"/>
      <x:c r="H69" s="54"/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  <x:c r="AA69" s="54"/>
      <x:c r="AB69" s="54"/>
      <x:c r="AC69" s="54"/>
      <x:c r="AD69" s="54"/>
      <x:c r="AE69" s="54"/>
      <x:c r="AF69" s="54"/>
      <x:c r="AG69" s="54"/>
      <x:c r="AH69" s="54"/>
      <x:c r="AI69" s="54"/>
      <x:c r="AJ69" s="54"/>
      <x:c r="AK69" s="54"/>
      <x:c r="AL69" s="54"/>
      <x:c r="AM69" s="54"/>
      <x:c r="AN69" s="54"/>
      <x:c r="AO69" s="54"/>
      <x:c r="AP69" s="54"/>
      <x:c r="AQ69" s="54"/>
      <x:c r="AR69" s="54"/>
      <x:c r="AS69" s="54"/>
      <x:c r="AT69" s="54"/>
      <x:c r="AU69" s="54"/>
      <x:c r="AV69" s="54"/>
      <x:c r="AW69" s="54"/>
    </x:row>
    <x:row r="70">
      <x:c r="A70" s="54"/>
      <x:c r="B70" s="54"/>
      <x:c r="C70" s="54"/>
      <x:c r="D70" s="54"/>
      <x:c r="E70" s="54"/>
      <x:c r="F70" s="54"/>
      <x:c r="G70" s="54"/>
      <x:c r="H70" s="54"/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  <x:c r="AA70" s="54"/>
      <x:c r="AB70" s="54"/>
      <x:c r="AC70" s="54"/>
      <x:c r="AD70" s="54"/>
      <x:c r="AE70" s="54"/>
      <x:c r="AF70" s="54"/>
      <x:c r="AG70" s="54"/>
      <x:c r="AH70" s="54"/>
      <x:c r="AI70" s="54"/>
      <x:c r="AJ70" s="54"/>
      <x:c r="AK70" s="54"/>
      <x:c r="AL70" s="54"/>
      <x:c r="AM70" s="54"/>
      <x:c r="AN70" s="54"/>
      <x:c r="AO70" s="54"/>
      <x:c r="AP70" s="54"/>
      <x:c r="AQ70" s="54"/>
      <x:c r="AR70" s="54"/>
      <x:c r="AS70" s="54"/>
      <x:c r="AT70" s="54"/>
      <x:c r="AU70" s="54"/>
      <x:c r="AV70" s="54"/>
      <x:c r="AW70" s="54"/>
    </x:row>
    <x:row r="71">
      <x:c r="A71" s="54"/>
      <x:c r="B71" s="54"/>
      <x:c r="C71" s="54"/>
      <x:c r="D71" s="54"/>
      <x:c r="E71" s="54"/>
      <x:c r="F71" s="54"/>
      <x:c r="G71" s="54"/>
      <x:c r="H71" s="54"/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  <x:c r="AA71" s="54"/>
      <x:c r="AB71" s="54"/>
      <x:c r="AC71" s="54"/>
      <x:c r="AD71" s="54"/>
      <x:c r="AE71" s="54"/>
      <x:c r="AF71" s="54"/>
      <x:c r="AG71" s="54"/>
      <x:c r="AH71" s="54"/>
      <x:c r="AI71" s="54"/>
      <x:c r="AJ71" s="54"/>
      <x:c r="AK71" s="54"/>
      <x:c r="AL71" s="54"/>
      <x:c r="AM71" s="54"/>
      <x:c r="AN71" s="54"/>
      <x:c r="AO71" s="54"/>
      <x:c r="AP71" s="54"/>
      <x:c r="AQ71" s="54"/>
      <x:c r="AR71" s="54"/>
      <x:c r="AS71" s="54"/>
      <x:c r="AT71" s="54"/>
      <x:c r="AU71" s="54"/>
      <x:c r="AV71" s="54"/>
      <x:c r="AW71" s="54"/>
    </x:row>
    <x:row r="72">
      <x:c r="A72" s="54"/>
      <x:c r="B72" s="54"/>
      <x:c r="C72" s="54"/>
      <x:c r="D72" s="54"/>
      <x:c r="E72" s="54"/>
      <x:c r="F72" s="54"/>
      <x:c r="G72" s="54"/>
      <x:c r="H72" s="54"/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  <x:c r="AA72" s="54"/>
      <x:c r="AB72" s="54"/>
      <x:c r="AC72" s="54"/>
      <x:c r="AD72" s="54"/>
      <x:c r="AE72" s="54"/>
      <x:c r="AF72" s="54"/>
      <x:c r="AG72" s="54"/>
      <x:c r="AH72" s="54"/>
      <x:c r="AI72" s="54"/>
      <x:c r="AJ72" s="54"/>
      <x:c r="AK72" s="54"/>
      <x:c r="AL72" s="54"/>
      <x:c r="AM72" s="54"/>
      <x:c r="AN72" s="54"/>
      <x:c r="AO72" s="54"/>
      <x:c r="AP72" s="54"/>
      <x:c r="AQ72" s="54"/>
      <x:c r="AR72" s="54"/>
      <x:c r="AS72" s="54"/>
      <x:c r="AT72" s="54"/>
      <x:c r="AU72" s="54"/>
      <x:c r="AV72" s="54"/>
      <x:c r="AW72" s="54"/>
    </x:row>
    <x:row r="73">
      <x:c r="A73" s="54"/>
      <x:c r="B73" s="54"/>
      <x:c r="C73" s="54"/>
      <x:c r="D73" s="54"/>
      <x:c r="E73" s="54"/>
      <x:c r="F73" s="54"/>
      <x:c r="G73" s="54"/>
      <x:c r="H73" s="54"/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  <x:c r="AA73" s="54"/>
      <x:c r="AB73" s="54"/>
      <x:c r="AC73" s="54"/>
      <x:c r="AD73" s="54"/>
      <x:c r="AE73" s="54"/>
      <x:c r="AF73" s="54"/>
      <x:c r="AG73" s="54"/>
      <x:c r="AH73" s="54"/>
      <x:c r="AI73" s="54"/>
      <x:c r="AJ73" s="54"/>
      <x:c r="AK73" s="54"/>
      <x:c r="AL73" s="54"/>
      <x:c r="AM73" s="54"/>
      <x:c r="AN73" s="54"/>
      <x:c r="AO73" s="54"/>
      <x:c r="AP73" s="54"/>
      <x:c r="AQ73" s="54"/>
      <x:c r="AR73" s="54"/>
      <x:c r="AS73" s="54"/>
      <x:c r="AT73" s="54"/>
      <x:c r="AU73" s="54"/>
      <x:c r="AV73" s="54"/>
      <x:c r="AW73" s="54"/>
    </x:row>
    <x:row r="74">
      <x:c r="A74" s="54"/>
      <x:c r="B74" s="54"/>
      <x:c r="C74" s="54"/>
      <x:c r="D74" s="54"/>
      <x:c r="E74" s="54"/>
      <x:c r="F74" s="54"/>
      <x:c r="G74" s="54"/>
      <x:c r="H74" s="54"/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  <x:c r="AA74" s="54"/>
      <x:c r="AB74" s="54"/>
      <x:c r="AC74" s="54"/>
      <x:c r="AD74" s="54"/>
      <x:c r="AE74" s="54"/>
      <x:c r="AF74" s="54"/>
      <x:c r="AG74" s="54"/>
      <x:c r="AH74" s="54"/>
      <x:c r="AI74" s="54"/>
      <x:c r="AJ74" s="54"/>
      <x:c r="AK74" s="54"/>
      <x:c r="AL74" s="54"/>
      <x:c r="AM74" s="54"/>
      <x:c r="AN74" s="54"/>
      <x:c r="AO74" s="54"/>
      <x:c r="AP74" s="54"/>
      <x:c r="AQ74" s="54"/>
      <x:c r="AR74" s="54"/>
      <x:c r="AS74" s="54"/>
      <x:c r="AT74" s="54"/>
      <x:c r="AU74" s="54"/>
      <x:c r="AV74" s="54"/>
      <x:c r="AW74" s="54"/>
    </x:row>
    <x:row r="75">
      <x:c r="A75" s="54"/>
      <x:c r="B75" s="54"/>
      <x:c r="C75" s="54"/>
      <x:c r="D75" s="54"/>
      <x:c r="E75" s="54"/>
      <x:c r="F75" s="54"/>
      <x:c r="G75" s="54"/>
      <x:c r="H75" s="54"/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  <x:c r="AA75" s="54"/>
      <x:c r="AB75" s="54"/>
      <x:c r="AC75" s="54"/>
      <x:c r="AD75" s="54"/>
      <x:c r="AE75" s="54"/>
      <x:c r="AF75" s="54"/>
      <x:c r="AG75" s="54"/>
      <x:c r="AH75" s="54"/>
      <x:c r="AI75" s="54"/>
      <x:c r="AJ75" s="54"/>
      <x:c r="AK75" s="54"/>
      <x:c r="AL75" s="54"/>
      <x:c r="AM75" s="54"/>
      <x:c r="AN75" s="54"/>
      <x:c r="AO75" s="54"/>
      <x:c r="AP75" s="54"/>
      <x:c r="AQ75" s="54"/>
      <x:c r="AR75" s="54"/>
      <x:c r="AS75" s="54"/>
      <x:c r="AT75" s="54"/>
      <x:c r="AU75" s="54"/>
      <x:c r="AV75" s="54"/>
      <x:c r="AW75" s="54"/>
    </x:row>
    <x:row r="76">
      <x:c r="A76" s="54"/>
      <x:c r="B76" s="54"/>
      <x:c r="C76" s="54"/>
      <x:c r="D76" s="54"/>
      <x:c r="E76" s="54"/>
      <x:c r="F76" s="54"/>
      <x:c r="G76" s="54"/>
      <x:c r="H76" s="54"/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  <x:c r="AA76" s="54"/>
      <x:c r="AB76" s="54"/>
      <x:c r="AC76" s="54"/>
      <x:c r="AD76" s="54"/>
      <x:c r="AE76" s="54"/>
      <x:c r="AF76" s="54"/>
      <x:c r="AG76" s="54"/>
      <x:c r="AH76" s="54"/>
      <x:c r="AI76" s="54"/>
      <x:c r="AJ76" s="54"/>
      <x:c r="AK76" s="54"/>
      <x:c r="AL76" s="54"/>
      <x:c r="AM76" s="54"/>
      <x:c r="AN76" s="54"/>
      <x:c r="AO76" s="54"/>
      <x:c r="AP76" s="54"/>
      <x:c r="AQ76" s="54"/>
      <x:c r="AR76" s="54"/>
      <x:c r="AS76" s="54"/>
      <x:c r="AT76" s="54"/>
      <x:c r="AU76" s="54"/>
      <x:c r="AV76" s="54"/>
      <x:c r="AW76" s="54"/>
    </x:row>
    <x:row r="77">
      <x:c r="A77" s="54"/>
      <x:c r="B77" s="54"/>
      <x:c r="C77" s="54"/>
      <x:c r="D77" s="54"/>
      <x:c r="E77" s="54"/>
      <x:c r="F77" s="54"/>
      <x:c r="G77" s="54"/>
      <x:c r="H77" s="54"/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  <x:c r="AA77" s="54"/>
      <x:c r="AB77" s="54"/>
      <x:c r="AC77" s="54"/>
      <x:c r="AD77" s="54"/>
      <x:c r="AE77" s="54"/>
      <x:c r="AF77" s="54"/>
      <x:c r="AG77" s="54"/>
      <x:c r="AH77" s="54"/>
      <x:c r="AI77" s="54"/>
      <x:c r="AJ77" s="54"/>
      <x:c r="AK77" s="54"/>
      <x:c r="AL77" s="54"/>
      <x:c r="AM77" s="54"/>
      <x:c r="AN77" s="54"/>
      <x:c r="AO77" s="54"/>
      <x:c r="AP77" s="54"/>
      <x:c r="AQ77" s="54"/>
      <x:c r="AR77" s="54"/>
      <x:c r="AS77" s="54"/>
      <x:c r="AT77" s="54"/>
      <x:c r="AU77" s="54"/>
      <x:c r="AV77" s="54"/>
      <x:c r="AW77" s="54"/>
    </x:row>
    <x:row r="78">
      <x:c r="A78" s="54"/>
      <x:c r="B78" s="54"/>
      <x:c r="C78" s="54"/>
      <x:c r="D78" s="54"/>
      <x:c r="E78" s="54"/>
      <x:c r="F78" s="54"/>
      <x:c r="G78" s="54"/>
      <x:c r="H78" s="54"/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  <x:c r="AA78" s="54"/>
      <x:c r="AB78" s="54"/>
      <x:c r="AC78" s="54"/>
      <x:c r="AD78" s="54"/>
      <x:c r="AE78" s="54"/>
      <x:c r="AF78" s="54"/>
      <x:c r="AG78" s="54"/>
      <x:c r="AH78" s="54"/>
      <x:c r="AI78" s="54"/>
      <x:c r="AJ78" s="54"/>
      <x:c r="AK78" s="54"/>
      <x:c r="AL78" s="54"/>
      <x:c r="AM78" s="54"/>
      <x:c r="AN78" s="54"/>
      <x:c r="AO78" s="54"/>
      <x:c r="AP78" s="54"/>
      <x:c r="AQ78" s="54"/>
      <x:c r="AR78" s="54"/>
      <x:c r="AS78" s="54"/>
      <x:c r="AT78" s="54"/>
      <x:c r="AU78" s="54"/>
      <x:c r="AV78" s="54"/>
      <x:c r="AW78" s="54"/>
    </x:row>
    <x:row r="79">
      <x:c r="A79" s="54"/>
      <x:c r="B79" s="54"/>
      <x:c r="C79" s="54"/>
      <x:c r="D79" s="54"/>
      <x:c r="E79" s="54"/>
      <x:c r="F79" s="54"/>
      <x:c r="G79" s="54"/>
      <x:c r="H79" s="54"/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  <x:c r="AA79" s="54"/>
      <x:c r="AB79" s="54"/>
      <x:c r="AC79" s="54"/>
      <x:c r="AD79" s="54"/>
      <x:c r="AE79" s="54"/>
      <x:c r="AF79" s="54"/>
      <x:c r="AG79" s="54"/>
      <x:c r="AH79" s="54"/>
      <x:c r="AI79" s="54"/>
      <x:c r="AJ79" s="54"/>
      <x:c r="AK79" s="54"/>
      <x:c r="AL79" s="54"/>
      <x:c r="AM79" s="54"/>
      <x:c r="AN79" s="54"/>
      <x:c r="AO79" s="54"/>
      <x:c r="AP79" s="54"/>
      <x:c r="AQ79" s="54"/>
      <x:c r="AR79" s="54"/>
      <x:c r="AS79" s="54"/>
      <x:c r="AT79" s="54"/>
      <x:c r="AU79" s="54"/>
      <x:c r="AV79" s="54"/>
      <x:c r="AW79" s="54"/>
    </x:row>
    <x:row r="80">
      <x:c r="A80" s="54"/>
      <x:c r="B80" s="54"/>
      <x:c r="C80" s="54"/>
      <x:c r="D80" s="54"/>
      <x:c r="E80" s="54"/>
      <x:c r="F80" s="54"/>
      <x:c r="G80" s="54"/>
      <x:c r="H80" s="54"/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  <x:c r="AA80" s="54"/>
      <x:c r="AB80" s="54"/>
      <x:c r="AC80" s="54"/>
      <x:c r="AD80" s="54"/>
      <x:c r="AE80" s="54"/>
      <x:c r="AF80" s="54"/>
      <x:c r="AG80" s="54"/>
      <x:c r="AH80" s="54"/>
      <x:c r="AI80" s="54"/>
      <x:c r="AJ80" s="54"/>
      <x:c r="AK80" s="54"/>
      <x:c r="AL80" s="54"/>
      <x:c r="AM80" s="54"/>
      <x:c r="AN80" s="54"/>
      <x:c r="AO80" s="54"/>
      <x:c r="AP80" s="54"/>
      <x:c r="AQ80" s="54"/>
      <x:c r="AR80" s="54"/>
      <x:c r="AS80" s="54"/>
      <x:c r="AT80" s="54"/>
      <x:c r="AU80" s="54"/>
      <x:c r="AV80" s="54"/>
      <x:c r="AW80" s="54"/>
    </x:row>
    <x:row r="81">
      <x:c r="A81" s="54"/>
      <x:c r="B81" s="54"/>
      <x:c r="C81" s="54"/>
      <x:c r="D81" s="54"/>
      <x:c r="E81" s="54"/>
      <x:c r="F81" s="54"/>
      <x:c r="G81" s="54"/>
      <x:c r="H81" s="54"/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  <x:c r="AA81" s="54"/>
      <x:c r="AB81" s="54"/>
      <x:c r="AC81" s="54"/>
      <x:c r="AD81" s="54"/>
      <x:c r="AE81" s="54"/>
      <x:c r="AF81" s="54"/>
      <x:c r="AG81" s="54"/>
      <x:c r="AH81" s="54"/>
      <x:c r="AI81" s="54"/>
      <x:c r="AJ81" s="54"/>
      <x:c r="AK81" s="54"/>
      <x:c r="AL81" s="54"/>
      <x:c r="AM81" s="54"/>
      <x:c r="AN81" s="54"/>
      <x:c r="AO81" s="54"/>
      <x:c r="AP81" s="54"/>
      <x:c r="AQ81" s="54"/>
      <x:c r="AR81" s="54"/>
      <x:c r="AS81" s="54"/>
      <x:c r="AT81" s="54"/>
      <x:c r="AU81" s="54"/>
      <x:c r="AV81" s="54"/>
      <x:c r="AW81" s="54"/>
    </x:row>
    <x:row r="82">
      <x:c r="A82" s="54"/>
      <x:c r="B82" s="54"/>
      <x:c r="C82" s="54"/>
      <x:c r="D82" s="54"/>
      <x:c r="E82" s="54"/>
      <x:c r="F82" s="54"/>
      <x:c r="G82" s="54"/>
      <x:c r="H82" s="54"/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  <x:c r="AA82" s="54"/>
      <x:c r="AB82" s="54"/>
      <x:c r="AC82" s="54"/>
      <x:c r="AD82" s="54"/>
      <x:c r="AE82" s="54"/>
      <x:c r="AF82" s="54"/>
      <x:c r="AG82" s="54"/>
      <x:c r="AH82" s="54"/>
      <x:c r="AI82" s="54"/>
      <x:c r="AJ82" s="54"/>
      <x:c r="AK82" s="54"/>
      <x:c r="AL82" s="54"/>
      <x:c r="AM82" s="54"/>
      <x:c r="AN82" s="54"/>
      <x:c r="AO82" s="54"/>
      <x:c r="AP82" s="54"/>
      <x:c r="AQ82" s="54"/>
      <x:c r="AR82" s="54"/>
      <x:c r="AS82" s="54"/>
      <x:c r="AT82" s="54"/>
      <x:c r="AU82" s="54"/>
      <x:c r="AV82" s="54"/>
      <x:c r="AW82" s="54"/>
    </x:row>
    <x:row r="83">
      <x:c r="A83" s="54"/>
      <x:c r="B83" s="54"/>
      <x:c r="C83" s="54"/>
      <x:c r="D83" s="54"/>
      <x:c r="E83" s="54"/>
      <x:c r="F83" s="54"/>
      <x:c r="G83" s="54"/>
      <x:c r="H83" s="54"/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  <x:c r="AA83" s="54"/>
      <x:c r="AB83" s="54"/>
      <x:c r="AC83" s="54"/>
      <x:c r="AD83" s="54"/>
      <x:c r="AE83" s="54"/>
      <x:c r="AF83" s="54"/>
      <x:c r="AG83" s="54"/>
      <x:c r="AH83" s="54"/>
      <x:c r="AI83" s="54"/>
      <x:c r="AJ83" s="54"/>
      <x:c r="AK83" s="54"/>
      <x:c r="AL83" s="54"/>
      <x:c r="AM83" s="54"/>
      <x:c r="AN83" s="54"/>
      <x:c r="AO83" s="54"/>
      <x:c r="AP83" s="54"/>
      <x:c r="AQ83" s="54"/>
      <x:c r="AR83" s="54"/>
      <x:c r="AS83" s="54"/>
      <x:c r="AT83" s="54"/>
      <x:c r="AU83" s="54"/>
      <x:c r="AV83" s="54"/>
      <x:c r="AW83" s="54"/>
    </x:row>
    <x:row r="84">
      <x:c r="A84" s="54"/>
      <x:c r="B84" s="54"/>
      <x:c r="C84" s="54"/>
      <x:c r="D84" s="54"/>
      <x:c r="E84" s="54"/>
      <x:c r="F84" s="54"/>
      <x:c r="G84" s="54"/>
      <x:c r="H84" s="54"/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  <x:c r="AA84" s="54"/>
      <x:c r="AB84" s="54"/>
      <x:c r="AC84" s="54"/>
      <x:c r="AD84" s="54"/>
      <x:c r="AE84" s="54"/>
      <x:c r="AF84" s="54"/>
      <x:c r="AG84" s="54"/>
      <x:c r="AH84" s="54"/>
      <x:c r="AI84" s="54"/>
      <x:c r="AJ84" s="54"/>
      <x:c r="AK84" s="54"/>
      <x:c r="AL84" s="54"/>
      <x:c r="AM84" s="54"/>
      <x:c r="AN84" s="54"/>
      <x:c r="AO84" s="54"/>
      <x:c r="AP84" s="54"/>
      <x:c r="AQ84" s="54"/>
      <x:c r="AR84" s="54"/>
      <x:c r="AS84" s="54"/>
      <x:c r="AT84" s="54"/>
      <x:c r="AU84" s="54"/>
      <x:c r="AV84" s="54"/>
      <x:c r="AW84" s="54"/>
    </x:row>
    <x:row r="85">
      <x:c r="A85" s="54"/>
      <x:c r="B85" s="54"/>
      <x:c r="C85" s="54"/>
      <x:c r="D85" s="54"/>
      <x:c r="E85" s="54"/>
      <x:c r="F85" s="54"/>
      <x:c r="G85" s="54"/>
      <x:c r="H85" s="54"/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  <x:c r="AA85" s="54"/>
      <x:c r="AB85" s="54"/>
      <x:c r="AC85" s="54"/>
      <x:c r="AD85" s="54"/>
      <x:c r="AE85" s="54"/>
      <x:c r="AF85" s="54"/>
      <x:c r="AG85" s="54"/>
      <x:c r="AH85" s="54"/>
      <x:c r="AI85" s="54"/>
      <x:c r="AJ85" s="54"/>
      <x:c r="AK85" s="54"/>
      <x:c r="AL85" s="54"/>
      <x:c r="AM85" s="54"/>
      <x:c r="AN85" s="54"/>
      <x:c r="AO85" s="54"/>
      <x:c r="AP85" s="54"/>
      <x:c r="AQ85" s="54"/>
      <x:c r="AR85" s="54"/>
      <x:c r="AS85" s="54"/>
      <x:c r="AT85" s="54"/>
      <x:c r="AU85" s="54"/>
      <x:c r="AV85" s="54"/>
      <x:c r="AW85" s="54"/>
    </x:row>
    <x:row r="86">
      <x:c r="A86" s="54"/>
      <x:c r="B86" s="54"/>
      <x:c r="C86" s="54"/>
      <x:c r="D86" s="54"/>
      <x:c r="E86" s="54"/>
      <x:c r="F86" s="54"/>
      <x:c r="G86" s="54"/>
      <x:c r="H86" s="54"/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  <x:c r="AA86" s="54"/>
      <x:c r="AB86" s="54"/>
      <x:c r="AC86" s="54"/>
      <x:c r="AD86" s="54"/>
      <x:c r="AE86" s="54"/>
      <x:c r="AF86" s="54"/>
      <x:c r="AG86" s="54"/>
      <x:c r="AH86" s="54"/>
      <x:c r="AI86" s="54"/>
      <x:c r="AJ86" s="54"/>
      <x:c r="AK86" s="54"/>
      <x:c r="AL86" s="54"/>
      <x:c r="AM86" s="54"/>
      <x:c r="AN86" s="54"/>
      <x:c r="AO86" s="54"/>
      <x:c r="AP86" s="54"/>
      <x:c r="AQ86" s="54"/>
      <x:c r="AR86" s="54"/>
      <x:c r="AS86" s="54"/>
      <x:c r="AT86" s="54"/>
      <x:c r="AU86" s="54"/>
      <x:c r="AV86" s="54"/>
      <x:c r="AW86" s="54"/>
    </x:row>
    <x:row r="87">
      <x:c r="A87" s="54"/>
      <x:c r="B87" s="54"/>
      <x:c r="C87" s="54"/>
      <x:c r="D87" s="54"/>
      <x:c r="E87" s="54"/>
      <x:c r="F87" s="54"/>
      <x:c r="G87" s="54"/>
      <x:c r="H87" s="54"/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  <x:c r="AA87" s="54"/>
      <x:c r="AB87" s="54"/>
      <x:c r="AC87" s="54"/>
      <x:c r="AD87" s="54"/>
      <x:c r="AE87" s="54"/>
      <x:c r="AF87" s="54"/>
      <x:c r="AG87" s="54"/>
      <x:c r="AH87" s="54"/>
      <x:c r="AI87" s="54"/>
      <x:c r="AJ87" s="54"/>
      <x:c r="AK87" s="54"/>
      <x:c r="AL87" s="54"/>
      <x:c r="AM87" s="54"/>
      <x:c r="AN87" s="54"/>
      <x:c r="AO87" s="54"/>
      <x:c r="AP87" s="54"/>
      <x:c r="AQ87" s="54"/>
      <x:c r="AR87" s="54"/>
      <x:c r="AS87" s="54"/>
      <x:c r="AT87" s="54"/>
      <x:c r="AU87" s="54"/>
      <x:c r="AV87" s="54"/>
      <x:c r="AW87" s="54"/>
    </x:row>
    <x:row r="88">
      <x:c r="A88" s="54"/>
      <x:c r="B88" s="54"/>
      <x:c r="C88" s="54"/>
      <x:c r="D88" s="54"/>
      <x:c r="E88" s="54"/>
      <x:c r="F88" s="54"/>
      <x:c r="G88" s="54"/>
      <x:c r="H88" s="54"/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  <x:c r="AA88" s="54"/>
      <x:c r="AB88" s="54"/>
      <x:c r="AC88" s="54"/>
      <x:c r="AD88" s="54"/>
      <x:c r="AE88" s="54"/>
      <x:c r="AF88" s="54"/>
      <x:c r="AG88" s="54"/>
      <x:c r="AH88" s="54"/>
      <x:c r="AI88" s="54"/>
      <x:c r="AJ88" s="54"/>
      <x:c r="AK88" s="54"/>
      <x:c r="AL88" s="54"/>
      <x:c r="AM88" s="54"/>
      <x:c r="AN88" s="54"/>
      <x:c r="AO88" s="54"/>
      <x:c r="AP88" s="54"/>
      <x:c r="AQ88" s="54"/>
      <x:c r="AR88" s="54"/>
      <x:c r="AS88" s="54"/>
      <x:c r="AT88" s="54"/>
      <x:c r="AU88" s="54"/>
      <x:c r="AV88" s="54"/>
      <x:c r="AW88" s="54"/>
    </x:row>
    <x:row r="89">
      <x:c r="A89" s="54"/>
      <x:c r="B89" s="54"/>
      <x:c r="C89" s="54"/>
      <x:c r="D89" s="54"/>
      <x:c r="E89" s="54"/>
      <x:c r="F89" s="54"/>
      <x:c r="G89" s="54"/>
      <x:c r="H89" s="54"/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  <x:c r="AA89" s="54"/>
      <x:c r="AB89" s="54"/>
      <x:c r="AC89" s="54"/>
      <x:c r="AD89" s="54"/>
      <x:c r="AE89" s="54"/>
      <x:c r="AF89" s="54"/>
      <x:c r="AG89" s="54"/>
      <x:c r="AH89" s="54"/>
      <x:c r="AI89" s="54"/>
      <x:c r="AJ89" s="54"/>
      <x:c r="AK89" s="54"/>
      <x:c r="AL89" s="54"/>
      <x:c r="AM89" s="54"/>
      <x:c r="AN89" s="54"/>
      <x:c r="AO89" s="54"/>
      <x:c r="AP89" s="54"/>
      <x:c r="AQ89" s="54"/>
      <x:c r="AR89" s="54"/>
      <x:c r="AS89" s="54"/>
      <x:c r="AT89" s="54"/>
      <x:c r="AU89" s="54"/>
      <x:c r="AV89" s="54"/>
      <x:c r="AW89" s="54"/>
    </x:row>
    <x:row r="90">
      <x:c r="A90" s="54"/>
      <x:c r="B90" s="54"/>
      <x:c r="C90" s="54"/>
      <x:c r="D90" s="54"/>
      <x:c r="E90" s="54"/>
      <x:c r="F90" s="54"/>
      <x:c r="G90" s="54"/>
      <x:c r="H90" s="54"/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  <x:c r="AA90" s="54"/>
      <x:c r="AB90" s="54"/>
      <x:c r="AC90" s="54"/>
      <x:c r="AD90" s="54"/>
      <x:c r="AE90" s="54"/>
      <x:c r="AF90" s="54"/>
      <x:c r="AG90" s="54"/>
      <x:c r="AH90" s="54"/>
      <x:c r="AI90" s="54"/>
      <x:c r="AJ90" s="54"/>
      <x:c r="AK90" s="54"/>
      <x:c r="AL90" s="54"/>
      <x:c r="AM90" s="54"/>
      <x:c r="AN90" s="54"/>
      <x:c r="AO90" s="54"/>
      <x:c r="AP90" s="54"/>
      <x:c r="AQ90" s="54"/>
      <x:c r="AR90" s="54"/>
      <x:c r="AS90" s="54"/>
      <x:c r="AT90" s="54"/>
      <x:c r="AU90" s="54"/>
      <x:c r="AV90" s="54"/>
      <x:c r="AW90" s="54"/>
    </x:row>
    <x:row r="91">
      <x:c r="A91" s="54"/>
      <x:c r="B91" s="54"/>
      <x:c r="C91" s="54"/>
      <x:c r="D91" s="54"/>
      <x:c r="E91" s="54"/>
      <x:c r="F91" s="54"/>
      <x:c r="G91" s="54"/>
      <x:c r="H91" s="54"/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  <x:c r="AA91" s="54"/>
      <x:c r="AB91" s="54"/>
      <x:c r="AC91" s="54"/>
      <x:c r="AD91" s="54"/>
      <x:c r="AE91" s="54"/>
      <x:c r="AF91" s="54"/>
      <x:c r="AG91" s="54"/>
      <x:c r="AH91" s="54"/>
      <x:c r="AI91" s="54"/>
      <x:c r="AJ91" s="54"/>
      <x:c r="AK91" s="54"/>
      <x:c r="AL91" s="54"/>
      <x:c r="AM91" s="54"/>
      <x:c r="AN91" s="54"/>
      <x:c r="AO91" s="54"/>
      <x:c r="AP91" s="54"/>
      <x:c r="AQ91" s="54"/>
      <x:c r="AR91" s="54"/>
      <x:c r="AS91" s="54"/>
      <x:c r="AT91" s="54"/>
      <x:c r="AU91" s="54"/>
      <x:c r="AV91" s="54"/>
      <x:c r="AW91" s="54"/>
    </x:row>
    <x:row r="92">
      <x:c r="A92" s="54"/>
      <x:c r="B92" s="54"/>
      <x:c r="C92" s="54"/>
      <x:c r="D92" s="54"/>
      <x:c r="E92" s="54"/>
      <x:c r="F92" s="54"/>
      <x:c r="G92" s="54"/>
      <x:c r="H92" s="54"/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  <x:c r="AA92" s="54"/>
      <x:c r="AB92" s="54"/>
      <x:c r="AC92" s="54"/>
      <x:c r="AD92" s="54"/>
      <x:c r="AE92" s="54"/>
      <x:c r="AF92" s="54"/>
      <x:c r="AG92" s="54"/>
      <x:c r="AH92" s="54"/>
      <x:c r="AI92" s="54"/>
      <x:c r="AJ92" s="54"/>
      <x:c r="AK92" s="54"/>
      <x:c r="AL92" s="54"/>
      <x:c r="AM92" s="54"/>
      <x:c r="AN92" s="54"/>
      <x:c r="AO92" s="54"/>
      <x:c r="AP92" s="54"/>
      <x:c r="AQ92" s="54"/>
      <x:c r="AR92" s="54"/>
      <x:c r="AS92" s="54"/>
      <x:c r="AT92" s="54"/>
      <x:c r="AU92" s="54"/>
      <x:c r="AV92" s="54"/>
      <x:c r="AW92" s="54"/>
    </x:row>
    <x:row r="93">
      <x:c r="A93" s="54"/>
      <x:c r="B93" s="54"/>
      <x:c r="C93" s="54"/>
      <x:c r="D93" s="54"/>
      <x:c r="E93" s="54"/>
      <x:c r="F93" s="54"/>
      <x:c r="G93" s="54"/>
      <x:c r="H93" s="54"/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  <x:c r="AA93" s="54"/>
      <x:c r="AB93" s="54"/>
      <x:c r="AC93" s="54"/>
      <x:c r="AD93" s="54"/>
      <x:c r="AE93" s="54"/>
      <x:c r="AF93" s="54"/>
      <x:c r="AG93" s="54"/>
      <x:c r="AH93" s="54"/>
      <x:c r="AI93" s="54"/>
      <x:c r="AJ93" s="54"/>
      <x:c r="AK93" s="54"/>
      <x:c r="AL93" s="54"/>
      <x:c r="AM93" s="54"/>
      <x:c r="AN93" s="54"/>
      <x:c r="AO93" s="54"/>
      <x:c r="AP93" s="54"/>
      <x:c r="AQ93" s="54"/>
      <x:c r="AR93" s="54"/>
      <x:c r="AS93" s="54"/>
      <x:c r="AT93" s="54"/>
      <x:c r="AU93" s="54"/>
      <x:c r="AV93" s="54"/>
      <x:c r="AW93" s="54"/>
    </x:row>
    <x:row r="94">
      <x:c r="A94" s="54"/>
      <x:c r="B94" s="54"/>
      <x:c r="C94" s="54"/>
      <x:c r="D94" s="54"/>
      <x:c r="E94" s="54"/>
      <x:c r="F94" s="54"/>
      <x:c r="G94" s="54"/>
      <x:c r="H94" s="54"/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  <x:c r="AA94" s="54"/>
      <x:c r="AB94" s="54"/>
      <x:c r="AC94" s="54"/>
      <x:c r="AD94" s="54"/>
      <x:c r="AE94" s="54"/>
      <x:c r="AF94" s="54"/>
      <x:c r="AG94" s="54"/>
      <x:c r="AH94" s="54"/>
      <x:c r="AI94" s="54"/>
      <x:c r="AJ94" s="54"/>
      <x:c r="AK94" s="54"/>
      <x:c r="AL94" s="54"/>
      <x:c r="AM94" s="54"/>
      <x:c r="AN94" s="54"/>
      <x:c r="AO94" s="54"/>
      <x:c r="AP94" s="54"/>
      <x:c r="AQ94" s="54"/>
      <x:c r="AR94" s="54"/>
      <x:c r="AS94" s="54"/>
      <x:c r="AT94" s="54"/>
      <x:c r="AU94" s="54"/>
      <x:c r="AV94" s="54"/>
      <x:c r="AW94" s="54"/>
    </x:row>
    <x:row r="95">
      <x:c r="A95" s="54"/>
      <x:c r="B95" s="54"/>
      <x:c r="C95" s="54"/>
      <x:c r="D95" s="54"/>
      <x:c r="E95" s="54"/>
      <x:c r="F95" s="54"/>
      <x:c r="G95" s="54"/>
      <x:c r="H95" s="54"/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  <x:c r="AA95" s="54"/>
      <x:c r="AB95" s="54"/>
      <x:c r="AC95" s="54"/>
      <x:c r="AD95" s="54"/>
      <x:c r="AE95" s="54"/>
      <x:c r="AF95" s="54"/>
      <x:c r="AG95" s="54"/>
      <x:c r="AH95" s="54"/>
      <x:c r="AI95" s="54"/>
      <x:c r="AJ95" s="54"/>
      <x:c r="AK95" s="54"/>
      <x:c r="AL95" s="54"/>
      <x:c r="AM95" s="54"/>
      <x:c r="AN95" s="54"/>
      <x:c r="AO95" s="54"/>
      <x:c r="AP95" s="54"/>
      <x:c r="AQ95" s="54"/>
      <x:c r="AR95" s="54"/>
      <x:c r="AS95" s="54"/>
      <x:c r="AT95" s="54"/>
      <x:c r="AU95" s="54"/>
      <x:c r="AV95" s="54"/>
      <x:c r="AW95" s="54"/>
    </x:row>
    <x:row r="96">
      <x:c r="A96" s="54"/>
      <x:c r="B96" s="54"/>
      <x:c r="C96" s="54"/>
      <x:c r="D96" s="54"/>
      <x:c r="E96" s="54"/>
      <x:c r="F96" s="54"/>
      <x:c r="G96" s="54"/>
      <x:c r="H96" s="54"/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  <x:c r="AA96" s="54"/>
      <x:c r="AB96" s="54"/>
      <x:c r="AC96" s="54"/>
      <x:c r="AD96" s="54"/>
      <x:c r="AE96" s="54"/>
      <x:c r="AF96" s="54"/>
      <x:c r="AG96" s="54"/>
      <x:c r="AH96" s="54"/>
      <x:c r="AI96" s="54"/>
      <x:c r="AJ96" s="54"/>
      <x:c r="AK96" s="54"/>
      <x:c r="AL96" s="54"/>
      <x:c r="AM96" s="54"/>
      <x:c r="AN96" s="54"/>
      <x:c r="AO96" s="54"/>
      <x:c r="AP96" s="54"/>
      <x:c r="AQ96" s="54"/>
      <x:c r="AR96" s="54"/>
      <x:c r="AS96" s="54"/>
      <x:c r="AT96" s="54"/>
      <x:c r="AU96" s="54"/>
      <x:c r="AV96" s="54"/>
      <x:c r="AW96" s="54"/>
    </x:row>
    <x:row r="97">
      <x:c r="A97" s="54"/>
      <x:c r="B97" s="54"/>
      <x:c r="C97" s="54"/>
      <x:c r="D97" s="54"/>
      <x:c r="E97" s="54"/>
      <x:c r="F97" s="54"/>
      <x:c r="G97" s="54"/>
      <x:c r="H97" s="54"/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  <x:c r="AA97" s="54"/>
      <x:c r="AB97" s="54"/>
      <x:c r="AC97" s="54"/>
      <x:c r="AD97" s="54"/>
      <x:c r="AE97" s="54"/>
      <x:c r="AF97" s="54"/>
      <x:c r="AG97" s="54"/>
      <x:c r="AH97" s="54"/>
      <x:c r="AI97" s="54"/>
      <x:c r="AJ97" s="54"/>
      <x:c r="AK97" s="54"/>
      <x:c r="AL97" s="54"/>
      <x:c r="AM97" s="54"/>
      <x:c r="AN97" s="54"/>
      <x:c r="AO97" s="54"/>
      <x:c r="AP97" s="54"/>
      <x:c r="AQ97" s="54"/>
      <x:c r="AR97" s="54"/>
      <x:c r="AS97" s="54"/>
      <x:c r="AT97" s="54"/>
      <x:c r="AU97" s="54"/>
      <x:c r="AV97" s="54"/>
      <x:c r="AW97" s="54"/>
    </x:row>
    <x:row r="98">
      <x:c r="A98" s="54"/>
      <x:c r="B98" s="54"/>
      <x:c r="C98" s="54"/>
      <x:c r="D98" s="54"/>
      <x:c r="E98" s="54"/>
      <x:c r="F98" s="54"/>
      <x:c r="G98" s="54"/>
      <x:c r="H98" s="54"/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  <x:c r="AA98" s="54"/>
      <x:c r="AB98" s="54"/>
      <x:c r="AC98" s="54"/>
      <x:c r="AD98" s="54"/>
      <x:c r="AE98" s="54"/>
      <x:c r="AF98" s="54"/>
      <x:c r="AG98" s="54"/>
      <x:c r="AH98" s="54"/>
      <x:c r="AI98" s="54"/>
      <x:c r="AJ98" s="54"/>
      <x:c r="AK98" s="54"/>
      <x:c r="AL98" s="54"/>
      <x:c r="AM98" s="54"/>
      <x:c r="AN98" s="54"/>
      <x:c r="AO98" s="54"/>
      <x:c r="AP98" s="54"/>
      <x:c r="AQ98" s="54"/>
      <x:c r="AR98" s="54"/>
      <x:c r="AS98" s="54"/>
      <x:c r="AT98" s="54"/>
      <x:c r="AU98" s="54"/>
      <x:c r="AV98" s="54"/>
      <x:c r="AW98" s="54"/>
    </x:row>
    <x:row r="99">
      <x:c r="A99" s="54"/>
      <x:c r="B99" s="54"/>
      <x:c r="C99" s="54"/>
      <x:c r="D99" s="54"/>
      <x:c r="E99" s="54"/>
      <x:c r="F99" s="54"/>
      <x:c r="G99" s="54"/>
      <x:c r="H99" s="54"/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  <x:c r="AA99" s="54"/>
      <x:c r="AB99" s="54"/>
      <x:c r="AC99" s="54"/>
      <x:c r="AD99" s="54"/>
      <x:c r="AE99" s="54"/>
      <x:c r="AF99" s="54"/>
      <x:c r="AG99" s="54"/>
      <x:c r="AH99" s="54"/>
      <x:c r="AI99" s="54"/>
      <x:c r="AJ99" s="54"/>
      <x:c r="AK99" s="54"/>
      <x:c r="AL99" s="54"/>
      <x:c r="AM99" s="54"/>
      <x:c r="AN99" s="54"/>
      <x:c r="AO99" s="54"/>
      <x:c r="AP99" s="54"/>
      <x:c r="AQ99" s="54"/>
      <x:c r="AR99" s="54"/>
      <x:c r="AS99" s="54"/>
      <x:c r="AT99" s="54"/>
      <x:c r="AU99" s="54"/>
      <x:c r="AV99" s="54"/>
      <x:c r="AW99" s="54"/>
    </x:row>
    <x:row r="100">
      <x:c r="A100" s="54"/>
      <x:c r="B100" s="54"/>
      <x:c r="C100" s="54"/>
      <x:c r="D100" s="54"/>
      <x:c r="E100" s="54"/>
      <x:c r="F100" s="54"/>
      <x:c r="G100" s="54"/>
      <x:c r="H100" s="54"/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  <x:c r="AA100" s="54"/>
      <x:c r="AB100" s="54"/>
      <x:c r="AC100" s="54"/>
      <x:c r="AD100" s="54"/>
      <x:c r="AE100" s="54"/>
      <x:c r="AF100" s="54"/>
      <x:c r="AG100" s="54"/>
      <x:c r="AH100" s="54"/>
      <x:c r="AI100" s="54"/>
      <x:c r="AJ100" s="54"/>
      <x:c r="AK100" s="54"/>
      <x:c r="AL100" s="54"/>
      <x:c r="AM100" s="54"/>
      <x:c r="AN100" s="54"/>
      <x:c r="AO100" s="54"/>
      <x:c r="AP100" s="54"/>
      <x:c r="AQ100" s="54"/>
      <x:c r="AR100" s="54"/>
      <x:c r="AS100" s="54"/>
      <x:c r="AT100" s="54"/>
      <x:c r="AU100" s="54"/>
      <x:c r="AV100" s="54"/>
      <x:c r="AW100" s="54"/>
    </x:row>
    <x:row r="101">
      <x:c r="A101" s="54"/>
      <x:c r="B101" s="54"/>
      <x:c r="C101" s="54"/>
      <x:c r="D101" s="54"/>
      <x:c r="E101" s="54"/>
      <x:c r="F101" s="54"/>
      <x:c r="G101" s="54"/>
      <x:c r="H101" s="54"/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  <x:c r="AA101" s="54"/>
      <x:c r="AB101" s="54"/>
      <x:c r="AC101" s="54"/>
      <x:c r="AD101" s="54"/>
      <x:c r="AE101" s="54"/>
      <x:c r="AF101" s="54"/>
      <x:c r="AG101" s="54"/>
      <x:c r="AH101" s="54"/>
      <x:c r="AI101" s="54"/>
      <x:c r="AJ101" s="54"/>
      <x:c r="AK101" s="54"/>
      <x:c r="AL101" s="54"/>
      <x:c r="AM101" s="54"/>
      <x:c r="AN101" s="54"/>
      <x:c r="AO101" s="54"/>
      <x:c r="AP101" s="54"/>
      <x:c r="AQ101" s="54"/>
      <x:c r="AR101" s="54"/>
      <x:c r="AS101" s="54"/>
      <x:c r="AT101" s="54"/>
      <x:c r="AU101" s="54"/>
      <x:c r="AV101" s="54"/>
      <x:c r="AW101" s="54"/>
    </x:row>
    <x:row r="102">
      <x:c r="A102" s="54"/>
      <x:c r="B102" s="54"/>
      <x:c r="C102" s="54"/>
      <x:c r="D102" s="54"/>
      <x:c r="E102" s="54"/>
      <x:c r="F102" s="54"/>
      <x:c r="G102" s="54"/>
      <x:c r="H102" s="54"/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  <x:c r="AA102" s="54"/>
      <x:c r="AB102" s="54"/>
      <x:c r="AC102" s="54"/>
      <x:c r="AD102" s="54"/>
      <x:c r="AE102" s="54"/>
      <x:c r="AF102" s="54"/>
      <x:c r="AG102" s="54"/>
      <x:c r="AH102" s="54"/>
      <x:c r="AI102" s="54"/>
      <x:c r="AJ102" s="54"/>
      <x:c r="AK102" s="54"/>
      <x:c r="AL102" s="54"/>
      <x:c r="AM102" s="54"/>
      <x:c r="AN102" s="54"/>
      <x:c r="AO102" s="54"/>
      <x:c r="AP102" s="54"/>
      <x:c r="AQ102" s="54"/>
      <x:c r="AR102" s="54"/>
      <x:c r="AS102" s="54"/>
      <x:c r="AT102" s="54"/>
      <x:c r="AU102" s="54"/>
      <x:c r="AV102" s="54"/>
      <x:c r="AW102" s="54"/>
    </x:row>
    <x:row r="103">
      <x:c r="A103" s="54"/>
      <x:c r="B103" s="54"/>
      <x:c r="C103" s="54"/>
      <x:c r="D103" s="54"/>
      <x:c r="E103" s="54"/>
      <x:c r="F103" s="54"/>
      <x:c r="G103" s="54"/>
      <x:c r="H103" s="54"/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  <x:c r="AA103" s="54"/>
      <x:c r="AB103" s="54"/>
      <x:c r="AC103" s="54"/>
      <x:c r="AD103" s="54"/>
      <x:c r="AE103" s="54"/>
      <x:c r="AF103" s="54"/>
      <x:c r="AG103" s="54"/>
      <x:c r="AH103" s="54"/>
      <x:c r="AI103" s="54"/>
      <x:c r="AJ103" s="54"/>
      <x:c r="AK103" s="54"/>
      <x:c r="AL103" s="54"/>
      <x:c r="AM103" s="54"/>
      <x:c r="AN103" s="54"/>
      <x:c r="AO103" s="54"/>
      <x:c r="AP103" s="54"/>
      <x:c r="AQ103" s="54"/>
      <x:c r="AR103" s="54"/>
      <x:c r="AS103" s="54"/>
      <x:c r="AT103" s="54"/>
      <x:c r="AU103" s="54"/>
      <x:c r="AV103" s="54"/>
      <x:c r="AW103" s="54"/>
    </x:row>
    <x:row r="104">
      <x:c r="A104" s="54"/>
      <x:c r="B104" s="54"/>
      <x:c r="C104" s="54"/>
      <x:c r="D104" s="54"/>
      <x:c r="E104" s="54"/>
      <x:c r="F104" s="54"/>
      <x:c r="G104" s="54"/>
      <x:c r="H104" s="54"/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  <x:c r="AA104" s="54"/>
      <x:c r="AB104" s="54"/>
      <x:c r="AC104" s="54"/>
      <x:c r="AD104" s="54"/>
      <x:c r="AE104" s="54"/>
      <x:c r="AF104" s="54"/>
      <x:c r="AG104" s="54"/>
      <x:c r="AH104" s="54"/>
      <x:c r="AI104" s="54"/>
      <x:c r="AJ104" s="54"/>
      <x:c r="AK104" s="54"/>
      <x:c r="AL104" s="54"/>
      <x:c r="AM104" s="54"/>
      <x:c r="AN104" s="54"/>
      <x:c r="AO104" s="54"/>
      <x:c r="AP104" s="54"/>
      <x:c r="AQ104" s="54"/>
      <x:c r="AR104" s="54"/>
      <x:c r="AS104" s="54"/>
      <x:c r="AT104" s="54"/>
      <x:c r="AU104" s="54"/>
      <x:c r="AV104" s="54"/>
      <x:c r="AW104" s="54"/>
    </x:row>
    <x:row r="105">
      <x:c r="A105" s="54"/>
      <x:c r="B105" s="54"/>
      <x:c r="C105" s="54"/>
      <x:c r="D105" s="54"/>
      <x:c r="E105" s="54"/>
      <x:c r="F105" s="54"/>
      <x:c r="G105" s="54"/>
      <x:c r="H105" s="54"/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  <x:c r="AA105" s="54"/>
      <x:c r="AB105" s="54"/>
      <x:c r="AC105" s="54"/>
      <x:c r="AD105" s="54"/>
      <x:c r="AE105" s="54"/>
      <x:c r="AF105" s="54"/>
      <x:c r="AG105" s="54"/>
      <x:c r="AH105" s="54"/>
      <x:c r="AI105" s="54"/>
      <x:c r="AJ105" s="54"/>
      <x:c r="AK105" s="54"/>
      <x:c r="AL105" s="54"/>
      <x:c r="AM105" s="54"/>
      <x:c r="AN105" s="54"/>
      <x:c r="AO105" s="54"/>
      <x:c r="AP105" s="54"/>
      <x:c r="AQ105" s="54"/>
      <x:c r="AR105" s="54"/>
      <x:c r="AS105" s="54"/>
      <x:c r="AT105" s="54"/>
      <x:c r="AU105" s="54"/>
      <x:c r="AV105" s="54"/>
      <x:c r="AW105" s="54"/>
    </x:row>
    <x:row r="106">
      <x:c r="A106" s="54"/>
      <x:c r="B106" s="54"/>
      <x:c r="C106" s="54"/>
      <x:c r="D106" s="54"/>
      <x:c r="E106" s="54"/>
      <x:c r="F106" s="54"/>
      <x:c r="G106" s="54"/>
      <x:c r="H106" s="54"/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  <x:c r="AA106" s="54"/>
      <x:c r="AB106" s="54"/>
      <x:c r="AC106" s="54"/>
      <x:c r="AD106" s="54"/>
      <x:c r="AE106" s="54"/>
      <x:c r="AF106" s="54"/>
      <x:c r="AG106" s="54"/>
      <x:c r="AH106" s="54"/>
      <x:c r="AI106" s="54"/>
      <x:c r="AJ106" s="54"/>
      <x:c r="AK106" s="54"/>
      <x:c r="AL106" s="54"/>
      <x:c r="AM106" s="54"/>
      <x:c r="AN106" s="54"/>
      <x:c r="AO106" s="54"/>
      <x:c r="AP106" s="54"/>
      <x:c r="AQ106" s="54"/>
      <x:c r="AR106" s="54"/>
      <x:c r="AS106" s="54"/>
      <x:c r="AT106" s="54"/>
      <x:c r="AU106" s="54"/>
      <x:c r="AV106" s="54"/>
      <x:c r="AW106" s="54"/>
    </x:row>
    <x:row r="107">
      <x:c r="A107" s="54"/>
      <x:c r="B107" s="54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  <x:c r="AA107" s="54"/>
      <x:c r="AB107" s="54"/>
      <x:c r="AC107" s="54"/>
      <x:c r="AD107" s="54"/>
      <x:c r="AE107" s="54"/>
      <x:c r="AF107" s="54"/>
      <x:c r="AG107" s="54"/>
      <x:c r="AH107" s="54"/>
      <x:c r="AI107" s="54"/>
      <x:c r="AJ107" s="54"/>
      <x:c r="AK107" s="54"/>
      <x:c r="AL107" s="54"/>
      <x:c r="AM107" s="54"/>
      <x:c r="AN107" s="54"/>
      <x:c r="AO107" s="54"/>
      <x:c r="AP107" s="54"/>
      <x:c r="AQ107" s="54"/>
      <x:c r="AR107" s="54"/>
      <x:c r="AS107" s="54"/>
      <x:c r="AT107" s="54"/>
      <x:c r="AU107" s="54"/>
      <x:c r="AV107" s="54"/>
      <x:c r="AW107" s="54"/>
    </x:row>
    <x:row r="108">
      <x:c r="A108" s="54"/>
      <x:c r="B108" s="54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  <x:c r="AA108" s="54"/>
      <x:c r="AB108" s="54"/>
      <x:c r="AC108" s="54"/>
      <x:c r="AD108" s="54"/>
      <x:c r="AE108" s="54"/>
      <x:c r="AF108" s="54"/>
      <x:c r="AG108" s="54"/>
      <x:c r="AH108" s="54"/>
      <x:c r="AI108" s="54"/>
      <x:c r="AJ108" s="54"/>
      <x:c r="AK108" s="54"/>
      <x:c r="AL108" s="54"/>
      <x:c r="AM108" s="54"/>
      <x:c r="AN108" s="54"/>
      <x:c r="AO108" s="54"/>
      <x:c r="AP108" s="54"/>
      <x:c r="AQ108" s="54"/>
      <x:c r="AR108" s="54"/>
      <x:c r="AS108" s="54"/>
      <x:c r="AT108" s="54"/>
      <x:c r="AU108" s="54"/>
      <x:c r="AV108" s="54"/>
      <x:c r="AW108" s="54"/>
    </x:row>
    <x:row r="109">
      <x:c r="A109" s="54"/>
      <x:c r="B109" s="54"/>
      <x:c r="C109" s="54"/>
      <x:c r="D109" s="54"/>
      <x:c r="E109" s="54"/>
      <x:c r="F109" s="54"/>
      <x:c r="G109" s="54"/>
      <x:c r="H109" s="54"/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  <x:c r="AA109" s="54"/>
      <x:c r="AB109" s="54"/>
      <x:c r="AC109" s="54"/>
      <x:c r="AD109" s="54"/>
      <x:c r="AE109" s="54"/>
      <x:c r="AF109" s="54"/>
      <x:c r="AG109" s="54"/>
      <x:c r="AH109" s="54"/>
      <x:c r="AI109" s="54"/>
      <x:c r="AJ109" s="54"/>
      <x:c r="AK109" s="54"/>
      <x:c r="AL109" s="54"/>
      <x:c r="AM109" s="54"/>
      <x:c r="AN109" s="54"/>
      <x:c r="AO109" s="54"/>
      <x:c r="AP109" s="54"/>
      <x:c r="AQ109" s="54"/>
      <x:c r="AR109" s="54"/>
      <x:c r="AS109" s="54"/>
      <x:c r="AT109" s="54"/>
      <x:c r="AU109" s="54"/>
      <x:c r="AV109" s="54"/>
      <x:c r="AW109" s="54"/>
    </x:row>
    <x:row r="110">
      <x:c r="A110" s="54"/>
      <x:c r="B110" s="54"/>
      <x:c r="C110" s="54"/>
      <x:c r="D110" s="54"/>
      <x:c r="E110" s="54"/>
      <x:c r="F110" s="54"/>
      <x:c r="G110" s="54"/>
      <x:c r="H110" s="54"/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  <x:c r="AA110" s="54"/>
      <x:c r="AB110" s="54"/>
      <x:c r="AC110" s="54"/>
      <x:c r="AD110" s="54"/>
      <x:c r="AE110" s="54"/>
      <x:c r="AF110" s="54"/>
      <x:c r="AG110" s="54"/>
      <x:c r="AH110" s="54"/>
      <x:c r="AI110" s="54"/>
      <x:c r="AJ110" s="54"/>
      <x:c r="AK110" s="54"/>
      <x:c r="AL110" s="54"/>
      <x:c r="AM110" s="54"/>
      <x:c r="AN110" s="54"/>
      <x:c r="AO110" s="54"/>
      <x:c r="AP110" s="54"/>
      <x:c r="AQ110" s="54"/>
      <x:c r="AR110" s="54"/>
      <x:c r="AS110" s="54"/>
      <x:c r="AT110" s="54"/>
      <x:c r="AU110" s="54"/>
      <x:c r="AV110" s="54"/>
      <x:c r="AW110" s="54"/>
    </x:row>
    <x:row r="111">
      <x:c r="A111" s="54"/>
      <x:c r="B111" s="54"/>
      <x:c r="C111" s="54"/>
      <x:c r="D111" s="54"/>
      <x:c r="E111" s="54"/>
      <x:c r="F111" s="54"/>
      <x:c r="G111" s="54"/>
      <x:c r="H111" s="54"/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  <x:c r="AA111" s="54"/>
      <x:c r="AB111" s="54"/>
      <x:c r="AC111" s="54"/>
      <x:c r="AD111" s="54"/>
      <x:c r="AE111" s="54"/>
      <x:c r="AF111" s="54"/>
      <x:c r="AG111" s="54"/>
      <x:c r="AH111" s="54"/>
      <x:c r="AI111" s="54"/>
      <x:c r="AJ111" s="54"/>
      <x:c r="AK111" s="54"/>
      <x:c r="AL111" s="54"/>
      <x:c r="AM111" s="54"/>
      <x:c r="AN111" s="54"/>
      <x:c r="AO111" s="54"/>
      <x:c r="AP111" s="54"/>
      <x:c r="AQ111" s="54"/>
      <x:c r="AR111" s="54"/>
      <x:c r="AS111" s="54"/>
      <x:c r="AT111" s="54"/>
      <x:c r="AU111" s="54"/>
      <x:c r="AV111" s="54"/>
      <x:c r="AW111" s="54"/>
    </x:row>
    <x:row r="112">
      <x:c r="A112" s="54"/>
      <x:c r="B112" s="54"/>
      <x:c r="C112" s="54"/>
      <x:c r="D112" s="54"/>
      <x:c r="E112" s="54"/>
      <x:c r="F112" s="54"/>
      <x:c r="G112" s="54"/>
      <x:c r="H112" s="54"/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  <x:c r="AA112" s="54"/>
      <x:c r="AB112" s="54"/>
      <x:c r="AC112" s="54"/>
      <x:c r="AD112" s="54"/>
      <x:c r="AE112" s="54"/>
      <x:c r="AF112" s="54"/>
      <x:c r="AG112" s="54"/>
      <x:c r="AH112" s="54"/>
      <x:c r="AI112" s="54"/>
      <x:c r="AJ112" s="54"/>
      <x:c r="AK112" s="54"/>
      <x:c r="AL112" s="54"/>
      <x:c r="AM112" s="54"/>
      <x:c r="AN112" s="54"/>
      <x:c r="AO112" s="54"/>
      <x:c r="AP112" s="54"/>
      <x:c r="AQ112" s="54"/>
      <x:c r="AR112" s="54"/>
      <x:c r="AS112" s="54"/>
      <x:c r="AT112" s="54"/>
      <x:c r="AU112" s="54"/>
      <x:c r="AV112" s="54"/>
      <x:c r="AW112" s="54"/>
    </x:row>
    <x:row r="113">
      <x:c r="A113" s="54"/>
      <x:c r="B113" s="54"/>
      <x:c r="C113" s="54"/>
      <x:c r="D113" s="54"/>
      <x:c r="E113" s="54"/>
      <x:c r="F113" s="54"/>
      <x:c r="G113" s="54"/>
      <x:c r="H113" s="54"/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  <x:c r="AA113" s="54"/>
      <x:c r="AB113" s="54"/>
      <x:c r="AC113" s="54"/>
      <x:c r="AD113" s="54"/>
      <x:c r="AE113" s="54"/>
      <x:c r="AF113" s="54"/>
      <x:c r="AG113" s="54"/>
      <x:c r="AH113" s="54"/>
      <x:c r="AI113" s="54"/>
      <x:c r="AJ113" s="54"/>
      <x:c r="AK113" s="54"/>
      <x:c r="AL113" s="54"/>
      <x:c r="AM113" s="54"/>
      <x:c r="AN113" s="54"/>
      <x:c r="AO113" s="54"/>
      <x:c r="AP113" s="54"/>
      <x:c r="AQ113" s="54"/>
      <x:c r="AR113" s="54"/>
      <x:c r="AS113" s="54"/>
      <x:c r="AT113" s="54"/>
      <x:c r="AU113" s="54"/>
      <x:c r="AV113" s="54"/>
      <x:c r="AW113" s="54"/>
    </x:row>
    <x:row r="114">
      <x:c r="A114" s="54"/>
      <x:c r="B114" s="54"/>
      <x:c r="C114" s="54"/>
      <x:c r="D114" s="54"/>
      <x:c r="E114" s="54"/>
      <x:c r="F114" s="54"/>
      <x:c r="G114" s="54"/>
      <x:c r="H114" s="54"/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  <x:c r="AA114" s="54"/>
      <x:c r="AB114" s="54"/>
      <x:c r="AC114" s="54"/>
      <x:c r="AD114" s="54"/>
      <x:c r="AE114" s="54"/>
      <x:c r="AF114" s="54"/>
      <x:c r="AG114" s="54"/>
      <x:c r="AH114" s="54"/>
      <x:c r="AI114" s="54"/>
      <x:c r="AJ114" s="54"/>
      <x:c r="AK114" s="54"/>
      <x:c r="AL114" s="54"/>
      <x:c r="AM114" s="54"/>
      <x:c r="AN114" s="54"/>
      <x:c r="AO114" s="54"/>
      <x:c r="AP114" s="54"/>
      <x:c r="AQ114" s="54"/>
      <x:c r="AR114" s="54"/>
      <x:c r="AS114" s="54"/>
      <x:c r="AT114" s="54"/>
      <x:c r="AU114" s="54"/>
      <x:c r="AV114" s="54"/>
      <x:c r="AW114" s="54"/>
    </x:row>
    <x:row r="115">
      <x:c r="A115" s="54"/>
      <x:c r="B115" s="54"/>
      <x:c r="C115" s="54"/>
      <x:c r="D115" s="54"/>
      <x:c r="E115" s="54"/>
      <x:c r="F115" s="54"/>
      <x:c r="G115" s="54"/>
      <x:c r="H115" s="54"/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  <x:c r="AA115" s="54"/>
      <x:c r="AB115" s="54"/>
      <x:c r="AC115" s="54"/>
      <x:c r="AD115" s="54"/>
      <x:c r="AE115" s="54"/>
      <x:c r="AF115" s="54"/>
      <x:c r="AG115" s="54"/>
      <x:c r="AH115" s="54"/>
      <x:c r="AI115" s="54"/>
      <x:c r="AJ115" s="54"/>
      <x:c r="AK115" s="54"/>
      <x:c r="AL115" s="54"/>
      <x:c r="AM115" s="54"/>
      <x:c r="AN115" s="54"/>
      <x:c r="AO115" s="54"/>
      <x:c r="AP115" s="54"/>
      <x:c r="AQ115" s="54"/>
      <x:c r="AR115" s="54"/>
      <x:c r="AS115" s="54"/>
      <x:c r="AT115" s="54"/>
      <x:c r="AU115" s="54"/>
      <x:c r="AV115" s="54"/>
      <x:c r="AW115" s="54"/>
    </x:row>
    <x:row r="116">
      <x:c r="A116" s="54"/>
      <x:c r="B116" s="54"/>
      <x:c r="C116" s="54"/>
      <x:c r="D116" s="54"/>
      <x:c r="E116" s="54"/>
      <x:c r="F116" s="54"/>
      <x:c r="G116" s="54"/>
      <x:c r="H116" s="54"/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  <x:c r="AA116" s="54"/>
      <x:c r="AB116" s="54"/>
      <x:c r="AC116" s="54"/>
      <x:c r="AD116" s="54"/>
      <x:c r="AE116" s="54"/>
      <x:c r="AF116" s="54"/>
      <x:c r="AG116" s="54"/>
      <x:c r="AH116" s="54"/>
      <x:c r="AI116" s="54"/>
      <x:c r="AJ116" s="54"/>
      <x:c r="AK116" s="54"/>
      <x:c r="AL116" s="54"/>
      <x:c r="AM116" s="54"/>
      <x:c r="AN116" s="54"/>
      <x:c r="AO116" s="54"/>
      <x:c r="AP116" s="54"/>
      <x:c r="AQ116" s="54"/>
      <x:c r="AR116" s="54"/>
      <x:c r="AS116" s="54"/>
      <x:c r="AT116" s="54"/>
      <x:c r="AU116" s="54"/>
      <x:c r="AV116" s="54"/>
      <x:c r="AW116" s="54"/>
    </x:row>
    <x:row r="117">
      <x:c r="A117" s="54"/>
      <x:c r="B117" s="54"/>
      <x:c r="C117" s="54"/>
      <x:c r="D117" s="54"/>
      <x:c r="E117" s="54"/>
      <x:c r="F117" s="54"/>
      <x:c r="G117" s="54"/>
      <x:c r="H117" s="54"/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  <x:c r="AA117" s="54"/>
      <x:c r="AB117" s="54"/>
      <x:c r="AC117" s="54"/>
      <x:c r="AD117" s="54"/>
      <x:c r="AE117" s="54"/>
      <x:c r="AF117" s="54"/>
      <x:c r="AG117" s="54"/>
      <x:c r="AH117" s="54"/>
      <x:c r="AI117" s="54"/>
      <x:c r="AJ117" s="54"/>
      <x:c r="AK117" s="54"/>
      <x:c r="AL117" s="54"/>
      <x:c r="AM117" s="54"/>
      <x:c r="AN117" s="54"/>
      <x:c r="AO117" s="54"/>
      <x:c r="AP117" s="54"/>
      <x:c r="AQ117" s="54"/>
      <x:c r="AR117" s="54"/>
      <x:c r="AS117" s="54"/>
      <x:c r="AT117" s="54"/>
      <x:c r="AU117" s="54"/>
      <x:c r="AV117" s="54"/>
      <x:c r="AW117" s="54"/>
    </x:row>
    <x:row r="118">
      <x:c r="A118" s="54"/>
      <x:c r="B118" s="54"/>
      <x:c r="C118" s="54"/>
      <x:c r="D118" s="54"/>
      <x:c r="E118" s="54"/>
      <x:c r="F118" s="54"/>
      <x:c r="G118" s="54"/>
      <x:c r="H118" s="54"/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  <x:c r="AA118" s="54"/>
      <x:c r="AB118" s="54"/>
      <x:c r="AC118" s="54"/>
      <x:c r="AD118" s="54"/>
      <x:c r="AE118" s="54"/>
      <x:c r="AF118" s="54"/>
      <x:c r="AG118" s="54"/>
      <x:c r="AH118" s="54"/>
      <x:c r="AI118" s="54"/>
      <x:c r="AJ118" s="54"/>
      <x:c r="AK118" s="54"/>
      <x:c r="AL118" s="54"/>
      <x:c r="AM118" s="54"/>
      <x:c r="AN118" s="54"/>
      <x:c r="AO118" s="54"/>
      <x:c r="AP118" s="54"/>
      <x:c r="AQ118" s="54"/>
      <x:c r="AR118" s="54"/>
      <x:c r="AS118" s="54"/>
      <x:c r="AT118" s="54"/>
      <x:c r="AU118" s="54"/>
      <x:c r="AV118" s="54"/>
      <x:c r="AW118" s="54"/>
    </x:row>
    <x:row r="119">
      <x:c r="A119" s="54"/>
      <x:c r="B119" s="54"/>
      <x:c r="C119" s="54"/>
      <x:c r="D119" s="54"/>
      <x:c r="E119" s="54"/>
      <x:c r="F119" s="54"/>
      <x:c r="G119" s="54"/>
      <x:c r="H119" s="54"/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  <x:c r="AA119" s="54"/>
      <x:c r="AB119" s="54"/>
      <x:c r="AC119" s="54"/>
      <x:c r="AD119" s="54"/>
      <x:c r="AE119" s="54"/>
      <x:c r="AF119" s="54"/>
      <x:c r="AG119" s="54"/>
      <x:c r="AH119" s="54"/>
      <x:c r="AI119" s="54"/>
      <x:c r="AJ119" s="54"/>
      <x:c r="AK119" s="54"/>
      <x:c r="AL119" s="54"/>
      <x:c r="AM119" s="54"/>
      <x:c r="AN119" s="54"/>
      <x:c r="AO119" s="54"/>
      <x:c r="AP119" s="54"/>
      <x:c r="AQ119" s="54"/>
      <x:c r="AR119" s="54"/>
      <x:c r="AS119" s="54"/>
      <x:c r="AT119" s="54"/>
      <x:c r="AU119" s="54"/>
      <x:c r="AV119" s="54"/>
      <x:c r="AW119" s="54"/>
    </x:row>
    <x:row r="120">
      <x:c r="A120" s="54"/>
      <x:c r="B120" s="54"/>
      <x:c r="C120" s="54"/>
      <x:c r="D120" s="54"/>
      <x:c r="E120" s="54"/>
      <x:c r="F120" s="54"/>
      <x:c r="G120" s="54"/>
      <x:c r="H120" s="54"/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  <x:c r="AA120" s="54"/>
      <x:c r="AB120" s="54"/>
      <x:c r="AC120" s="54"/>
      <x:c r="AD120" s="54"/>
      <x:c r="AE120" s="54"/>
      <x:c r="AF120" s="54"/>
      <x:c r="AG120" s="54"/>
      <x:c r="AH120" s="54"/>
      <x:c r="AI120" s="54"/>
      <x:c r="AJ120" s="54"/>
      <x:c r="AK120" s="54"/>
      <x:c r="AL120" s="54"/>
      <x:c r="AM120" s="54"/>
      <x:c r="AN120" s="54"/>
      <x:c r="AO120" s="54"/>
      <x:c r="AP120" s="54"/>
      <x:c r="AQ120" s="54"/>
      <x:c r="AR120" s="54"/>
      <x:c r="AS120" s="54"/>
      <x:c r="AT120" s="54"/>
      <x:c r="AU120" s="54"/>
      <x:c r="AV120" s="54"/>
      <x:c r="AW120" s="54"/>
    </x:row>
    <x:row r="121">
      <x:c r="A121" s="54"/>
      <x:c r="B121" s="54"/>
      <x:c r="C121" s="54"/>
      <x:c r="D121" s="54"/>
      <x:c r="E121" s="54"/>
      <x:c r="F121" s="54"/>
      <x:c r="G121" s="54"/>
      <x:c r="H121" s="54"/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  <x:c r="AA121" s="54"/>
      <x:c r="AB121" s="54"/>
      <x:c r="AC121" s="54"/>
      <x:c r="AD121" s="54"/>
      <x:c r="AE121" s="54"/>
      <x:c r="AF121" s="54"/>
      <x:c r="AG121" s="54"/>
      <x:c r="AH121" s="54"/>
      <x:c r="AI121" s="54"/>
      <x:c r="AJ121" s="54"/>
      <x:c r="AK121" s="54"/>
      <x:c r="AL121" s="54"/>
      <x:c r="AM121" s="54"/>
      <x:c r="AN121" s="54"/>
      <x:c r="AO121" s="54"/>
      <x:c r="AP121" s="54"/>
      <x:c r="AQ121" s="54"/>
      <x:c r="AR121" s="54"/>
      <x:c r="AS121" s="54"/>
      <x:c r="AT121" s="54"/>
      <x:c r="AU121" s="54"/>
      <x:c r="AV121" s="54"/>
      <x:c r="AW121" s="54"/>
    </x:row>
    <x:row r="122">
      <x:c r="A122" s="54"/>
      <x:c r="B122" s="54"/>
      <x:c r="C122" s="54"/>
      <x:c r="D122" s="54"/>
      <x:c r="E122" s="54"/>
      <x:c r="F122" s="54"/>
      <x:c r="G122" s="54"/>
      <x:c r="H122" s="54"/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  <x:c r="AA122" s="54"/>
      <x:c r="AB122" s="54"/>
      <x:c r="AC122" s="54"/>
      <x:c r="AD122" s="54"/>
      <x:c r="AE122" s="54"/>
      <x:c r="AF122" s="54"/>
      <x:c r="AG122" s="54"/>
      <x:c r="AH122" s="54"/>
      <x:c r="AI122" s="54"/>
      <x:c r="AJ122" s="54"/>
      <x:c r="AK122" s="54"/>
      <x:c r="AL122" s="54"/>
      <x:c r="AM122" s="54"/>
      <x:c r="AN122" s="54"/>
      <x:c r="AO122" s="54"/>
      <x:c r="AP122" s="54"/>
      <x:c r="AQ122" s="54"/>
      <x:c r="AR122" s="54"/>
      <x:c r="AS122" s="54"/>
      <x:c r="AT122" s="54"/>
      <x:c r="AU122" s="54"/>
      <x:c r="AV122" s="54"/>
      <x:c r="AW122" s="54"/>
    </x:row>
    <x:row r="123">
      <x:c r="A123" s="54"/>
      <x:c r="B123" s="54"/>
      <x:c r="C123" s="54"/>
      <x:c r="D123" s="54"/>
      <x:c r="E123" s="54"/>
      <x:c r="F123" s="54"/>
      <x:c r="G123" s="54"/>
      <x:c r="H123" s="54"/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  <x:c r="AA123" s="54"/>
      <x:c r="AB123" s="54"/>
      <x:c r="AC123" s="54"/>
      <x:c r="AD123" s="54"/>
      <x:c r="AE123" s="54"/>
      <x:c r="AF123" s="54"/>
      <x:c r="AG123" s="54"/>
      <x:c r="AH123" s="54"/>
      <x:c r="AI123" s="54"/>
      <x:c r="AJ123" s="54"/>
      <x:c r="AK123" s="54"/>
      <x:c r="AL123" s="54"/>
      <x:c r="AM123" s="54"/>
      <x:c r="AN123" s="54"/>
      <x:c r="AO123" s="54"/>
      <x:c r="AP123" s="54"/>
      <x:c r="AQ123" s="54"/>
      <x:c r="AR123" s="54"/>
      <x:c r="AS123" s="54"/>
      <x:c r="AT123" s="54"/>
      <x:c r="AU123" s="54"/>
      <x:c r="AV123" s="54"/>
      <x:c r="AW123" s="54"/>
    </x:row>
    <x:row r="124">
      <x:c r="A124" s="54"/>
      <x:c r="B124" s="54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  <x:c r="AA124" s="54"/>
      <x:c r="AB124" s="54"/>
      <x:c r="AC124" s="54"/>
      <x:c r="AD124" s="54"/>
      <x:c r="AE124" s="54"/>
      <x:c r="AF124" s="54"/>
      <x:c r="AG124" s="54"/>
      <x:c r="AH124" s="54"/>
      <x:c r="AI124" s="54"/>
      <x:c r="AJ124" s="54"/>
      <x:c r="AK124" s="54"/>
      <x:c r="AL124" s="54"/>
      <x:c r="AM124" s="54"/>
      <x:c r="AN124" s="54"/>
      <x:c r="AO124" s="54"/>
      <x:c r="AP124" s="54"/>
      <x:c r="AQ124" s="54"/>
      <x:c r="AR124" s="54"/>
      <x:c r="AS124" s="54"/>
      <x:c r="AT124" s="54"/>
      <x:c r="AU124" s="54"/>
      <x:c r="AV124" s="54"/>
      <x:c r="AW124" s="54"/>
    </x:row>
    <x:row r="125">
      <x:c r="A125" s="54"/>
      <x:c r="B125" s="54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  <x:c r="AA125" s="54"/>
      <x:c r="AB125" s="54"/>
      <x:c r="AC125" s="54"/>
      <x:c r="AD125" s="54"/>
      <x:c r="AE125" s="54"/>
      <x:c r="AF125" s="54"/>
      <x:c r="AG125" s="54"/>
      <x:c r="AH125" s="54"/>
      <x:c r="AI125" s="54"/>
      <x:c r="AJ125" s="54"/>
      <x:c r="AK125" s="54"/>
      <x:c r="AL125" s="54"/>
      <x:c r="AM125" s="54"/>
      <x:c r="AN125" s="54"/>
      <x:c r="AO125" s="54"/>
      <x:c r="AP125" s="54"/>
      <x:c r="AQ125" s="54"/>
      <x:c r="AR125" s="54"/>
      <x:c r="AS125" s="54"/>
      <x:c r="AT125" s="54"/>
      <x:c r="AU125" s="54"/>
      <x:c r="AV125" s="54"/>
      <x:c r="AW125" s="54"/>
    </x:row>
    <x:row r="126">
      <x:c r="A126" s="54"/>
      <x:c r="B126" s="54"/>
      <x:c r="C126" s="54"/>
      <x:c r="D126" s="54"/>
      <x:c r="E126" s="54"/>
      <x:c r="F126" s="54"/>
      <x:c r="G126" s="54"/>
      <x:c r="H126" s="54"/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  <x:c r="AA126" s="54"/>
      <x:c r="AB126" s="54"/>
      <x:c r="AC126" s="54"/>
      <x:c r="AD126" s="54"/>
      <x:c r="AE126" s="54"/>
      <x:c r="AF126" s="54"/>
      <x:c r="AG126" s="54"/>
      <x:c r="AH126" s="54"/>
      <x:c r="AI126" s="54"/>
      <x:c r="AJ126" s="54"/>
      <x:c r="AK126" s="54"/>
      <x:c r="AL126" s="54"/>
      <x:c r="AM126" s="54"/>
      <x:c r="AN126" s="54"/>
      <x:c r="AO126" s="54"/>
      <x:c r="AP126" s="54"/>
      <x:c r="AQ126" s="54"/>
      <x:c r="AR126" s="54"/>
      <x:c r="AS126" s="54"/>
      <x:c r="AT126" s="54"/>
      <x:c r="AU126" s="54"/>
      <x:c r="AV126" s="54"/>
      <x:c r="AW126" s="54"/>
    </x:row>
    <x:row r="127">
      <x:c r="A127" s="54"/>
      <x:c r="B127" s="54"/>
      <x:c r="C127" s="54"/>
      <x:c r="D127" s="54"/>
      <x:c r="E127" s="54"/>
      <x:c r="F127" s="54"/>
      <x:c r="G127" s="54"/>
      <x:c r="H127" s="54"/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  <x:c r="AA127" s="54"/>
      <x:c r="AB127" s="54"/>
      <x:c r="AC127" s="54"/>
      <x:c r="AD127" s="54"/>
      <x:c r="AE127" s="54"/>
      <x:c r="AF127" s="54"/>
      <x:c r="AG127" s="54"/>
      <x:c r="AH127" s="54"/>
      <x:c r="AI127" s="54"/>
      <x:c r="AJ127" s="54"/>
      <x:c r="AK127" s="54"/>
      <x:c r="AL127" s="54"/>
      <x:c r="AM127" s="54"/>
      <x:c r="AN127" s="54"/>
      <x:c r="AO127" s="54"/>
      <x:c r="AP127" s="54"/>
      <x:c r="AQ127" s="54"/>
      <x:c r="AR127" s="54"/>
      <x:c r="AS127" s="54"/>
      <x:c r="AT127" s="54"/>
      <x:c r="AU127" s="54"/>
      <x:c r="AV127" s="54"/>
      <x:c r="AW127" s="54"/>
    </x:row>
    <x:row r="128">
      <x:c r="A128" s="54"/>
      <x:c r="B128" s="54"/>
      <x:c r="C128" s="54"/>
      <x:c r="D128" s="54"/>
      <x:c r="E128" s="54"/>
      <x:c r="F128" s="54"/>
      <x:c r="G128" s="54"/>
      <x:c r="H128" s="54"/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  <x:c r="AA128" s="54"/>
      <x:c r="AB128" s="54"/>
      <x:c r="AC128" s="54"/>
      <x:c r="AD128" s="54"/>
      <x:c r="AE128" s="54"/>
      <x:c r="AF128" s="54"/>
      <x:c r="AG128" s="54"/>
      <x:c r="AH128" s="54"/>
      <x:c r="AI128" s="54"/>
      <x:c r="AJ128" s="54"/>
      <x:c r="AK128" s="54"/>
      <x:c r="AL128" s="54"/>
      <x:c r="AM128" s="54"/>
      <x:c r="AN128" s="54"/>
      <x:c r="AO128" s="54"/>
      <x:c r="AP128" s="54"/>
      <x:c r="AQ128" s="54"/>
      <x:c r="AR128" s="54"/>
      <x:c r="AS128" s="54"/>
      <x:c r="AT128" s="54"/>
      <x:c r="AU128" s="54"/>
      <x:c r="AV128" s="54"/>
      <x:c r="AW128" s="54"/>
    </x:row>
    <x:row r="129">
      <x:c r="A129" s="54"/>
      <x:c r="B129" s="54"/>
      <x:c r="C129" s="54"/>
      <x:c r="D129" s="54"/>
      <x:c r="E129" s="54"/>
      <x:c r="F129" s="54"/>
      <x:c r="G129" s="54"/>
      <x:c r="H129" s="54"/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  <x:c r="AA129" s="54"/>
      <x:c r="AB129" s="54"/>
      <x:c r="AC129" s="54"/>
      <x:c r="AD129" s="54"/>
      <x:c r="AE129" s="54"/>
      <x:c r="AF129" s="54"/>
      <x:c r="AG129" s="54"/>
      <x:c r="AH129" s="54"/>
      <x:c r="AI129" s="54"/>
      <x:c r="AJ129" s="54"/>
      <x:c r="AK129" s="54"/>
      <x:c r="AL129" s="54"/>
      <x:c r="AM129" s="54"/>
      <x:c r="AN129" s="54"/>
      <x:c r="AO129" s="54"/>
      <x:c r="AP129" s="54"/>
      <x:c r="AQ129" s="54"/>
      <x:c r="AR129" s="54"/>
      <x:c r="AS129" s="54"/>
      <x:c r="AT129" s="54"/>
      <x:c r="AU129" s="54"/>
      <x:c r="AV129" s="54"/>
      <x:c r="AW129" s="54"/>
    </x:row>
    <x:row r="130">
      <x:c r="A130" s="54"/>
      <x:c r="B130" s="54"/>
      <x:c r="C130" s="54"/>
      <x:c r="D130" s="54"/>
      <x:c r="E130" s="54"/>
      <x:c r="F130" s="54"/>
      <x:c r="G130" s="54"/>
      <x:c r="H130" s="54"/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  <x:c r="AA130" s="54"/>
      <x:c r="AB130" s="54"/>
      <x:c r="AC130" s="54"/>
      <x:c r="AD130" s="54"/>
      <x:c r="AE130" s="54"/>
      <x:c r="AF130" s="54"/>
      <x:c r="AG130" s="54"/>
      <x:c r="AH130" s="54"/>
      <x:c r="AI130" s="54"/>
      <x:c r="AJ130" s="54"/>
      <x:c r="AK130" s="54"/>
      <x:c r="AL130" s="54"/>
      <x:c r="AM130" s="54"/>
      <x:c r="AN130" s="54"/>
      <x:c r="AO130" s="54"/>
      <x:c r="AP130" s="54"/>
      <x:c r="AQ130" s="54"/>
      <x:c r="AR130" s="54"/>
      <x:c r="AS130" s="54"/>
      <x:c r="AT130" s="54"/>
      <x:c r="AU130" s="54"/>
      <x:c r="AV130" s="54"/>
      <x:c r="AW130" s="54"/>
    </x:row>
    <x:row r="131">
      <x:c r="A131" s="54"/>
      <x:c r="B131" s="54"/>
      <x:c r="C131" s="54"/>
      <x:c r="D131" s="54"/>
      <x:c r="E131" s="54"/>
      <x:c r="F131" s="54"/>
      <x:c r="G131" s="54"/>
      <x:c r="H131" s="54"/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  <x:c r="AA131" s="54"/>
      <x:c r="AB131" s="54"/>
      <x:c r="AC131" s="54"/>
      <x:c r="AD131" s="54"/>
      <x:c r="AE131" s="54"/>
      <x:c r="AF131" s="54"/>
      <x:c r="AG131" s="54"/>
      <x:c r="AH131" s="54"/>
      <x:c r="AI131" s="54"/>
      <x:c r="AJ131" s="54"/>
      <x:c r="AK131" s="54"/>
      <x:c r="AL131" s="54"/>
      <x:c r="AM131" s="54"/>
      <x:c r="AN131" s="54"/>
      <x:c r="AO131" s="54"/>
      <x:c r="AP131" s="54"/>
      <x:c r="AQ131" s="54"/>
      <x:c r="AR131" s="54"/>
      <x:c r="AS131" s="54"/>
      <x:c r="AT131" s="54"/>
      <x:c r="AU131" s="54"/>
      <x:c r="AV131" s="54"/>
      <x:c r="AW131" s="54"/>
    </x:row>
    <x:row r="132">
      <x:c r="A132" s="54"/>
      <x:c r="B132" s="54"/>
      <x:c r="C132" s="54"/>
      <x:c r="D132" s="54"/>
      <x:c r="E132" s="54"/>
      <x:c r="F132" s="54"/>
      <x:c r="G132" s="54"/>
      <x:c r="H132" s="54"/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  <x:c r="AA132" s="54"/>
      <x:c r="AB132" s="54"/>
      <x:c r="AC132" s="54"/>
      <x:c r="AD132" s="54"/>
      <x:c r="AE132" s="54"/>
      <x:c r="AF132" s="54"/>
      <x:c r="AG132" s="54"/>
      <x:c r="AH132" s="54"/>
      <x:c r="AI132" s="54"/>
      <x:c r="AJ132" s="54"/>
      <x:c r="AK132" s="54"/>
      <x:c r="AL132" s="54"/>
      <x:c r="AM132" s="54"/>
      <x:c r="AN132" s="54"/>
      <x:c r="AO132" s="54"/>
      <x:c r="AP132" s="54"/>
      <x:c r="AQ132" s="54"/>
      <x:c r="AR132" s="54"/>
      <x:c r="AS132" s="54"/>
      <x:c r="AT132" s="54"/>
      <x:c r="AU132" s="54"/>
      <x:c r="AV132" s="54"/>
      <x:c r="AW132" s="54"/>
    </x:row>
    <x:row r="133">
      <x:c r="A133" s="54"/>
      <x:c r="B133" s="54"/>
      <x:c r="C133" s="54"/>
      <x:c r="D133" s="54"/>
      <x:c r="E133" s="54"/>
      <x:c r="F133" s="54"/>
      <x:c r="G133" s="54"/>
      <x:c r="H133" s="54"/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  <x:c r="AA133" s="54"/>
      <x:c r="AB133" s="54"/>
      <x:c r="AC133" s="54"/>
      <x:c r="AD133" s="54"/>
      <x:c r="AE133" s="54"/>
      <x:c r="AF133" s="54"/>
      <x:c r="AG133" s="54"/>
      <x:c r="AH133" s="54"/>
      <x:c r="AI133" s="54"/>
      <x:c r="AJ133" s="54"/>
      <x:c r="AK133" s="54"/>
      <x:c r="AL133" s="54"/>
      <x:c r="AM133" s="54"/>
      <x:c r="AN133" s="54"/>
      <x:c r="AO133" s="54"/>
      <x:c r="AP133" s="54"/>
      <x:c r="AQ133" s="54"/>
      <x:c r="AR133" s="54"/>
      <x:c r="AS133" s="54"/>
      <x:c r="AT133" s="54"/>
      <x:c r="AU133" s="54"/>
      <x:c r="AV133" s="54"/>
      <x:c r="AW133" s="54"/>
    </x:row>
    <x:row r="134">
      <x:c r="A134" s="54"/>
      <x:c r="B134" s="54"/>
      <x:c r="C134" s="54"/>
      <x:c r="D134" s="54"/>
      <x:c r="E134" s="54"/>
      <x:c r="F134" s="54"/>
      <x:c r="G134" s="54"/>
      <x:c r="H134" s="54"/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  <x:c r="AA134" s="54"/>
      <x:c r="AB134" s="54"/>
      <x:c r="AC134" s="54"/>
      <x:c r="AD134" s="54"/>
      <x:c r="AE134" s="54"/>
      <x:c r="AF134" s="54"/>
      <x:c r="AG134" s="54"/>
      <x:c r="AH134" s="54"/>
      <x:c r="AI134" s="54"/>
      <x:c r="AJ134" s="54"/>
      <x:c r="AK134" s="54"/>
      <x:c r="AL134" s="54"/>
      <x:c r="AM134" s="54"/>
      <x:c r="AN134" s="54"/>
      <x:c r="AO134" s="54"/>
      <x:c r="AP134" s="54"/>
      <x:c r="AQ134" s="54"/>
      <x:c r="AR134" s="54"/>
      <x:c r="AS134" s="54"/>
      <x:c r="AT134" s="54"/>
      <x:c r="AU134" s="54"/>
      <x:c r="AV134" s="54"/>
      <x:c r="AW134" s="54"/>
    </x:row>
    <x:row r="135">
      <x:c r="A135" s="54"/>
      <x:c r="B135" s="54"/>
      <x:c r="C135" s="54"/>
      <x:c r="D135" s="54"/>
      <x:c r="E135" s="54"/>
      <x:c r="F135" s="54"/>
      <x:c r="G135" s="54"/>
      <x:c r="H135" s="54"/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  <x:c r="AA135" s="54"/>
      <x:c r="AB135" s="54"/>
      <x:c r="AC135" s="54"/>
      <x:c r="AD135" s="54"/>
      <x:c r="AE135" s="54"/>
      <x:c r="AF135" s="54"/>
      <x:c r="AG135" s="54"/>
      <x:c r="AH135" s="54"/>
      <x:c r="AI135" s="54"/>
      <x:c r="AJ135" s="54"/>
      <x:c r="AK135" s="54"/>
      <x:c r="AL135" s="54"/>
      <x:c r="AM135" s="54"/>
      <x:c r="AN135" s="54"/>
      <x:c r="AO135" s="54"/>
      <x:c r="AP135" s="54"/>
      <x:c r="AQ135" s="54"/>
      <x:c r="AR135" s="54"/>
      <x:c r="AS135" s="54"/>
      <x:c r="AT135" s="54"/>
      <x:c r="AU135" s="54"/>
      <x:c r="AV135" s="54"/>
      <x:c r="AW135" s="54"/>
    </x:row>
    <x:row r="136">
      <x:c r="A136" s="54"/>
      <x:c r="B136" s="54"/>
      <x:c r="C136" s="54"/>
      <x:c r="D136" s="54"/>
      <x:c r="E136" s="54"/>
      <x:c r="F136" s="54"/>
      <x:c r="G136" s="54"/>
      <x:c r="H136" s="54"/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  <x:c r="AA136" s="54"/>
      <x:c r="AB136" s="54"/>
      <x:c r="AC136" s="54"/>
      <x:c r="AD136" s="54"/>
      <x:c r="AE136" s="54"/>
      <x:c r="AF136" s="54"/>
      <x:c r="AG136" s="54"/>
      <x:c r="AH136" s="54"/>
      <x:c r="AI136" s="54"/>
      <x:c r="AJ136" s="54"/>
      <x:c r="AK136" s="54"/>
      <x:c r="AL136" s="54"/>
      <x:c r="AM136" s="54"/>
      <x:c r="AN136" s="54"/>
      <x:c r="AO136" s="54"/>
      <x:c r="AP136" s="54"/>
      <x:c r="AQ136" s="54"/>
      <x:c r="AR136" s="54"/>
      <x:c r="AS136" s="54"/>
      <x:c r="AT136" s="54"/>
      <x:c r="AU136" s="54"/>
      <x:c r="AV136" s="54"/>
      <x:c r="AW136" s="54"/>
    </x:row>
    <x:row r="137">
      <x:c r="A137" s="54"/>
      <x:c r="B137" s="54"/>
      <x:c r="C137" s="54"/>
      <x:c r="D137" s="54"/>
      <x:c r="E137" s="54"/>
      <x:c r="F137" s="54"/>
      <x:c r="G137" s="54"/>
      <x:c r="H137" s="54"/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  <x:c r="AA137" s="54"/>
      <x:c r="AB137" s="54"/>
      <x:c r="AC137" s="54"/>
      <x:c r="AD137" s="54"/>
      <x:c r="AE137" s="54"/>
      <x:c r="AF137" s="54"/>
      <x:c r="AG137" s="54"/>
      <x:c r="AH137" s="54"/>
      <x:c r="AI137" s="54"/>
      <x:c r="AJ137" s="54"/>
      <x:c r="AK137" s="54"/>
      <x:c r="AL137" s="54"/>
      <x:c r="AM137" s="54"/>
      <x:c r="AN137" s="54"/>
      <x:c r="AO137" s="54"/>
      <x:c r="AP137" s="54"/>
      <x:c r="AQ137" s="54"/>
      <x:c r="AR137" s="54"/>
      <x:c r="AS137" s="54"/>
      <x:c r="AT137" s="54"/>
      <x:c r="AU137" s="54"/>
      <x:c r="AV137" s="54"/>
      <x:c r="AW137" s="54"/>
    </x:row>
    <x:row r="138">
      <x:c r="A138" s="54"/>
      <x:c r="B138" s="54"/>
      <x:c r="C138" s="54"/>
      <x:c r="D138" s="54"/>
      <x:c r="E138" s="54"/>
      <x:c r="F138" s="54"/>
      <x:c r="G138" s="54"/>
      <x:c r="H138" s="54"/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  <x:c r="AA138" s="54"/>
      <x:c r="AB138" s="54"/>
      <x:c r="AC138" s="54"/>
      <x:c r="AD138" s="54"/>
      <x:c r="AE138" s="54"/>
      <x:c r="AF138" s="54"/>
      <x:c r="AG138" s="54"/>
      <x:c r="AH138" s="54"/>
      <x:c r="AI138" s="54"/>
      <x:c r="AJ138" s="54"/>
      <x:c r="AK138" s="54"/>
      <x:c r="AL138" s="54"/>
      <x:c r="AM138" s="54"/>
      <x:c r="AN138" s="54"/>
      <x:c r="AO138" s="54"/>
      <x:c r="AP138" s="54"/>
      <x:c r="AQ138" s="54"/>
      <x:c r="AR138" s="54"/>
      <x:c r="AS138" s="54"/>
      <x:c r="AT138" s="54"/>
      <x:c r="AU138" s="54"/>
      <x:c r="AV138" s="54"/>
      <x:c r="AW138" s="54"/>
    </x:row>
    <x:row r="139">
      <x:c r="A139" s="54"/>
      <x:c r="B139" s="54"/>
      <x:c r="C139" s="54"/>
      <x:c r="D139" s="54"/>
      <x:c r="E139" s="54"/>
      <x:c r="F139" s="54"/>
      <x:c r="G139" s="54"/>
      <x:c r="H139" s="54"/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  <x:c r="AA139" s="54"/>
      <x:c r="AB139" s="54"/>
      <x:c r="AC139" s="54"/>
      <x:c r="AD139" s="54"/>
      <x:c r="AE139" s="54"/>
      <x:c r="AF139" s="54"/>
      <x:c r="AG139" s="54"/>
      <x:c r="AH139" s="54"/>
      <x:c r="AI139" s="54"/>
      <x:c r="AJ139" s="54"/>
      <x:c r="AK139" s="54"/>
      <x:c r="AL139" s="54"/>
      <x:c r="AM139" s="54"/>
      <x:c r="AN139" s="54"/>
      <x:c r="AO139" s="54"/>
      <x:c r="AP139" s="54"/>
      <x:c r="AQ139" s="54"/>
      <x:c r="AR139" s="54"/>
      <x:c r="AS139" s="54"/>
      <x:c r="AT139" s="54"/>
      <x:c r="AU139" s="54"/>
      <x:c r="AV139" s="54"/>
      <x:c r="AW139" s="54"/>
    </x:row>
    <x:row r="140">
      <x:c r="A140" s="54"/>
      <x:c r="B140" s="54"/>
      <x:c r="C140" s="54"/>
      <x:c r="D140" s="54"/>
      <x:c r="E140" s="54"/>
      <x:c r="F140" s="54"/>
      <x:c r="G140" s="54"/>
      <x:c r="H140" s="54"/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  <x:c r="AA140" s="54"/>
      <x:c r="AB140" s="54"/>
      <x:c r="AC140" s="54"/>
      <x:c r="AD140" s="54"/>
      <x:c r="AE140" s="54"/>
      <x:c r="AF140" s="54"/>
      <x:c r="AG140" s="54"/>
      <x:c r="AH140" s="54"/>
      <x:c r="AI140" s="54"/>
      <x:c r="AJ140" s="54"/>
      <x:c r="AK140" s="54"/>
      <x:c r="AL140" s="54"/>
      <x:c r="AM140" s="54"/>
      <x:c r="AN140" s="54"/>
      <x:c r="AO140" s="54"/>
      <x:c r="AP140" s="54"/>
      <x:c r="AQ140" s="54"/>
      <x:c r="AR140" s="54"/>
      <x:c r="AS140" s="54"/>
      <x:c r="AT140" s="54"/>
      <x:c r="AU140" s="54"/>
      <x:c r="AV140" s="54"/>
      <x:c r="AW140" s="54"/>
    </x:row>
    <x:row r="141">
      <x:c r="A141" s="54"/>
      <x:c r="B141" s="54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  <x:c r="AA141" s="54"/>
      <x:c r="AB141" s="54"/>
      <x:c r="AC141" s="54"/>
      <x:c r="AD141" s="54"/>
      <x:c r="AE141" s="54"/>
      <x:c r="AF141" s="54"/>
      <x:c r="AG141" s="54"/>
      <x:c r="AH141" s="54"/>
      <x:c r="AI141" s="54"/>
      <x:c r="AJ141" s="54"/>
      <x:c r="AK141" s="54"/>
      <x:c r="AL141" s="54"/>
      <x:c r="AM141" s="54"/>
      <x:c r="AN141" s="54"/>
      <x:c r="AO141" s="54"/>
      <x:c r="AP141" s="54"/>
      <x:c r="AQ141" s="54"/>
      <x:c r="AR141" s="54"/>
      <x:c r="AS141" s="54"/>
      <x:c r="AT141" s="54"/>
      <x:c r="AU141" s="54"/>
      <x:c r="AV141" s="54"/>
      <x:c r="AW141" s="54"/>
    </x:row>
    <x:row r="142">
      <x:c r="A142" s="54"/>
      <x:c r="B142" s="54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  <x:c r="AA142" s="54"/>
      <x:c r="AB142" s="54"/>
      <x:c r="AC142" s="54"/>
      <x:c r="AD142" s="54"/>
      <x:c r="AE142" s="54"/>
      <x:c r="AF142" s="54"/>
      <x:c r="AG142" s="54"/>
      <x:c r="AH142" s="54"/>
      <x:c r="AI142" s="54"/>
      <x:c r="AJ142" s="54"/>
      <x:c r="AK142" s="54"/>
      <x:c r="AL142" s="54"/>
      <x:c r="AM142" s="54"/>
      <x:c r="AN142" s="54"/>
      <x:c r="AO142" s="54"/>
      <x:c r="AP142" s="54"/>
      <x:c r="AQ142" s="54"/>
      <x:c r="AR142" s="54"/>
      <x:c r="AS142" s="54"/>
      <x:c r="AT142" s="54"/>
      <x:c r="AU142" s="54"/>
      <x:c r="AV142" s="54"/>
      <x:c r="AW142" s="54"/>
    </x:row>
    <x:row r="143">
      <x:c r="A143" s="54"/>
      <x:c r="B143" s="54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  <x:c r="AA143" s="54"/>
      <x:c r="AB143" s="54"/>
      <x:c r="AC143" s="54"/>
      <x:c r="AD143" s="54"/>
      <x:c r="AE143" s="54"/>
      <x:c r="AF143" s="54"/>
      <x:c r="AG143" s="54"/>
      <x:c r="AH143" s="54"/>
      <x:c r="AI143" s="54"/>
      <x:c r="AJ143" s="54"/>
      <x:c r="AK143" s="54"/>
      <x:c r="AL143" s="54"/>
      <x:c r="AM143" s="54"/>
      <x:c r="AN143" s="54"/>
      <x:c r="AO143" s="54"/>
      <x:c r="AP143" s="54"/>
      <x:c r="AQ143" s="54"/>
      <x:c r="AR143" s="54"/>
      <x:c r="AS143" s="54"/>
      <x:c r="AT143" s="54"/>
      <x:c r="AU143" s="54"/>
      <x:c r="AV143" s="54"/>
      <x:c r="AW143" s="54"/>
    </x:row>
    <x:row r="144">
      <x:c r="A144" s="54"/>
      <x:c r="B144" s="54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  <x:c r="AA144" s="54"/>
      <x:c r="AB144" s="54"/>
      <x:c r="AC144" s="54"/>
      <x:c r="AD144" s="54"/>
      <x:c r="AE144" s="54"/>
      <x:c r="AF144" s="54"/>
      <x:c r="AG144" s="54"/>
      <x:c r="AH144" s="54"/>
      <x:c r="AI144" s="54"/>
      <x:c r="AJ144" s="54"/>
      <x:c r="AK144" s="54"/>
      <x:c r="AL144" s="54"/>
      <x:c r="AM144" s="54"/>
      <x:c r="AN144" s="54"/>
      <x:c r="AO144" s="54"/>
      <x:c r="AP144" s="54"/>
      <x:c r="AQ144" s="54"/>
      <x:c r="AR144" s="54"/>
      <x:c r="AS144" s="54"/>
      <x:c r="AT144" s="54"/>
      <x:c r="AU144" s="54"/>
      <x:c r="AV144" s="54"/>
      <x:c r="AW144" s="54"/>
    </x:row>
    <x:row r="145">
      <x:c r="A145" s="54"/>
      <x:c r="B145" s="54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  <x:c r="AA145" s="54"/>
      <x:c r="AB145" s="54"/>
      <x:c r="AC145" s="54"/>
      <x:c r="AD145" s="54"/>
      <x:c r="AE145" s="54"/>
      <x:c r="AF145" s="54"/>
      <x:c r="AG145" s="54"/>
      <x:c r="AH145" s="54"/>
      <x:c r="AI145" s="54"/>
      <x:c r="AJ145" s="54"/>
      <x:c r="AK145" s="54"/>
      <x:c r="AL145" s="54"/>
      <x:c r="AM145" s="54"/>
      <x:c r="AN145" s="54"/>
      <x:c r="AO145" s="54"/>
      <x:c r="AP145" s="54"/>
      <x:c r="AQ145" s="54"/>
      <x:c r="AR145" s="54"/>
      <x:c r="AS145" s="54"/>
      <x:c r="AT145" s="54"/>
      <x:c r="AU145" s="54"/>
      <x:c r="AV145" s="54"/>
      <x:c r="AW145" s="54"/>
    </x:row>
    <x:row r="146">
      <x:c r="A146" s="54"/>
      <x:c r="B146" s="54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  <x:c r="AA146" s="54"/>
      <x:c r="AB146" s="54"/>
      <x:c r="AC146" s="54"/>
      <x:c r="AD146" s="54"/>
      <x:c r="AE146" s="54"/>
      <x:c r="AF146" s="54"/>
      <x:c r="AG146" s="54"/>
      <x:c r="AH146" s="54"/>
      <x:c r="AI146" s="54"/>
      <x:c r="AJ146" s="54"/>
      <x:c r="AK146" s="54"/>
      <x:c r="AL146" s="54"/>
      <x:c r="AM146" s="54"/>
      <x:c r="AN146" s="54"/>
      <x:c r="AO146" s="54"/>
      <x:c r="AP146" s="54"/>
      <x:c r="AQ146" s="54"/>
      <x:c r="AR146" s="54"/>
      <x:c r="AS146" s="54"/>
      <x:c r="AT146" s="54"/>
      <x:c r="AU146" s="54"/>
      <x:c r="AV146" s="54"/>
      <x:c r="AW146" s="54"/>
    </x:row>
    <x:row r="147">
      <x:c r="A147" s="54"/>
      <x:c r="B147" s="54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  <x:c r="AA147" s="54"/>
      <x:c r="AB147" s="54"/>
      <x:c r="AC147" s="54"/>
      <x:c r="AD147" s="54"/>
      <x:c r="AE147" s="54"/>
      <x:c r="AF147" s="54"/>
      <x:c r="AG147" s="54"/>
      <x:c r="AH147" s="54"/>
      <x:c r="AI147" s="54"/>
      <x:c r="AJ147" s="54"/>
      <x:c r="AK147" s="54"/>
      <x:c r="AL147" s="54"/>
      <x:c r="AM147" s="54"/>
      <x:c r="AN147" s="54"/>
      <x:c r="AO147" s="54"/>
      <x:c r="AP147" s="54"/>
      <x:c r="AQ147" s="54"/>
      <x:c r="AR147" s="54"/>
      <x:c r="AS147" s="54"/>
      <x:c r="AT147" s="54"/>
      <x:c r="AU147" s="54"/>
      <x:c r="AV147" s="54"/>
      <x:c r="AW147" s="54"/>
    </x:row>
    <x:row r="148">
      <x:c r="A148" s="54"/>
      <x:c r="B148" s="54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  <x:c r="AA148" s="54"/>
      <x:c r="AB148" s="54"/>
      <x:c r="AC148" s="54"/>
      <x:c r="AD148" s="54"/>
      <x:c r="AE148" s="54"/>
      <x:c r="AF148" s="54"/>
      <x:c r="AG148" s="54"/>
      <x:c r="AH148" s="54"/>
      <x:c r="AI148" s="54"/>
      <x:c r="AJ148" s="54"/>
      <x:c r="AK148" s="54"/>
      <x:c r="AL148" s="54"/>
      <x:c r="AM148" s="54"/>
      <x:c r="AN148" s="54"/>
      <x:c r="AO148" s="54"/>
      <x:c r="AP148" s="54"/>
      <x:c r="AQ148" s="54"/>
      <x:c r="AR148" s="54"/>
      <x:c r="AS148" s="54"/>
      <x:c r="AT148" s="54"/>
      <x:c r="AU148" s="54"/>
      <x:c r="AV148" s="54"/>
      <x:c r="AW148" s="54"/>
    </x:row>
    <x:row r="149">
      <x:c r="A149" s="54"/>
      <x:c r="B149" s="54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  <x:c r="AA149" s="54"/>
      <x:c r="AB149" s="54"/>
      <x:c r="AC149" s="54"/>
      <x:c r="AD149" s="54"/>
      <x:c r="AE149" s="54"/>
      <x:c r="AF149" s="54"/>
      <x:c r="AG149" s="54"/>
      <x:c r="AH149" s="54"/>
      <x:c r="AI149" s="54"/>
      <x:c r="AJ149" s="54"/>
      <x:c r="AK149" s="54"/>
      <x:c r="AL149" s="54"/>
      <x:c r="AM149" s="54"/>
      <x:c r="AN149" s="54"/>
      <x:c r="AO149" s="54"/>
      <x:c r="AP149" s="54"/>
      <x:c r="AQ149" s="54"/>
      <x:c r="AR149" s="54"/>
      <x:c r="AS149" s="54"/>
      <x:c r="AT149" s="54"/>
      <x:c r="AU149" s="54"/>
      <x:c r="AV149" s="54"/>
      <x:c r="AW149" s="54"/>
    </x:row>
    <x:row r="150">
      <x:c r="A150" s="54"/>
      <x:c r="B150" s="54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  <x:c r="AA150" s="54"/>
      <x:c r="AB150" s="54"/>
      <x:c r="AC150" s="54"/>
      <x:c r="AD150" s="54"/>
      <x:c r="AE150" s="54"/>
      <x:c r="AF150" s="54"/>
      <x:c r="AG150" s="54"/>
      <x:c r="AH150" s="54"/>
      <x:c r="AI150" s="54"/>
      <x:c r="AJ150" s="54"/>
      <x:c r="AK150" s="54"/>
      <x:c r="AL150" s="54"/>
      <x:c r="AM150" s="54"/>
      <x:c r="AN150" s="54"/>
      <x:c r="AO150" s="54"/>
      <x:c r="AP150" s="54"/>
      <x:c r="AQ150" s="54"/>
      <x:c r="AR150" s="54"/>
      <x:c r="AS150" s="54"/>
      <x:c r="AT150" s="54"/>
      <x:c r="AU150" s="54"/>
      <x:c r="AV150" s="54"/>
      <x:c r="AW150" s="54"/>
    </x:row>
    <x:row r="151">
      <x:c r="A151" s="54"/>
      <x:c r="B151" s="54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  <x:c r="AA151" s="54"/>
      <x:c r="AB151" s="54"/>
      <x:c r="AC151" s="54"/>
      <x:c r="AD151" s="54"/>
      <x:c r="AE151" s="54"/>
      <x:c r="AF151" s="54"/>
      <x:c r="AG151" s="54"/>
      <x:c r="AH151" s="54"/>
      <x:c r="AI151" s="54"/>
      <x:c r="AJ151" s="54"/>
      <x:c r="AK151" s="54"/>
      <x:c r="AL151" s="54"/>
      <x:c r="AM151" s="54"/>
      <x:c r="AN151" s="54"/>
      <x:c r="AO151" s="54"/>
      <x:c r="AP151" s="54"/>
      <x:c r="AQ151" s="54"/>
      <x:c r="AR151" s="54"/>
      <x:c r="AS151" s="54"/>
      <x:c r="AT151" s="54"/>
      <x:c r="AU151" s="54"/>
      <x:c r="AV151" s="54"/>
      <x:c r="AW151" s="54"/>
    </x:row>
    <x:row r="152">
      <x:c r="A152" s="54"/>
      <x:c r="B152" s="54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  <x:c r="AA152" s="54"/>
      <x:c r="AB152" s="54"/>
      <x:c r="AC152" s="54"/>
      <x:c r="AD152" s="54"/>
      <x:c r="AE152" s="54"/>
      <x:c r="AF152" s="54"/>
      <x:c r="AG152" s="54"/>
      <x:c r="AH152" s="54"/>
      <x:c r="AI152" s="54"/>
      <x:c r="AJ152" s="54"/>
      <x:c r="AK152" s="54"/>
      <x:c r="AL152" s="54"/>
      <x:c r="AM152" s="54"/>
      <x:c r="AN152" s="54"/>
      <x:c r="AO152" s="54"/>
      <x:c r="AP152" s="54"/>
      <x:c r="AQ152" s="54"/>
      <x:c r="AR152" s="54"/>
      <x:c r="AS152" s="54"/>
      <x:c r="AT152" s="54"/>
      <x:c r="AU152" s="54"/>
      <x:c r="AV152" s="54"/>
      <x:c r="AW152" s="54"/>
    </x:row>
    <x:row r="153">
      <x:c r="A153" s="54"/>
      <x:c r="B153" s="54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  <x:c r="AA153" s="54"/>
      <x:c r="AB153" s="54"/>
      <x:c r="AC153" s="54"/>
      <x:c r="AD153" s="54"/>
      <x:c r="AE153" s="54"/>
      <x:c r="AF153" s="54"/>
      <x:c r="AG153" s="54"/>
      <x:c r="AH153" s="54"/>
      <x:c r="AI153" s="54"/>
      <x:c r="AJ153" s="54"/>
      <x:c r="AK153" s="54"/>
      <x:c r="AL153" s="54"/>
      <x:c r="AM153" s="54"/>
      <x:c r="AN153" s="54"/>
      <x:c r="AO153" s="54"/>
      <x:c r="AP153" s="54"/>
      <x:c r="AQ153" s="54"/>
      <x:c r="AR153" s="54"/>
      <x:c r="AS153" s="54"/>
      <x:c r="AT153" s="54"/>
      <x:c r="AU153" s="54"/>
      <x:c r="AV153" s="54"/>
      <x:c r="AW153" s="54"/>
    </x:row>
    <x:row r="154">
      <x:c r="A154" s="54"/>
      <x:c r="B154" s="54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  <x:c r="AA154" s="54"/>
      <x:c r="AB154" s="54"/>
      <x:c r="AC154" s="54"/>
      <x:c r="AD154" s="54"/>
      <x:c r="AE154" s="54"/>
      <x:c r="AF154" s="54"/>
      <x:c r="AG154" s="54"/>
      <x:c r="AH154" s="54"/>
      <x:c r="AI154" s="54"/>
      <x:c r="AJ154" s="54"/>
      <x:c r="AK154" s="54"/>
      <x:c r="AL154" s="54"/>
      <x:c r="AM154" s="54"/>
      <x:c r="AN154" s="54"/>
      <x:c r="AO154" s="54"/>
      <x:c r="AP154" s="54"/>
      <x:c r="AQ154" s="54"/>
      <x:c r="AR154" s="54"/>
      <x:c r="AS154" s="54"/>
      <x:c r="AT154" s="54"/>
      <x:c r="AU154" s="54"/>
      <x:c r="AV154" s="54"/>
      <x:c r="AW154" s="54"/>
    </x:row>
    <x:row r="155">
      <x:c r="A155" s="54"/>
      <x:c r="B155" s="54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  <x:c r="AA155" s="54"/>
      <x:c r="AB155" s="54"/>
      <x:c r="AC155" s="54"/>
      <x:c r="AD155" s="54"/>
      <x:c r="AE155" s="54"/>
      <x:c r="AF155" s="54"/>
      <x:c r="AG155" s="54"/>
      <x:c r="AH155" s="54"/>
      <x:c r="AI155" s="54"/>
      <x:c r="AJ155" s="54"/>
      <x:c r="AK155" s="54"/>
      <x:c r="AL155" s="54"/>
      <x:c r="AM155" s="54"/>
      <x:c r="AN155" s="54"/>
      <x:c r="AO155" s="54"/>
      <x:c r="AP155" s="54"/>
      <x:c r="AQ155" s="54"/>
      <x:c r="AR155" s="54"/>
      <x:c r="AS155" s="54"/>
      <x:c r="AT155" s="54"/>
      <x:c r="AU155" s="54"/>
      <x:c r="AV155" s="54"/>
      <x:c r="AW155" s="54"/>
    </x:row>
    <x:row r="156">
      <x:c r="A156" s="54"/>
      <x:c r="B156" s="54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  <x:c r="AA156" s="54"/>
      <x:c r="AB156" s="54"/>
      <x:c r="AC156" s="54"/>
      <x:c r="AD156" s="54"/>
      <x:c r="AE156" s="54"/>
      <x:c r="AF156" s="54"/>
      <x:c r="AG156" s="54"/>
      <x:c r="AH156" s="54"/>
      <x:c r="AI156" s="54"/>
      <x:c r="AJ156" s="54"/>
      <x:c r="AK156" s="54"/>
      <x:c r="AL156" s="54"/>
      <x:c r="AM156" s="54"/>
      <x:c r="AN156" s="54"/>
      <x:c r="AO156" s="54"/>
      <x:c r="AP156" s="54"/>
      <x:c r="AQ156" s="54"/>
      <x:c r="AR156" s="54"/>
      <x:c r="AS156" s="54"/>
      <x:c r="AT156" s="54"/>
      <x:c r="AU156" s="54"/>
      <x:c r="AV156" s="54"/>
      <x:c r="AW156" s="54"/>
    </x:row>
    <x:row r="157">
      <x:c r="A157" s="54"/>
      <x:c r="B157" s="54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  <x:c r="AA157" s="54"/>
      <x:c r="AB157" s="54"/>
      <x:c r="AC157" s="54"/>
      <x:c r="AD157" s="54"/>
      <x:c r="AE157" s="54"/>
      <x:c r="AF157" s="54"/>
      <x:c r="AG157" s="54"/>
      <x:c r="AH157" s="54"/>
      <x:c r="AI157" s="54"/>
      <x:c r="AJ157" s="54"/>
      <x:c r="AK157" s="54"/>
      <x:c r="AL157" s="54"/>
      <x:c r="AM157" s="54"/>
      <x:c r="AN157" s="54"/>
      <x:c r="AO157" s="54"/>
      <x:c r="AP157" s="54"/>
      <x:c r="AQ157" s="54"/>
      <x:c r="AR157" s="54"/>
      <x:c r="AS157" s="54"/>
      <x:c r="AT157" s="54"/>
      <x:c r="AU157" s="54"/>
      <x:c r="AV157" s="54"/>
      <x:c r="AW157" s="54"/>
    </x:row>
    <x:row r="158">
      <x:c r="A158" s="54"/>
      <x:c r="B158" s="54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  <x:c r="AA158" s="54"/>
      <x:c r="AB158" s="54"/>
      <x:c r="AC158" s="54"/>
      <x:c r="AD158" s="54"/>
      <x:c r="AE158" s="54"/>
      <x:c r="AF158" s="54"/>
      <x:c r="AG158" s="54"/>
      <x:c r="AH158" s="54"/>
      <x:c r="AI158" s="54"/>
      <x:c r="AJ158" s="54"/>
      <x:c r="AK158" s="54"/>
      <x:c r="AL158" s="54"/>
      <x:c r="AM158" s="54"/>
      <x:c r="AN158" s="54"/>
      <x:c r="AO158" s="54"/>
      <x:c r="AP158" s="54"/>
      <x:c r="AQ158" s="54"/>
      <x:c r="AR158" s="54"/>
      <x:c r="AS158" s="54"/>
      <x:c r="AT158" s="54"/>
      <x:c r="AU158" s="54"/>
      <x:c r="AV158" s="54"/>
      <x:c r="AW158" s="54"/>
    </x:row>
    <x:row r="159">
      <x:c r="A159" s="54"/>
      <x:c r="B159" s="54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  <x:c r="AA159" s="54"/>
      <x:c r="AB159" s="54"/>
      <x:c r="AC159" s="54"/>
      <x:c r="AD159" s="54"/>
      <x:c r="AE159" s="54"/>
      <x:c r="AF159" s="54"/>
      <x:c r="AG159" s="54"/>
      <x:c r="AH159" s="54"/>
      <x:c r="AI159" s="54"/>
      <x:c r="AJ159" s="54"/>
      <x:c r="AK159" s="54"/>
      <x:c r="AL159" s="54"/>
      <x:c r="AM159" s="54"/>
      <x:c r="AN159" s="54"/>
      <x:c r="AO159" s="54"/>
      <x:c r="AP159" s="54"/>
      <x:c r="AQ159" s="54"/>
      <x:c r="AR159" s="54"/>
      <x:c r="AS159" s="54"/>
      <x:c r="AT159" s="54"/>
      <x:c r="AU159" s="54"/>
      <x:c r="AV159" s="54"/>
      <x:c r="AW159" s="54"/>
    </x:row>
    <x:row r="160">
      <x:c r="A160" s="54"/>
      <x:c r="B160" s="54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  <x:c r="AA160" s="54"/>
      <x:c r="AB160" s="54"/>
      <x:c r="AC160" s="54"/>
      <x:c r="AD160" s="54"/>
      <x:c r="AE160" s="54"/>
      <x:c r="AF160" s="54"/>
      <x:c r="AG160" s="54"/>
      <x:c r="AH160" s="54"/>
      <x:c r="AI160" s="54"/>
      <x:c r="AJ160" s="54"/>
      <x:c r="AK160" s="54"/>
      <x:c r="AL160" s="54"/>
      <x:c r="AM160" s="54"/>
      <x:c r="AN160" s="54"/>
      <x:c r="AO160" s="54"/>
      <x:c r="AP160" s="54"/>
      <x:c r="AQ160" s="54"/>
      <x:c r="AR160" s="54"/>
      <x:c r="AS160" s="54"/>
      <x:c r="AT160" s="54"/>
      <x:c r="AU160" s="54"/>
      <x:c r="AV160" s="54"/>
      <x:c r="AW160" s="5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87" t="str">
        <x:v>ReadMe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  <x:c r="AA1" s="54"/>
      <x:c r="AB1" s="54"/>
      <x:c r="AC1" s="54"/>
      <x:c r="AD1" s="54"/>
      <x:c r="AE1" s="54"/>
      <x:c r="AF1" s="54"/>
      <x:c r="AG1" s="54"/>
      <x:c r="AH1" s="54"/>
      <x:c r="AI1" s="54"/>
      <x:c r="AJ1" s="54"/>
      <x:c r="AK1" s="54"/>
      <x:c r="AL1" s="54"/>
      <x:c r="AM1" s="54"/>
      <x:c r="AN1" s="54"/>
      <x:c r="AO1" s="54"/>
      <x:c r="AP1" s="54"/>
      <x:c r="AQ1" s="54"/>
      <x:c r="AR1" s="54"/>
      <x:c r="AS1" s="54"/>
      <x:c r="AT1" s="54"/>
      <x:c r="AU1" s="54"/>
      <x:c r="AV1" s="54"/>
      <x:c r="AW1" s="54"/>
    </x:row>
    <x:row r="2">
      <x:c r="A2" s="54" t="str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  <x:c r="AA2" s="54"/>
      <x:c r="AB2" s="54"/>
      <x:c r="AC2" s="54"/>
      <x:c r="AD2" s="54"/>
      <x:c r="AE2" s="54"/>
      <x:c r="AF2" s="54"/>
      <x:c r="AG2" s="54"/>
      <x:c r="AH2" s="54"/>
      <x:c r="AI2" s="54"/>
      <x:c r="AJ2" s="54"/>
      <x:c r="AK2" s="54"/>
      <x:c r="AL2" s="54"/>
      <x:c r="AM2" s="54"/>
      <x:c r="AN2" s="54"/>
      <x:c r="AO2" s="54"/>
      <x:c r="AP2" s="54"/>
      <x:c r="AQ2" s="54"/>
      <x:c r="AR2" s="54"/>
      <x:c r="AS2" s="54"/>
      <x:c r="AT2" s="54"/>
      <x:c r="AU2" s="54"/>
      <x:c r="AV2" s="54"/>
      <x:c r="AW2" s="54"/>
    </x:row>
    <x:row r="3">
      <x:c r="A3" s="54" t="str">
        <x:v>This is a clean rebuild of the m=15 scoring probability workbook. It avoids merged cells, which caused the previous Excel repair warning.</x:v>
      </x:c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  <x:c r="AA3" s="54"/>
      <x:c r="AB3" s="54"/>
      <x:c r="AC3" s="54"/>
      <x:c r="AD3" s="54"/>
      <x:c r="AE3" s="54"/>
      <x:c r="AF3" s="54"/>
      <x:c r="AG3" s="54"/>
      <x:c r="AH3" s="54"/>
      <x:c r="AI3" s="54"/>
      <x:c r="AJ3" s="54"/>
      <x:c r="AK3" s="54"/>
      <x:c r="AL3" s="54"/>
      <x:c r="AM3" s="54"/>
      <x:c r="AN3" s="54"/>
      <x:c r="AO3" s="54"/>
      <x:c r="AP3" s="54"/>
      <x:c r="AQ3" s="54"/>
      <x:c r="AR3" s="54"/>
      <x:c r="AS3" s="54"/>
      <x:c r="AT3" s="54"/>
      <x:c r="AU3" s="54"/>
      <x:c r="AV3" s="54"/>
      <x:c r="AW3" s="54"/>
    </x:row>
    <x:row r="4">
      <x:c r="A4" s="54" t="str">
        <x:v>Final_Tables contains computed values for immediate comparison. Model_D1_m15 and Model_D2_m15 contain formulas for auditing/tuning.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  <x:c r="AJ4" s="54"/>
      <x:c r="AK4" s="54"/>
      <x:c r="AL4" s="54"/>
      <x:c r="AM4" s="54"/>
      <x:c r="AN4" s="54"/>
      <x:c r="AO4" s="54"/>
      <x:c r="AP4" s="54"/>
      <x:c r="AQ4" s="54"/>
      <x:c r="AR4" s="54"/>
      <x:c r="AS4" s="54"/>
      <x:c r="AT4" s="54"/>
      <x:c r="AU4" s="54"/>
      <x:c r="AV4" s="54"/>
      <x:c r="AW4" s="54"/>
    </x:row>
    <x:row r="5">
      <x:c r="A5" s="54" t="str"/>
      <x:c r="B5" s="54"/>
      <x:c r="C5" s="54"/>
      <x:c r="D5" s="54"/>
      <x:c r="E5" s="54"/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  <x:c r="AA5" s="54"/>
      <x:c r="AB5" s="54"/>
      <x:c r="AC5" s="54"/>
      <x:c r="AD5" s="54"/>
      <x:c r="AE5" s="54"/>
      <x:c r="AF5" s="54"/>
      <x:c r="AG5" s="54"/>
      <x:c r="AH5" s="54"/>
      <x:c r="AI5" s="54"/>
      <x:c r="AJ5" s="54"/>
      <x:c r="AK5" s="54"/>
      <x:c r="AL5" s="54"/>
      <x:c r="AM5" s="54"/>
      <x:c r="AN5" s="54"/>
      <x:c r="AO5" s="54"/>
      <x:c r="AP5" s="54"/>
      <x:c r="AQ5" s="54"/>
      <x:c r="AR5" s="54"/>
      <x:c r="AS5" s="54"/>
      <x:c r="AT5" s="54"/>
      <x:c r="AU5" s="54"/>
      <x:c r="AV5" s="54"/>
      <x:c r="AW5" s="54"/>
    </x:row>
    <x:row r="6">
      <x:c r="A6" s="54" t="str">
        <x:v>What changed from the corrupt file</x:v>
      </x:c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54"/>
      <x:c r="AA6" s="54"/>
      <x:c r="AB6" s="54"/>
      <x:c r="AC6" s="54"/>
      <x:c r="AD6" s="54"/>
      <x:c r="AE6" s="54"/>
      <x:c r="AF6" s="54"/>
      <x:c r="AG6" s="54"/>
      <x:c r="AH6" s="54"/>
      <x:c r="AI6" s="54"/>
      <x:c r="AJ6" s="54"/>
      <x:c r="AK6" s="54"/>
      <x:c r="AL6" s="54"/>
      <x:c r="AM6" s="54"/>
      <x:c r="AN6" s="54"/>
      <x:c r="AO6" s="54"/>
      <x:c r="AP6" s="54"/>
      <x:c r="AQ6" s="54"/>
      <x:c r="AR6" s="54"/>
      <x:c r="AS6" s="54"/>
      <x:c r="AT6" s="54"/>
      <x:c r="AU6" s="54"/>
      <x:c r="AV6" s="54"/>
      <x:c r="AW6" s="54"/>
    </x:row>
    <x:row r="7">
      <x:c r="A7" s="54" t="str">
        <x:v>No merged cells.</x:v>
      </x:c>
      <x:c r="B7" s="54"/>
      <x:c r="C7" s="54"/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  <x:c r="AA7" s="54"/>
      <x:c r="AB7" s="54"/>
      <x:c r="AC7" s="54"/>
      <x:c r="AD7" s="54"/>
      <x:c r="AE7" s="54"/>
      <x:c r="AF7" s="54"/>
      <x:c r="AG7" s="54"/>
      <x:c r="AH7" s="54"/>
      <x:c r="AI7" s="54"/>
      <x:c r="AJ7" s="54"/>
      <x:c r="AK7" s="54"/>
      <x:c r="AL7" s="54"/>
      <x:c r="AM7" s="54"/>
      <x:c r="AN7" s="54"/>
      <x:c r="AO7" s="54"/>
      <x:c r="AP7" s="54"/>
      <x:c r="AQ7" s="54"/>
      <x:c r="AR7" s="54"/>
      <x:c r="AS7" s="54"/>
      <x:c r="AT7" s="54"/>
      <x:c r="AU7" s="54"/>
      <x:c r="AV7" s="54"/>
      <x:c r="AW7" s="54"/>
    </x:row>
    <x:row r="8">
      <x:c r="A8" s="54" t="str">
        <x:v>Variable m / player-count averaging removed.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  <x:c r="T8" s="54"/>
      <x:c r="U8" s="54"/>
      <x:c r="V8" s="54"/>
      <x:c r="W8" s="54"/>
      <x:c r="X8" s="54"/>
      <x:c r="Y8" s="54"/>
      <x:c r="Z8" s="54"/>
      <x:c r="AA8" s="54"/>
      <x:c r="AB8" s="54"/>
      <x:c r="AC8" s="54"/>
      <x:c r="AD8" s="54"/>
      <x:c r="AE8" s="54"/>
      <x:c r="AF8" s="54"/>
      <x:c r="AG8" s="54"/>
      <x:c r="AH8" s="54"/>
      <x:c r="AI8" s="54"/>
      <x:c r="AJ8" s="54"/>
      <x:c r="AK8" s="54"/>
      <x:c r="AL8" s="54"/>
      <x:c r="AM8" s="54"/>
      <x:c r="AN8" s="54"/>
      <x:c r="AO8" s="54"/>
      <x:c r="AP8" s="54"/>
      <x:c r="AQ8" s="54"/>
      <x:c r="AR8" s="54"/>
      <x:c r="AS8" s="54"/>
      <x:c r="AT8" s="54"/>
      <x:c r="AU8" s="54"/>
      <x:c r="AV8" s="54"/>
      <x:c r="AW8" s="54"/>
    </x:row>
    <x:row r="9">
      <x:c r="A9" s="54" t="str">
        <x:v>Utility layer added with editable parameters on Inputs.</x:v>
      </x:c>
      <x:c r="B9" s="54"/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  <x:c r="T9" s="54"/>
      <x:c r="U9" s="54"/>
      <x:c r="V9" s="54"/>
      <x:c r="W9" s="54"/>
      <x:c r="X9" s="54"/>
      <x:c r="Y9" s="54"/>
      <x:c r="Z9" s="54"/>
      <x:c r="AA9" s="54"/>
      <x:c r="AB9" s="54"/>
      <x:c r="AC9" s="54"/>
      <x:c r="AD9" s="54"/>
      <x:c r="AE9" s="54"/>
      <x:c r="AF9" s="54"/>
      <x:c r="AG9" s="54"/>
      <x:c r="AH9" s="54"/>
      <x:c r="AI9" s="54"/>
      <x:c r="AJ9" s="54"/>
      <x:c r="AK9" s="54"/>
      <x:c r="AL9" s="54"/>
      <x:c r="AM9" s="54"/>
      <x:c r="AN9" s="54"/>
      <x:c r="AO9" s="54"/>
      <x:c r="AP9" s="54"/>
      <x:c r="AQ9" s="54"/>
      <x:c r="AR9" s="54"/>
      <x:c r="AS9" s="54"/>
      <x:c r="AT9" s="54"/>
      <x:c r="AU9" s="54"/>
      <x:c r="AV9" s="54"/>
      <x:c r="AW9" s="54"/>
    </x:row>
    <x:row r="10">
      <x:c r="A10" s="54" t="str">
        <x:v>Lambda default reduced to 0.50 so utility adjusts the probability model rather than wiping out utility-heavy spell scores by default.</x:v>
      </x:c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  <x:c r="AA10" s="54"/>
      <x:c r="AB10" s="54"/>
      <x:c r="AC10" s="54"/>
      <x:c r="AD10" s="54"/>
      <x:c r="AE10" s="54"/>
      <x:c r="AF10" s="54"/>
      <x:c r="AG10" s="54"/>
      <x:c r="AH10" s="54"/>
      <x:c r="AI10" s="54"/>
      <x:c r="AJ10" s="54"/>
      <x:c r="AK10" s="54"/>
      <x:c r="AL10" s="54"/>
      <x:c r="AM10" s="54"/>
      <x:c r="AN10" s="54"/>
      <x:c r="AO10" s="54"/>
      <x:c r="AP10" s="54"/>
      <x:c r="AQ10" s="54"/>
      <x:c r="AR10" s="54"/>
      <x:c r="AS10" s="54"/>
      <x:c r="AT10" s="54"/>
      <x:c r="AU10" s="54"/>
      <x:c r="AV10" s="54"/>
      <x:c r="AW10" s="54"/>
    </x:row>
    <x:row r="11">
      <x:c r="A11" s="54" t="str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  <x:c r="Z11" s="54"/>
      <x:c r="AA11" s="54"/>
      <x:c r="AB11" s="54"/>
      <x:c r="AC11" s="54"/>
      <x:c r="AD11" s="54"/>
      <x:c r="AE11" s="54"/>
      <x:c r="AF11" s="54"/>
      <x:c r="AG11" s="54"/>
      <x:c r="AH11" s="54"/>
      <x:c r="AI11" s="54"/>
      <x:c r="AJ11" s="54"/>
      <x:c r="AK11" s="54"/>
      <x:c r="AL11" s="54"/>
      <x:c r="AM11" s="54"/>
      <x:c r="AN11" s="54"/>
      <x:c r="AO11" s="54"/>
      <x:c r="AP11" s="54"/>
      <x:c r="AQ11" s="54"/>
      <x:c r="AR11" s="54"/>
      <x:c r="AS11" s="54"/>
      <x:c r="AT11" s="54"/>
      <x:c r="AU11" s="54"/>
      <x:c r="AV11" s="54"/>
      <x:c r="AW11" s="54"/>
    </x:row>
    <x:row r="12">
      <x:c r="A12" s="54" t="str">
        <x:v>Formula</x:v>
      </x:c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  <x:c r="Z12" s="54"/>
      <x:c r="AA12" s="54"/>
      <x:c r="AB12" s="54"/>
      <x:c r="AC12" s="54"/>
      <x:c r="AD12" s="54"/>
      <x:c r="AE12" s="54"/>
      <x:c r="AF12" s="54"/>
      <x:c r="AG12" s="54"/>
      <x:c r="AH12" s="54"/>
      <x:c r="AI12" s="54"/>
      <x:c r="AJ12" s="54"/>
      <x:c r="AK12" s="54"/>
      <x:c r="AL12" s="54"/>
      <x:c r="AM12" s="54"/>
      <x:c r="AN12" s="54"/>
      <x:c r="AO12" s="54"/>
      <x:c r="AP12" s="54"/>
      <x:c r="AQ12" s="54"/>
      <x:c r="AR12" s="54"/>
      <x:c r="AS12" s="54"/>
      <x:c r="AT12" s="54"/>
      <x:c r="AU12" s="54"/>
      <x:c r="AV12" s="54"/>
      <x:c r="AW12" s="54"/>
    </x:row>
    <x:row r="13">
      <x:c r="A13" s="54" t="str">
        <x:v>BaselineDifficulty = alpha × FixedOpportunityDifficulty + (1-alpha) × MarginalBuildDifficulty.</x:v>
      </x:c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  <x:c r="Z13" s="54"/>
      <x:c r="AA13" s="54"/>
      <x:c r="AB13" s="54"/>
      <x:c r="AC13" s="54"/>
      <x:c r="AD13" s="54"/>
      <x:c r="AE13" s="54"/>
      <x:c r="AF13" s="54"/>
      <x:c r="AG13" s="54"/>
      <x:c r="AH13" s="54"/>
      <x:c r="AI13" s="54"/>
      <x:c r="AJ13" s="54"/>
      <x:c r="AK13" s="54"/>
      <x:c r="AL13" s="54"/>
      <x:c r="AM13" s="54"/>
      <x:c r="AN13" s="54"/>
      <x:c r="AO13" s="54"/>
      <x:c r="AP13" s="54"/>
      <x:c r="AQ13" s="54"/>
      <x:c r="AR13" s="54"/>
      <x:c r="AS13" s="54"/>
      <x:c r="AT13" s="54"/>
      <x:c r="AU13" s="54"/>
      <x:c r="AV13" s="54"/>
      <x:c r="AW13" s="54"/>
    </x:row>
    <x:row r="14">
      <x:c r="A14" s="54" t="str">
        <x:v>AdjustedDifficulty = max(0, BaselineDifficulty - lambda×Utility + mu×RoleIncentive).</x:v>
      </x:c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  <x:c r="Z14" s="54"/>
      <x:c r="AA14" s="54"/>
      <x:c r="AB14" s="54"/>
      <x:c r="AC14" s="54"/>
      <x:c r="AD14" s="54"/>
      <x:c r="AE14" s="54"/>
      <x:c r="AF14" s="54"/>
      <x:c r="AG14" s="54"/>
      <x:c r="AH14" s="54"/>
      <x:c r="AI14" s="54"/>
      <x:c r="AJ14" s="54"/>
      <x:c r="AK14" s="54"/>
      <x:c r="AL14" s="54"/>
      <x:c r="AM14" s="54"/>
      <x:c r="AN14" s="54"/>
      <x:c r="AO14" s="54"/>
      <x:c r="AP14" s="54"/>
      <x:c r="AQ14" s="54"/>
      <x:c r="AR14" s="54"/>
      <x:c r="AS14" s="54"/>
      <x:c r="AT14" s="54"/>
      <x:c r="AU14" s="54"/>
      <x:c r="AV14" s="54"/>
      <x:c r="AW14" s="54"/>
    </x:row>
    <x:row r="15">
      <x:c r="A15" s="54" t="str">
        <x:v>Adjusted unrounded score = AdjustedDifficulty × ScoreScale.</x:v>
      </x:c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  <x:c r="Z15" s="54"/>
      <x:c r="AA15" s="54"/>
      <x:c r="AB15" s="54"/>
      <x:c r="AC15" s="54"/>
      <x:c r="AD15" s="54"/>
      <x:c r="AE15" s="54"/>
      <x:c r="AF15" s="54"/>
      <x:c r="AG15" s="54"/>
      <x:c r="AH15" s="54"/>
      <x:c r="AI15" s="54"/>
      <x:c r="AJ15" s="54"/>
      <x:c r="AK15" s="54"/>
      <x:c r="AL15" s="54"/>
      <x:c r="AM15" s="54"/>
      <x:c r="AN15" s="54"/>
      <x:c r="AO15" s="54"/>
      <x:c r="AP15" s="54"/>
      <x:c r="AQ15" s="54"/>
      <x:c r="AR15" s="54"/>
      <x:c r="AS15" s="54"/>
      <x:c r="AT15" s="54"/>
      <x:c r="AU15" s="54"/>
      <x:c r="AV15" s="54"/>
      <x:c r="AW15" s="54"/>
    </x:row>
    <x:row r="16">
      <x:c r="A16" s="54" t="str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  <x:c r="Z16" s="54"/>
      <x:c r="AA16" s="54"/>
      <x:c r="AB16" s="54"/>
      <x:c r="AC16" s="54"/>
      <x:c r="AD16" s="54"/>
      <x:c r="AE16" s="54"/>
      <x:c r="AF16" s="54"/>
      <x:c r="AG16" s="54"/>
      <x:c r="AH16" s="54"/>
      <x:c r="AI16" s="54"/>
      <x:c r="AJ16" s="54"/>
      <x:c r="AK16" s="54"/>
      <x:c r="AL16" s="54"/>
      <x:c r="AM16" s="54"/>
      <x:c r="AN16" s="54"/>
      <x:c r="AO16" s="54"/>
      <x:c r="AP16" s="54"/>
      <x:c r="AQ16" s="54"/>
      <x:c r="AR16" s="54"/>
      <x:c r="AS16" s="54"/>
      <x:c r="AT16" s="54"/>
      <x:c r="AU16" s="54"/>
      <x:c r="AV16" s="54"/>
      <x:c r="AW16" s="54"/>
    </x:row>
    <x:row r="17">
      <x:c r="A17" s="54" t="str">
        <x:v>Transfiguration correction</x:v>
      </x:c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  <x:c r="AA17" s="54"/>
      <x:c r="AB17" s="54"/>
      <x:c r="AC17" s="54"/>
      <x:c r="AD17" s="54"/>
      <x:c r="AE17" s="54"/>
      <x:c r="AF17" s="54"/>
      <x:c r="AG17" s="54"/>
      <x:c r="AH17" s="54"/>
      <x:c r="AI17" s="54"/>
      <x:c r="AJ17" s="54"/>
      <x:c r="AK17" s="54"/>
      <x:c r="AL17" s="54"/>
      <x:c r="AM17" s="54"/>
      <x:c r="AN17" s="54"/>
      <x:c r="AO17" s="54"/>
      <x:c r="AP17" s="54"/>
      <x:c r="AQ17" s="54"/>
      <x:c r="AR17" s="54"/>
      <x:c r="AS17" s="54"/>
      <x:c r="AT17" s="54"/>
      <x:c r="AU17" s="54"/>
      <x:c r="AV17" s="54"/>
      <x:c r="AW17" s="54"/>
    </x:row>
    <x:row r="18">
      <x:c r="A18" s="54" t="str">
        <x:v>Transfiguration is not treated as mandatory to cast. It has optional exchange utility, exchange friction, and a positive role incentive to encourage more T play.</x:v>
      </x:c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  <x:c r="AA18" s="54"/>
      <x:c r="AB18" s="54"/>
      <x:c r="AC18" s="54"/>
      <x:c r="AD18" s="54"/>
      <x:c r="AE18" s="54"/>
      <x:c r="AF18" s="54"/>
      <x:c r="AG18" s="54"/>
      <x:c r="AH18" s="54"/>
      <x:c r="AI18" s="54"/>
      <x:c r="AJ18" s="54"/>
      <x:c r="AK18" s="54"/>
      <x:c r="AL18" s="54"/>
      <x:c r="AM18" s="54"/>
      <x:c r="AN18" s="54"/>
      <x:c r="AO18" s="54"/>
      <x:c r="AP18" s="54"/>
      <x:c r="AQ18" s="54"/>
      <x:c r="AR18" s="54"/>
      <x:c r="AS18" s="54"/>
      <x:c r="AT18" s="54"/>
      <x:c r="AU18" s="54"/>
      <x:c r="AV18" s="54"/>
      <x:c r="AW18" s="54"/>
    </x:row>
    <x:row r="19">
      <x:c r="A19" s="54" t="str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  <x:c r="AA19" s="54"/>
      <x:c r="AB19" s="54"/>
      <x:c r="AC19" s="54"/>
      <x:c r="AD19" s="54"/>
      <x:c r="AE19" s="54"/>
      <x:c r="AF19" s="54"/>
      <x:c r="AG19" s="54"/>
      <x:c r="AH19" s="54"/>
      <x:c r="AI19" s="54"/>
      <x:c r="AJ19" s="54"/>
      <x:c r="AK19" s="54"/>
      <x:c r="AL19" s="54"/>
      <x:c r="AM19" s="54"/>
      <x:c r="AN19" s="54"/>
      <x:c r="AO19" s="54"/>
      <x:c r="AP19" s="54"/>
      <x:c r="AQ19" s="54"/>
      <x:c r="AR19" s="54"/>
      <x:c r="AS19" s="54"/>
      <x:c r="AT19" s="54"/>
      <x:c r="AU19" s="54"/>
      <x:c r="AV19" s="54"/>
      <x:c r="AW19" s="54"/>
    </x:row>
    <x:row r="20">
      <x:c r="A20" s="54" t="str">
        <x:v>Identity constraint</x:v>
      </x:c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  <x:c r="AA20" s="54"/>
      <x:c r="AB20" s="54"/>
      <x:c r="AC20" s="54"/>
      <x:c r="AD20" s="54"/>
      <x:c r="AE20" s="54"/>
      <x:c r="AF20" s="54"/>
      <x:c r="AG20" s="54"/>
      <x:c r="AH20" s="54"/>
      <x:c r="AI20" s="54"/>
      <x:c r="AJ20" s="54"/>
      <x:c r="AK20" s="54"/>
      <x:c r="AL20" s="54"/>
      <x:c r="AM20" s="54"/>
      <x:c r="AN20" s="54"/>
      <x:c r="AO20" s="54"/>
      <x:c r="AP20" s="54"/>
      <x:c r="AQ20" s="54"/>
      <x:c r="AR20" s="54"/>
      <x:c r="AS20" s="54"/>
      <x:c r="AT20" s="54"/>
      <x:c r="AU20" s="54"/>
      <x:c r="AV20" s="54"/>
      <x:c r="AW20" s="54"/>
    </x:row>
    <x:row r="21">
      <x:c r="A21" s="54" t="str">
        <x:v>The Inputs sheet includes a switch to force 15-card Conjuration and 15-card PT to have equal final adjusted score.</x:v>
      </x:c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  <x:c r="AA21" s="54"/>
      <x:c r="AB21" s="54"/>
      <x:c r="AC21" s="54"/>
      <x:c r="AD21" s="54"/>
      <x:c r="AE21" s="54"/>
      <x:c r="AF21" s="54"/>
      <x:c r="AG21" s="54"/>
      <x:c r="AH21" s="54"/>
      <x:c r="AI21" s="54"/>
      <x:c r="AJ21" s="54"/>
      <x:c r="AK21" s="54"/>
      <x:c r="AL21" s="54"/>
      <x:c r="AM21" s="54"/>
      <x:c r="AN21" s="54"/>
      <x:c r="AO21" s="54"/>
      <x:c r="AP21" s="54"/>
      <x:c r="AQ21" s="54"/>
      <x:c r="AR21" s="54"/>
      <x:c r="AS21" s="54"/>
      <x:c r="AT21" s="54"/>
      <x:c r="AU21" s="54"/>
      <x:c r="AV21" s="54"/>
      <x:c r="AW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  <x:c r="AA22" s="54"/>
      <x:c r="AB22" s="54"/>
      <x:c r="AC22" s="54"/>
      <x:c r="AD22" s="54"/>
      <x:c r="AE22" s="54"/>
      <x:c r="AF22" s="54"/>
      <x:c r="AG22" s="54"/>
      <x:c r="AH22" s="54"/>
      <x:c r="AI22" s="54"/>
      <x:c r="AJ22" s="54"/>
      <x:c r="AK22" s="54"/>
      <x:c r="AL22" s="54"/>
      <x:c r="AM22" s="54"/>
      <x:c r="AN22" s="54"/>
      <x:c r="AO22" s="54"/>
      <x:c r="AP22" s="54"/>
      <x:c r="AQ22" s="54"/>
      <x:c r="AR22" s="54"/>
      <x:c r="AS22" s="54"/>
      <x:c r="AT22" s="54"/>
      <x:c r="AU22" s="54"/>
      <x:c r="AV22" s="54"/>
      <x:c r="AW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  <x:c r="U23" s="54"/>
      <x:c r="V23" s="54"/>
      <x:c r="W23" s="54"/>
      <x:c r="X23" s="54"/>
      <x:c r="Y23" s="54"/>
      <x:c r="Z23" s="54"/>
      <x:c r="AA23" s="54"/>
      <x:c r="AB23" s="54"/>
      <x:c r="AC23" s="54"/>
      <x:c r="AD23" s="54"/>
      <x:c r="AE23" s="54"/>
      <x:c r="AF23" s="54"/>
      <x:c r="AG23" s="54"/>
      <x:c r="AH23" s="54"/>
      <x:c r="AI23" s="54"/>
      <x:c r="AJ23" s="54"/>
      <x:c r="AK23" s="54"/>
      <x:c r="AL23" s="54"/>
      <x:c r="AM23" s="54"/>
      <x:c r="AN23" s="54"/>
      <x:c r="AO23" s="54"/>
      <x:c r="AP23" s="54"/>
      <x:c r="AQ23" s="54"/>
      <x:c r="AR23" s="54"/>
      <x:c r="AS23" s="54"/>
      <x:c r="AT23" s="54"/>
      <x:c r="AU23" s="54"/>
      <x:c r="AV23" s="54"/>
      <x:c r="AW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  <x:c r="U24" s="54"/>
      <x:c r="V24" s="54"/>
      <x:c r="W24" s="54"/>
      <x:c r="X24" s="54"/>
      <x:c r="Y24" s="54"/>
      <x:c r="Z24" s="54"/>
      <x:c r="AA24" s="54"/>
      <x:c r="AB24" s="54"/>
      <x:c r="AC24" s="54"/>
      <x:c r="AD24" s="54"/>
      <x:c r="AE24" s="54"/>
      <x:c r="AF24" s="54"/>
      <x:c r="AG24" s="54"/>
      <x:c r="AH24" s="54"/>
      <x:c r="AI24" s="54"/>
      <x:c r="AJ24" s="54"/>
      <x:c r="AK24" s="54"/>
      <x:c r="AL24" s="54"/>
      <x:c r="AM24" s="54"/>
      <x:c r="AN24" s="54"/>
      <x:c r="AO24" s="54"/>
      <x:c r="AP24" s="54"/>
      <x:c r="AQ24" s="54"/>
      <x:c r="AR24" s="54"/>
      <x:c r="AS24" s="54"/>
      <x:c r="AT24" s="54"/>
      <x:c r="AU24" s="54"/>
      <x:c r="AV24" s="54"/>
      <x:c r="AW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  <x:c r="U25" s="54"/>
      <x:c r="V25" s="54"/>
      <x:c r="W25" s="54"/>
      <x:c r="X25" s="54"/>
      <x:c r="Y25" s="54"/>
      <x:c r="Z25" s="54"/>
      <x:c r="AA25" s="54"/>
      <x:c r="AB25" s="54"/>
      <x:c r="AC25" s="54"/>
      <x:c r="AD25" s="54"/>
      <x:c r="AE25" s="54"/>
      <x:c r="AF25" s="54"/>
      <x:c r="AG25" s="54"/>
      <x:c r="AH25" s="54"/>
      <x:c r="AI25" s="54"/>
      <x:c r="AJ25" s="54"/>
      <x:c r="AK25" s="54"/>
      <x:c r="AL25" s="54"/>
      <x:c r="AM25" s="54"/>
      <x:c r="AN25" s="54"/>
      <x:c r="AO25" s="54"/>
      <x:c r="AP25" s="54"/>
      <x:c r="AQ25" s="54"/>
      <x:c r="AR25" s="54"/>
      <x:c r="AS25" s="54"/>
      <x:c r="AT25" s="54"/>
      <x:c r="AU25" s="54"/>
      <x:c r="AV25" s="54"/>
      <x:c r="AW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  <x:c r="U26" s="54"/>
      <x:c r="V26" s="54"/>
      <x:c r="W26" s="54"/>
      <x:c r="X26" s="54"/>
      <x:c r="Y26" s="54"/>
      <x:c r="Z26" s="54"/>
      <x:c r="AA26" s="54"/>
      <x:c r="AB26" s="54"/>
      <x:c r="AC26" s="54"/>
      <x:c r="AD26" s="54"/>
      <x:c r="AE26" s="54"/>
      <x:c r="AF26" s="54"/>
      <x:c r="AG26" s="54"/>
      <x:c r="AH26" s="54"/>
      <x:c r="AI26" s="54"/>
      <x:c r="AJ26" s="54"/>
      <x:c r="AK26" s="54"/>
      <x:c r="AL26" s="54"/>
      <x:c r="AM26" s="54"/>
      <x:c r="AN26" s="54"/>
      <x:c r="AO26" s="54"/>
      <x:c r="AP26" s="54"/>
      <x:c r="AQ26" s="54"/>
      <x:c r="AR26" s="54"/>
      <x:c r="AS26" s="54"/>
      <x:c r="AT26" s="54"/>
      <x:c r="AU26" s="54"/>
      <x:c r="AV26" s="54"/>
      <x:c r="AW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  <x:c r="U27" s="54"/>
      <x:c r="V27" s="54"/>
      <x:c r="W27" s="54"/>
      <x:c r="X27" s="54"/>
      <x:c r="Y27" s="54"/>
      <x:c r="Z27" s="54"/>
      <x:c r="AA27" s="54"/>
      <x:c r="AB27" s="54"/>
      <x:c r="AC27" s="54"/>
      <x:c r="AD27" s="54"/>
      <x:c r="AE27" s="54"/>
      <x:c r="AF27" s="54"/>
      <x:c r="AG27" s="54"/>
      <x:c r="AH27" s="54"/>
      <x:c r="AI27" s="54"/>
      <x:c r="AJ27" s="54"/>
      <x:c r="AK27" s="54"/>
      <x:c r="AL27" s="54"/>
      <x:c r="AM27" s="54"/>
      <x:c r="AN27" s="54"/>
      <x:c r="AO27" s="54"/>
      <x:c r="AP27" s="54"/>
      <x:c r="AQ27" s="54"/>
      <x:c r="AR27" s="54"/>
      <x:c r="AS27" s="54"/>
      <x:c r="AT27" s="54"/>
      <x:c r="AU27" s="54"/>
      <x:c r="AV27" s="54"/>
      <x:c r="AW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  <x:c r="U28" s="54"/>
      <x:c r="V28" s="54"/>
      <x:c r="W28" s="54"/>
      <x:c r="X28" s="54"/>
      <x:c r="Y28" s="54"/>
      <x:c r="Z28" s="54"/>
      <x:c r="AA28" s="54"/>
      <x:c r="AB28" s="54"/>
      <x:c r="AC28" s="54"/>
      <x:c r="AD28" s="54"/>
      <x:c r="AE28" s="54"/>
      <x:c r="AF28" s="54"/>
      <x:c r="AG28" s="54"/>
      <x:c r="AH28" s="54"/>
      <x:c r="AI28" s="54"/>
      <x:c r="AJ28" s="54"/>
      <x:c r="AK28" s="54"/>
      <x:c r="AL28" s="54"/>
      <x:c r="AM28" s="54"/>
      <x:c r="AN28" s="54"/>
      <x:c r="AO28" s="54"/>
      <x:c r="AP28" s="54"/>
      <x:c r="AQ28" s="54"/>
      <x:c r="AR28" s="54"/>
      <x:c r="AS28" s="54"/>
      <x:c r="AT28" s="54"/>
      <x:c r="AU28" s="54"/>
      <x:c r="AV28" s="54"/>
      <x:c r="AW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  <x:c r="U29" s="54"/>
      <x:c r="V29" s="54"/>
      <x:c r="W29" s="54"/>
      <x:c r="X29" s="54"/>
      <x:c r="Y29" s="54"/>
      <x:c r="Z29" s="54"/>
      <x:c r="AA29" s="54"/>
      <x:c r="AB29" s="54"/>
      <x:c r="AC29" s="54"/>
      <x:c r="AD29" s="54"/>
      <x:c r="AE29" s="54"/>
      <x:c r="AF29" s="54"/>
      <x:c r="AG29" s="54"/>
      <x:c r="AH29" s="54"/>
      <x:c r="AI29" s="54"/>
      <x:c r="AJ29" s="54"/>
      <x:c r="AK29" s="54"/>
      <x:c r="AL29" s="54"/>
      <x:c r="AM29" s="54"/>
      <x:c r="AN29" s="54"/>
      <x:c r="AO29" s="54"/>
      <x:c r="AP29" s="54"/>
      <x:c r="AQ29" s="54"/>
      <x:c r="AR29" s="54"/>
      <x:c r="AS29" s="54"/>
      <x:c r="AT29" s="54"/>
      <x:c r="AU29" s="54"/>
      <x:c r="AV29" s="54"/>
      <x:c r="AW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  <x:c r="U30" s="54"/>
      <x:c r="V30" s="54"/>
      <x:c r="W30" s="54"/>
      <x:c r="X30" s="54"/>
      <x:c r="Y30" s="54"/>
      <x:c r="Z30" s="54"/>
      <x:c r="AA30" s="54"/>
      <x:c r="AB30" s="54"/>
      <x:c r="AC30" s="54"/>
      <x:c r="AD30" s="54"/>
      <x:c r="AE30" s="54"/>
      <x:c r="AF30" s="54"/>
      <x:c r="AG30" s="54"/>
      <x:c r="AH30" s="54"/>
      <x:c r="AI30" s="54"/>
      <x:c r="AJ30" s="54"/>
      <x:c r="AK30" s="54"/>
      <x:c r="AL30" s="54"/>
      <x:c r="AM30" s="54"/>
      <x:c r="AN30" s="54"/>
      <x:c r="AO30" s="54"/>
      <x:c r="AP30" s="54"/>
      <x:c r="AQ30" s="54"/>
      <x:c r="AR30" s="54"/>
      <x:c r="AS30" s="54"/>
      <x:c r="AT30" s="54"/>
      <x:c r="AU30" s="54"/>
      <x:c r="AV30" s="54"/>
      <x:c r="AW30" s="5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  <x:c r="N31" s="54"/>
      <x:c r="O31" s="54"/>
      <x:c r="P31" s="54"/>
      <x:c r="Q31" s="54"/>
      <x:c r="R31" s="54"/>
      <x:c r="S31" s="54"/>
      <x:c r="T31" s="54"/>
      <x:c r="U31" s="54"/>
      <x:c r="V31" s="54"/>
      <x:c r="W31" s="54"/>
      <x:c r="X31" s="54"/>
      <x:c r="Y31" s="54"/>
      <x:c r="Z31" s="54"/>
      <x:c r="AA31" s="54"/>
      <x:c r="AB31" s="54"/>
      <x:c r="AC31" s="54"/>
      <x:c r="AD31" s="54"/>
      <x:c r="AE31" s="54"/>
      <x:c r="AF31" s="54"/>
      <x:c r="AG31" s="54"/>
      <x:c r="AH31" s="54"/>
      <x:c r="AI31" s="54"/>
      <x:c r="AJ31" s="54"/>
      <x:c r="AK31" s="54"/>
      <x:c r="AL31" s="54"/>
      <x:c r="AM31" s="54"/>
      <x:c r="AN31" s="54"/>
      <x:c r="AO31" s="54"/>
      <x:c r="AP31" s="54"/>
      <x:c r="AQ31" s="54"/>
      <x:c r="AR31" s="54"/>
      <x:c r="AS31" s="54"/>
      <x:c r="AT31" s="54"/>
      <x:c r="AU31" s="54"/>
      <x:c r="AV31" s="54"/>
      <x:c r="AW31" s="5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54"/>
      <x:c r="U32" s="54"/>
      <x:c r="V32" s="54"/>
      <x:c r="W32" s="54"/>
      <x:c r="X32" s="54"/>
      <x:c r="Y32" s="54"/>
      <x:c r="Z32" s="54"/>
      <x:c r="AA32" s="54"/>
      <x:c r="AB32" s="54"/>
      <x:c r="AC32" s="54"/>
      <x:c r="AD32" s="54"/>
      <x:c r="AE32" s="54"/>
      <x:c r="AF32" s="54"/>
      <x:c r="AG32" s="54"/>
      <x:c r="AH32" s="54"/>
      <x:c r="AI32" s="54"/>
      <x:c r="AJ32" s="54"/>
      <x:c r="AK32" s="54"/>
      <x:c r="AL32" s="54"/>
      <x:c r="AM32" s="54"/>
      <x:c r="AN32" s="54"/>
      <x:c r="AO32" s="54"/>
      <x:c r="AP32" s="54"/>
      <x:c r="AQ32" s="54"/>
      <x:c r="AR32" s="54"/>
      <x:c r="AS32" s="54"/>
      <x:c r="AT32" s="54"/>
      <x:c r="AU32" s="54"/>
      <x:c r="AV32" s="54"/>
      <x:c r="AW32" s="5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  <x:c r="P33" s="54"/>
      <x:c r="Q33" s="54"/>
      <x:c r="R33" s="54"/>
      <x:c r="S33" s="54"/>
      <x:c r="T33" s="54"/>
      <x:c r="U33" s="54"/>
      <x:c r="V33" s="54"/>
      <x:c r="W33" s="54"/>
      <x:c r="X33" s="54"/>
      <x:c r="Y33" s="54"/>
      <x:c r="Z33" s="54"/>
      <x:c r="AA33" s="54"/>
      <x:c r="AB33" s="54"/>
      <x:c r="AC33" s="54"/>
      <x:c r="AD33" s="54"/>
      <x:c r="AE33" s="54"/>
      <x:c r="AF33" s="54"/>
      <x:c r="AG33" s="54"/>
      <x:c r="AH33" s="54"/>
      <x:c r="AI33" s="54"/>
      <x:c r="AJ33" s="54"/>
      <x:c r="AK33" s="54"/>
      <x:c r="AL33" s="54"/>
      <x:c r="AM33" s="54"/>
      <x:c r="AN33" s="54"/>
      <x:c r="AO33" s="54"/>
      <x:c r="AP33" s="54"/>
      <x:c r="AQ33" s="54"/>
      <x:c r="AR33" s="54"/>
      <x:c r="AS33" s="54"/>
      <x:c r="AT33" s="54"/>
      <x:c r="AU33" s="54"/>
      <x:c r="AV33" s="54"/>
      <x:c r="AW33" s="5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4"/>
      <x:c r="P34" s="54"/>
      <x:c r="Q34" s="54"/>
      <x:c r="R34" s="54"/>
      <x:c r="S34" s="54"/>
      <x:c r="T34" s="54"/>
      <x:c r="U34" s="54"/>
      <x:c r="V34" s="54"/>
      <x:c r="W34" s="54"/>
      <x:c r="X34" s="54"/>
      <x:c r="Y34" s="54"/>
      <x:c r="Z34" s="54"/>
      <x:c r="AA34" s="54"/>
      <x:c r="AB34" s="54"/>
      <x:c r="AC34" s="54"/>
      <x:c r="AD34" s="54"/>
      <x:c r="AE34" s="54"/>
      <x:c r="AF34" s="54"/>
      <x:c r="AG34" s="54"/>
      <x:c r="AH34" s="54"/>
      <x:c r="AI34" s="54"/>
      <x:c r="AJ34" s="54"/>
      <x:c r="AK34" s="54"/>
      <x:c r="AL34" s="54"/>
      <x:c r="AM34" s="54"/>
      <x:c r="AN34" s="54"/>
      <x:c r="AO34" s="54"/>
      <x:c r="AP34" s="54"/>
      <x:c r="AQ34" s="54"/>
      <x:c r="AR34" s="54"/>
      <x:c r="AS34" s="54"/>
      <x:c r="AT34" s="54"/>
      <x:c r="AU34" s="54"/>
      <x:c r="AV34" s="54"/>
      <x:c r="AW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4"/>
      <x:c r="P35" s="54"/>
      <x:c r="Q35" s="54"/>
      <x:c r="R35" s="54"/>
      <x:c r="S35" s="54"/>
      <x:c r="T35" s="54"/>
      <x:c r="U35" s="54"/>
      <x:c r="V35" s="54"/>
      <x:c r="W35" s="54"/>
      <x:c r="X35" s="54"/>
      <x:c r="Y35" s="54"/>
      <x:c r="Z35" s="54"/>
      <x:c r="AA35" s="54"/>
      <x:c r="AB35" s="54"/>
      <x:c r="AC35" s="54"/>
      <x:c r="AD35" s="54"/>
      <x:c r="AE35" s="54"/>
      <x:c r="AF35" s="54"/>
      <x:c r="AG35" s="54"/>
      <x:c r="AH35" s="54"/>
      <x:c r="AI35" s="54"/>
      <x:c r="AJ35" s="54"/>
      <x:c r="AK35" s="54"/>
      <x:c r="AL35" s="54"/>
      <x:c r="AM35" s="54"/>
      <x:c r="AN35" s="54"/>
      <x:c r="AO35" s="54"/>
      <x:c r="AP35" s="54"/>
      <x:c r="AQ35" s="54"/>
      <x:c r="AR35" s="54"/>
      <x:c r="AS35" s="54"/>
      <x:c r="AT35" s="54"/>
      <x:c r="AU35" s="54"/>
      <x:c r="AV35" s="54"/>
      <x:c r="AW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4"/>
      <x:c r="P36" s="54"/>
      <x:c r="Q36" s="54"/>
      <x:c r="R36" s="54"/>
      <x:c r="S36" s="54"/>
      <x:c r="T36" s="54"/>
      <x:c r="U36" s="54"/>
      <x:c r="V36" s="54"/>
      <x:c r="W36" s="54"/>
      <x:c r="X36" s="54"/>
      <x:c r="Y36" s="54"/>
      <x:c r="Z36" s="54"/>
      <x:c r="AA36" s="54"/>
      <x:c r="AB36" s="54"/>
      <x:c r="AC36" s="54"/>
      <x:c r="AD36" s="54"/>
      <x:c r="AE36" s="54"/>
      <x:c r="AF36" s="54"/>
      <x:c r="AG36" s="54"/>
      <x:c r="AH36" s="54"/>
      <x:c r="AI36" s="54"/>
      <x:c r="AJ36" s="54"/>
      <x:c r="AK36" s="54"/>
      <x:c r="AL36" s="54"/>
      <x:c r="AM36" s="54"/>
      <x:c r="AN36" s="54"/>
      <x:c r="AO36" s="54"/>
      <x:c r="AP36" s="54"/>
      <x:c r="AQ36" s="54"/>
      <x:c r="AR36" s="54"/>
      <x:c r="AS36" s="54"/>
      <x:c r="AT36" s="54"/>
      <x:c r="AU36" s="54"/>
      <x:c r="AV36" s="54"/>
      <x:c r="AW36" s="5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54"/>
      <x:c r="U37" s="54"/>
      <x:c r="V37" s="54"/>
      <x:c r="W37" s="54"/>
      <x:c r="X37" s="54"/>
      <x:c r="Y37" s="54"/>
      <x:c r="Z37" s="54"/>
      <x:c r="AA37" s="54"/>
      <x:c r="AB37" s="54"/>
      <x:c r="AC37" s="54"/>
      <x:c r="AD37" s="54"/>
      <x:c r="AE37" s="54"/>
      <x:c r="AF37" s="54"/>
      <x:c r="AG37" s="54"/>
      <x:c r="AH37" s="54"/>
      <x:c r="AI37" s="54"/>
      <x:c r="AJ37" s="54"/>
      <x:c r="AK37" s="54"/>
      <x:c r="AL37" s="54"/>
      <x:c r="AM37" s="54"/>
      <x:c r="AN37" s="54"/>
      <x:c r="AO37" s="54"/>
      <x:c r="AP37" s="54"/>
      <x:c r="AQ37" s="54"/>
      <x:c r="AR37" s="54"/>
      <x:c r="AS37" s="54"/>
      <x:c r="AT37" s="54"/>
      <x:c r="AU37" s="54"/>
      <x:c r="AV37" s="54"/>
      <x:c r="AW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4"/>
      <x:c r="P38" s="54"/>
      <x:c r="Q38" s="54"/>
      <x:c r="R38" s="54"/>
      <x:c r="S38" s="54"/>
      <x:c r="T38" s="54"/>
      <x:c r="U38" s="54"/>
      <x:c r="V38" s="54"/>
      <x:c r="W38" s="54"/>
      <x:c r="X38" s="54"/>
      <x:c r="Y38" s="54"/>
      <x:c r="Z38" s="54"/>
      <x:c r="AA38" s="54"/>
      <x:c r="AB38" s="54"/>
      <x:c r="AC38" s="54"/>
      <x:c r="AD38" s="54"/>
      <x:c r="AE38" s="54"/>
      <x:c r="AF38" s="54"/>
      <x:c r="AG38" s="54"/>
      <x:c r="AH38" s="54"/>
      <x:c r="AI38" s="54"/>
      <x:c r="AJ38" s="54"/>
      <x:c r="AK38" s="54"/>
      <x:c r="AL38" s="54"/>
      <x:c r="AM38" s="54"/>
      <x:c r="AN38" s="54"/>
      <x:c r="AO38" s="54"/>
      <x:c r="AP38" s="54"/>
      <x:c r="AQ38" s="54"/>
      <x:c r="AR38" s="54"/>
      <x:c r="AS38" s="54"/>
      <x:c r="AT38" s="54"/>
      <x:c r="AU38" s="54"/>
      <x:c r="AV38" s="54"/>
      <x:c r="AW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4"/>
      <x:c r="P39" s="54"/>
      <x:c r="Q39" s="54"/>
      <x:c r="R39" s="54"/>
      <x:c r="S39" s="54"/>
      <x:c r="T39" s="54"/>
      <x:c r="U39" s="54"/>
      <x:c r="V39" s="54"/>
      <x:c r="W39" s="54"/>
      <x:c r="X39" s="54"/>
      <x:c r="Y39" s="54"/>
      <x:c r="Z39" s="54"/>
      <x:c r="AA39" s="54"/>
      <x:c r="AB39" s="54"/>
      <x:c r="AC39" s="54"/>
      <x:c r="AD39" s="54"/>
      <x:c r="AE39" s="54"/>
      <x:c r="AF39" s="54"/>
      <x:c r="AG39" s="54"/>
      <x:c r="AH39" s="54"/>
      <x:c r="AI39" s="54"/>
      <x:c r="AJ39" s="54"/>
      <x:c r="AK39" s="54"/>
      <x:c r="AL39" s="54"/>
      <x:c r="AM39" s="54"/>
      <x:c r="AN39" s="54"/>
      <x:c r="AO39" s="54"/>
      <x:c r="AP39" s="54"/>
      <x:c r="AQ39" s="54"/>
      <x:c r="AR39" s="54"/>
      <x:c r="AS39" s="54"/>
      <x:c r="AT39" s="54"/>
      <x:c r="AU39" s="54"/>
      <x:c r="AV39" s="54"/>
      <x:c r="AW39" s="5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  <x:c r="P40" s="54"/>
      <x:c r="Q40" s="54"/>
      <x:c r="R40" s="54"/>
      <x:c r="S40" s="54"/>
      <x:c r="T40" s="54"/>
      <x:c r="U40" s="54"/>
      <x:c r="V40" s="54"/>
      <x:c r="W40" s="54"/>
      <x:c r="X40" s="54"/>
      <x:c r="Y40" s="54"/>
      <x:c r="Z40" s="54"/>
      <x:c r="AA40" s="54"/>
      <x:c r="AB40" s="54"/>
      <x:c r="AC40" s="54"/>
      <x:c r="AD40" s="54"/>
      <x:c r="AE40" s="54"/>
      <x:c r="AF40" s="54"/>
      <x:c r="AG40" s="54"/>
      <x:c r="AH40" s="54"/>
      <x:c r="AI40" s="54"/>
      <x:c r="AJ40" s="54"/>
      <x:c r="AK40" s="54"/>
      <x:c r="AL40" s="54"/>
      <x:c r="AM40" s="54"/>
      <x:c r="AN40" s="54"/>
      <x:c r="AO40" s="54"/>
      <x:c r="AP40" s="54"/>
      <x:c r="AQ40" s="54"/>
      <x:c r="AR40" s="54"/>
      <x:c r="AS40" s="54"/>
      <x:c r="AT40" s="54"/>
      <x:c r="AU40" s="54"/>
      <x:c r="AV40" s="54"/>
      <x:c r="AW40" s="54"/>
    </x:row>
    <x:row r="41">
      <x:c r="A41" s="54"/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  <x:c r="AA41" s="54"/>
      <x:c r="AB41" s="54"/>
      <x:c r="AC41" s="54"/>
      <x:c r="AD41" s="54"/>
      <x:c r="AE41" s="54"/>
      <x:c r="AF41" s="54"/>
      <x:c r="AG41" s="54"/>
      <x:c r="AH41" s="54"/>
      <x:c r="AI41" s="54"/>
      <x:c r="AJ41" s="54"/>
      <x:c r="AK41" s="54"/>
      <x:c r="AL41" s="54"/>
      <x:c r="AM41" s="54"/>
      <x:c r="AN41" s="54"/>
      <x:c r="AO41" s="54"/>
      <x:c r="AP41" s="54"/>
      <x:c r="AQ41" s="54"/>
      <x:c r="AR41" s="54"/>
      <x:c r="AS41" s="54"/>
      <x:c r="AT41" s="54"/>
      <x:c r="AU41" s="54"/>
      <x:c r="AV41" s="54"/>
      <x:c r="AW41" s="54"/>
    </x:row>
    <x:row r="42">
      <x:c r="A42" s="54"/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  <x:c r="M42" s="54"/>
      <x:c r="N42" s="54"/>
      <x:c r="O42" s="54"/>
      <x:c r="P42" s="54"/>
      <x:c r="Q42" s="54"/>
      <x:c r="R42" s="54"/>
      <x:c r="S42" s="54"/>
      <x:c r="T42" s="54"/>
      <x:c r="U42" s="54"/>
      <x:c r="V42" s="54"/>
      <x:c r="W42" s="54"/>
      <x:c r="X42" s="54"/>
      <x:c r="Y42" s="54"/>
      <x:c r="Z42" s="54"/>
      <x:c r="AA42" s="54"/>
      <x:c r="AB42" s="54"/>
      <x:c r="AC42" s="54"/>
      <x:c r="AD42" s="54"/>
      <x:c r="AE42" s="54"/>
      <x:c r="AF42" s="54"/>
      <x:c r="AG42" s="54"/>
      <x:c r="AH42" s="54"/>
      <x:c r="AI42" s="54"/>
      <x:c r="AJ42" s="54"/>
      <x:c r="AK42" s="54"/>
      <x:c r="AL42" s="54"/>
      <x:c r="AM42" s="54"/>
      <x:c r="AN42" s="54"/>
      <x:c r="AO42" s="54"/>
      <x:c r="AP42" s="54"/>
      <x:c r="AQ42" s="54"/>
      <x:c r="AR42" s="54"/>
      <x:c r="AS42" s="54"/>
      <x:c r="AT42" s="54"/>
      <x:c r="AU42" s="54"/>
      <x:c r="AV42" s="54"/>
      <x:c r="AW42" s="54"/>
    </x:row>
    <x:row r="43">
      <x:c r="A43" s="54"/>
      <x:c r="B43" s="54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  <x:c r="M43" s="54"/>
      <x:c r="N43" s="54"/>
      <x:c r="O43" s="54"/>
      <x:c r="P43" s="54"/>
      <x:c r="Q43" s="54"/>
      <x:c r="R43" s="54"/>
      <x:c r="S43" s="54"/>
      <x:c r="T43" s="54"/>
      <x:c r="U43" s="54"/>
      <x:c r="V43" s="54"/>
      <x:c r="W43" s="54"/>
      <x:c r="X43" s="54"/>
      <x:c r="Y43" s="54"/>
      <x:c r="Z43" s="54"/>
      <x:c r="AA43" s="54"/>
      <x:c r="AB43" s="54"/>
      <x:c r="AC43" s="54"/>
      <x:c r="AD43" s="54"/>
      <x:c r="AE43" s="54"/>
      <x:c r="AF43" s="54"/>
      <x:c r="AG43" s="54"/>
      <x:c r="AH43" s="54"/>
      <x:c r="AI43" s="54"/>
      <x:c r="AJ43" s="54"/>
      <x:c r="AK43" s="54"/>
      <x:c r="AL43" s="54"/>
      <x:c r="AM43" s="54"/>
      <x:c r="AN43" s="54"/>
      <x:c r="AO43" s="54"/>
      <x:c r="AP43" s="54"/>
      <x:c r="AQ43" s="54"/>
      <x:c r="AR43" s="54"/>
      <x:c r="AS43" s="54"/>
      <x:c r="AT43" s="54"/>
      <x:c r="AU43" s="54"/>
      <x:c r="AV43" s="54"/>
      <x:c r="AW43" s="54"/>
    </x:row>
    <x:row r="44">
      <x:c r="A44" s="54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54"/>
      <x:c r="S44" s="54"/>
      <x:c r="T44" s="54"/>
      <x:c r="U44" s="54"/>
      <x:c r="V44" s="54"/>
      <x:c r="W44" s="54"/>
      <x:c r="X44" s="54"/>
      <x:c r="Y44" s="54"/>
      <x:c r="Z44" s="54"/>
      <x:c r="AA44" s="54"/>
      <x:c r="AB44" s="54"/>
      <x:c r="AC44" s="54"/>
      <x:c r="AD44" s="54"/>
      <x:c r="AE44" s="54"/>
      <x:c r="AF44" s="54"/>
      <x:c r="AG44" s="54"/>
      <x:c r="AH44" s="54"/>
      <x:c r="AI44" s="54"/>
      <x:c r="AJ44" s="54"/>
      <x:c r="AK44" s="54"/>
      <x:c r="AL44" s="54"/>
      <x:c r="AM44" s="54"/>
      <x:c r="AN44" s="54"/>
      <x:c r="AO44" s="54"/>
      <x:c r="AP44" s="54"/>
      <x:c r="AQ44" s="54"/>
      <x:c r="AR44" s="54"/>
      <x:c r="AS44" s="54"/>
      <x:c r="AT44" s="54"/>
      <x:c r="AU44" s="54"/>
      <x:c r="AV44" s="54"/>
      <x:c r="AW44" s="54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  <x:c r="N45" s="54"/>
      <x:c r="O45" s="54"/>
      <x:c r="P45" s="54"/>
      <x:c r="Q45" s="54"/>
      <x:c r="R45" s="54"/>
      <x:c r="S45" s="54"/>
      <x:c r="T45" s="54"/>
      <x:c r="U45" s="54"/>
      <x:c r="V45" s="54"/>
      <x:c r="W45" s="54"/>
      <x:c r="X45" s="54"/>
      <x:c r="Y45" s="54"/>
      <x:c r="Z45" s="54"/>
      <x:c r="AA45" s="54"/>
      <x:c r="AB45" s="54"/>
      <x:c r="AC45" s="54"/>
      <x:c r="AD45" s="54"/>
      <x:c r="AE45" s="54"/>
      <x:c r="AF45" s="54"/>
      <x:c r="AG45" s="54"/>
      <x:c r="AH45" s="54"/>
      <x:c r="AI45" s="54"/>
      <x:c r="AJ45" s="54"/>
      <x:c r="AK45" s="54"/>
      <x:c r="AL45" s="54"/>
      <x:c r="AM45" s="54"/>
      <x:c r="AN45" s="54"/>
      <x:c r="AO45" s="54"/>
      <x:c r="AP45" s="54"/>
      <x:c r="AQ45" s="54"/>
      <x:c r="AR45" s="54"/>
      <x:c r="AS45" s="54"/>
      <x:c r="AT45" s="54"/>
      <x:c r="AU45" s="54"/>
      <x:c r="AV45" s="54"/>
      <x:c r="AW45" s="54"/>
    </x:row>
    <x:row r="46">
      <x:c r="A46" s="54"/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  <x:c r="N46" s="54"/>
      <x:c r="O46" s="54"/>
      <x:c r="P46" s="54"/>
      <x:c r="Q46" s="54"/>
      <x:c r="R46" s="54"/>
      <x:c r="S46" s="54"/>
      <x:c r="T46" s="54"/>
      <x:c r="U46" s="54"/>
      <x:c r="V46" s="54"/>
      <x:c r="W46" s="54"/>
      <x:c r="X46" s="54"/>
      <x:c r="Y46" s="54"/>
      <x:c r="Z46" s="54"/>
      <x:c r="AA46" s="54"/>
      <x:c r="AB46" s="54"/>
      <x:c r="AC46" s="54"/>
      <x:c r="AD46" s="54"/>
      <x:c r="AE46" s="54"/>
      <x:c r="AF46" s="54"/>
      <x:c r="AG46" s="54"/>
      <x:c r="AH46" s="54"/>
      <x:c r="AI46" s="54"/>
      <x:c r="AJ46" s="54"/>
      <x:c r="AK46" s="54"/>
      <x:c r="AL46" s="54"/>
      <x:c r="AM46" s="54"/>
      <x:c r="AN46" s="54"/>
      <x:c r="AO46" s="54"/>
      <x:c r="AP46" s="54"/>
      <x:c r="AQ46" s="54"/>
      <x:c r="AR46" s="54"/>
      <x:c r="AS46" s="54"/>
      <x:c r="AT46" s="54"/>
      <x:c r="AU46" s="54"/>
      <x:c r="AV46" s="54"/>
      <x:c r="AW46" s="54"/>
    </x:row>
    <x:row r="47">
      <x:c r="A47" s="54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  <x:c r="P47" s="54"/>
      <x:c r="Q47" s="54"/>
      <x:c r="R47" s="54"/>
      <x:c r="S47" s="54"/>
      <x:c r="T47" s="54"/>
      <x:c r="U47" s="54"/>
      <x:c r="V47" s="54"/>
      <x:c r="W47" s="54"/>
      <x:c r="X47" s="54"/>
      <x:c r="Y47" s="54"/>
      <x:c r="Z47" s="54"/>
      <x:c r="AA47" s="54"/>
      <x:c r="AB47" s="54"/>
      <x:c r="AC47" s="54"/>
      <x:c r="AD47" s="54"/>
      <x:c r="AE47" s="54"/>
      <x:c r="AF47" s="54"/>
      <x:c r="AG47" s="54"/>
      <x:c r="AH47" s="54"/>
      <x:c r="AI47" s="54"/>
      <x:c r="AJ47" s="54"/>
      <x:c r="AK47" s="54"/>
      <x:c r="AL47" s="54"/>
      <x:c r="AM47" s="54"/>
      <x:c r="AN47" s="54"/>
      <x:c r="AO47" s="54"/>
      <x:c r="AP47" s="54"/>
      <x:c r="AQ47" s="54"/>
      <x:c r="AR47" s="54"/>
      <x:c r="AS47" s="54"/>
      <x:c r="AT47" s="54"/>
      <x:c r="AU47" s="54"/>
      <x:c r="AV47" s="54"/>
      <x:c r="AW47" s="54"/>
    </x:row>
    <x:row r="48">
      <x:c r="A48" s="54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  <x:c r="P48" s="54"/>
      <x:c r="Q48" s="54"/>
      <x:c r="R48" s="54"/>
      <x:c r="S48" s="54"/>
      <x:c r="T48" s="54"/>
      <x:c r="U48" s="54"/>
      <x:c r="V48" s="54"/>
      <x:c r="W48" s="54"/>
      <x:c r="X48" s="54"/>
      <x:c r="Y48" s="54"/>
      <x:c r="Z48" s="54"/>
      <x:c r="AA48" s="54"/>
      <x:c r="AB48" s="54"/>
      <x:c r="AC48" s="54"/>
      <x:c r="AD48" s="54"/>
      <x:c r="AE48" s="54"/>
      <x:c r="AF48" s="54"/>
      <x:c r="AG48" s="54"/>
      <x:c r="AH48" s="54"/>
      <x:c r="AI48" s="54"/>
      <x:c r="AJ48" s="54"/>
      <x:c r="AK48" s="54"/>
      <x:c r="AL48" s="54"/>
      <x:c r="AM48" s="54"/>
      <x:c r="AN48" s="54"/>
      <x:c r="AO48" s="54"/>
      <x:c r="AP48" s="54"/>
      <x:c r="AQ48" s="54"/>
      <x:c r="AR48" s="54"/>
      <x:c r="AS48" s="54"/>
      <x:c r="AT48" s="54"/>
      <x:c r="AU48" s="54"/>
      <x:c r="AV48" s="54"/>
      <x:c r="AW48" s="54"/>
    </x:row>
    <x:row r="49">
      <x:c r="A49" s="54"/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  <x:c r="P49" s="54"/>
      <x:c r="Q49" s="54"/>
      <x:c r="R49" s="54"/>
      <x:c r="S49" s="54"/>
      <x:c r="T49" s="54"/>
      <x:c r="U49" s="54"/>
      <x:c r="V49" s="54"/>
      <x:c r="W49" s="54"/>
      <x:c r="X49" s="54"/>
      <x:c r="Y49" s="54"/>
      <x:c r="Z49" s="54"/>
      <x:c r="AA49" s="54"/>
      <x:c r="AB49" s="54"/>
      <x:c r="AC49" s="54"/>
      <x:c r="AD49" s="54"/>
      <x:c r="AE49" s="54"/>
      <x:c r="AF49" s="54"/>
      <x:c r="AG49" s="54"/>
      <x:c r="AH49" s="54"/>
      <x:c r="AI49" s="54"/>
      <x:c r="AJ49" s="54"/>
      <x:c r="AK49" s="54"/>
      <x:c r="AL49" s="54"/>
      <x:c r="AM49" s="54"/>
      <x:c r="AN49" s="54"/>
      <x:c r="AO49" s="54"/>
      <x:c r="AP49" s="54"/>
      <x:c r="AQ49" s="54"/>
      <x:c r="AR49" s="54"/>
      <x:c r="AS49" s="54"/>
      <x:c r="AT49" s="54"/>
      <x:c r="AU49" s="54"/>
      <x:c r="AV49" s="54"/>
      <x:c r="AW49" s="54"/>
    </x:row>
    <x:row r="50">
      <x:c r="A50" s="54"/>
      <x:c r="B50" s="54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  <x:c r="N50" s="54"/>
      <x:c r="O50" s="54"/>
      <x:c r="P50" s="54"/>
      <x:c r="Q50" s="54"/>
      <x:c r="R50" s="54"/>
      <x:c r="S50" s="54"/>
      <x:c r="T50" s="54"/>
      <x:c r="U50" s="54"/>
      <x:c r="V50" s="54"/>
      <x:c r="W50" s="54"/>
      <x:c r="X50" s="54"/>
      <x:c r="Y50" s="54"/>
      <x:c r="Z50" s="54"/>
      <x:c r="AA50" s="54"/>
      <x:c r="AB50" s="54"/>
      <x:c r="AC50" s="54"/>
      <x:c r="AD50" s="54"/>
      <x:c r="AE50" s="54"/>
      <x:c r="AF50" s="54"/>
      <x:c r="AG50" s="54"/>
      <x:c r="AH50" s="54"/>
      <x:c r="AI50" s="54"/>
      <x:c r="AJ50" s="54"/>
      <x:c r="AK50" s="54"/>
      <x:c r="AL50" s="54"/>
      <x:c r="AM50" s="54"/>
      <x:c r="AN50" s="54"/>
      <x:c r="AO50" s="54"/>
      <x:c r="AP50" s="54"/>
      <x:c r="AQ50" s="54"/>
      <x:c r="AR50" s="54"/>
      <x:c r="AS50" s="54"/>
      <x:c r="AT50" s="54"/>
      <x:c r="AU50" s="54"/>
      <x:c r="AV50" s="54"/>
      <x:c r="AW50" s="54"/>
    </x:row>
    <x:row r="51">
      <x:c r="A51" s="54"/>
      <x:c r="B51" s="54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  <x:c r="N51" s="54"/>
      <x:c r="O51" s="54"/>
      <x:c r="P51" s="54"/>
      <x:c r="Q51" s="54"/>
      <x:c r="R51" s="54"/>
      <x:c r="S51" s="54"/>
      <x:c r="T51" s="54"/>
      <x:c r="U51" s="54"/>
      <x:c r="V51" s="54"/>
      <x:c r="W51" s="54"/>
      <x:c r="X51" s="54"/>
      <x:c r="Y51" s="54"/>
      <x:c r="Z51" s="54"/>
      <x:c r="AA51" s="54"/>
      <x:c r="AB51" s="54"/>
      <x:c r="AC51" s="54"/>
      <x:c r="AD51" s="54"/>
      <x:c r="AE51" s="54"/>
      <x:c r="AF51" s="54"/>
      <x:c r="AG51" s="54"/>
      <x:c r="AH51" s="54"/>
      <x:c r="AI51" s="54"/>
      <x:c r="AJ51" s="54"/>
      <x:c r="AK51" s="54"/>
      <x:c r="AL51" s="54"/>
      <x:c r="AM51" s="54"/>
      <x:c r="AN51" s="54"/>
      <x:c r="AO51" s="54"/>
      <x:c r="AP51" s="54"/>
      <x:c r="AQ51" s="54"/>
      <x:c r="AR51" s="54"/>
      <x:c r="AS51" s="54"/>
      <x:c r="AT51" s="54"/>
      <x:c r="AU51" s="54"/>
      <x:c r="AV51" s="54"/>
      <x:c r="AW51" s="54"/>
    </x:row>
    <x:row r="52">
      <x:c r="A52" s="54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  <x:c r="N52" s="54"/>
      <x:c r="O52" s="54"/>
      <x:c r="P52" s="54"/>
      <x:c r="Q52" s="54"/>
      <x:c r="R52" s="54"/>
      <x:c r="S52" s="54"/>
      <x:c r="T52" s="54"/>
      <x:c r="U52" s="54"/>
      <x:c r="V52" s="54"/>
      <x:c r="W52" s="54"/>
      <x:c r="X52" s="54"/>
      <x:c r="Y52" s="54"/>
      <x:c r="Z52" s="54"/>
      <x:c r="AA52" s="54"/>
      <x:c r="AB52" s="54"/>
      <x:c r="AC52" s="54"/>
      <x:c r="AD52" s="54"/>
      <x:c r="AE52" s="54"/>
      <x:c r="AF52" s="54"/>
      <x:c r="AG52" s="54"/>
      <x:c r="AH52" s="54"/>
      <x:c r="AI52" s="54"/>
      <x:c r="AJ52" s="54"/>
      <x:c r="AK52" s="54"/>
      <x:c r="AL52" s="54"/>
      <x:c r="AM52" s="54"/>
      <x:c r="AN52" s="54"/>
      <x:c r="AO52" s="54"/>
      <x:c r="AP52" s="54"/>
      <x:c r="AQ52" s="54"/>
      <x:c r="AR52" s="54"/>
      <x:c r="AS52" s="54"/>
      <x:c r="AT52" s="54"/>
      <x:c r="AU52" s="54"/>
      <x:c r="AV52" s="54"/>
      <x:c r="AW52" s="54"/>
    </x:row>
    <x:row r="53">
      <x:c r="A53" s="54"/>
      <x:c r="B53" s="54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  <x:c r="N53" s="54"/>
      <x:c r="O53" s="54"/>
      <x:c r="P53" s="54"/>
      <x:c r="Q53" s="54"/>
      <x:c r="R53" s="54"/>
      <x:c r="S53" s="54"/>
      <x:c r="T53" s="54"/>
      <x:c r="U53" s="54"/>
      <x:c r="V53" s="54"/>
      <x:c r="W53" s="54"/>
      <x:c r="X53" s="54"/>
      <x:c r="Y53" s="54"/>
      <x:c r="Z53" s="54"/>
      <x:c r="AA53" s="54"/>
      <x:c r="AB53" s="54"/>
      <x:c r="AC53" s="54"/>
      <x:c r="AD53" s="54"/>
      <x:c r="AE53" s="54"/>
      <x:c r="AF53" s="54"/>
      <x:c r="AG53" s="54"/>
      <x:c r="AH53" s="54"/>
      <x:c r="AI53" s="54"/>
      <x:c r="AJ53" s="54"/>
      <x:c r="AK53" s="54"/>
      <x:c r="AL53" s="54"/>
      <x:c r="AM53" s="54"/>
      <x:c r="AN53" s="54"/>
      <x:c r="AO53" s="54"/>
      <x:c r="AP53" s="54"/>
      <x:c r="AQ53" s="54"/>
      <x:c r="AR53" s="54"/>
      <x:c r="AS53" s="54"/>
      <x:c r="AT53" s="54"/>
      <x:c r="AU53" s="54"/>
      <x:c r="AV53" s="54"/>
      <x:c r="AW53" s="54"/>
    </x:row>
    <x:row r="54">
      <x:c r="A54" s="54"/>
      <x:c r="B54" s="54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  <x:c r="M54" s="54"/>
      <x:c r="N54" s="54"/>
      <x:c r="O54" s="54"/>
      <x:c r="P54" s="54"/>
      <x:c r="Q54" s="54"/>
      <x:c r="R54" s="54"/>
      <x:c r="S54" s="54"/>
      <x:c r="T54" s="54"/>
      <x:c r="U54" s="54"/>
      <x:c r="V54" s="54"/>
      <x:c r="W54" s="54"/>
      <x:c r="X54" s="54"/>
      <x:c r="Y54" s="54"/>
      <x:c r="Z54" s="54"/>
      <x:c r="AA54" s="54"/>
      <x:c r="AB54" s="54"/>
      <x:c r="AC54" s="54"/>
      <x:c r="AD54" s="54"/>
      <x:c r="AE54" s="54"/>
      <x:c r="AF54" s="54"/>
      <x:c r="AG54" s="54"/>
      <x:c r="AH54" s="54"/>
      <x:c r="AI54" s="54"/>
      <x:c r="AJ54" s="54"/>
      <x:c r="AK54" s="54"/>
      <x:c r="AL54" s="54"/>
      <x:c r="AM54" s="54"/>
      <x:c r="AN54" s="54"/>
      <x:c r="AO54" s="54"/>
      <x:c r="AP54" s="54"/>
      <x:c r="AQ54" s="54"/>
      <x:c r="AR54" s="54"/>
      <x:c r="AS54" s="54"/>
      <x:c r="AT54" s="54"/>
      <x:c r="AU54" s="54"/>
      <x:c r="AV54" s="54"/>
      <x:c r="AW54" s="54"/>
    </x:row>
    <x:row r="55">
      <x:c r="A55" s="54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4"/>
      <x:c r="O55" s="54"/>
      <x:c r="P55" s="54"/>
      <x:c r="Q55" s="54"/>
      <x:c r="R55" s="54"/>
      <x:c r="S55" s="54"/>
      <x:c r="T55" s="54"/>
      <x:c r="U55" s="54"/>
      <x:c r="V55" s="54"/>
      <x:c r="W55" s="54"/>
      <x:c r="X55" s="54"/>
      <x:c r="Y55" s="54"/>
      <x:c r="Z55" s="54"/>
      <x:c r="AA55" s="54"/>
      <x:c r="AB55" s="54"/>
      <x:c r="AC55" s="54"/>
      <x:c r="AD55" s="54"/>
      <x:c r="AE55" s="54"/>
      <x:c r="AF55" s="54"/>
      <x:c r="AG55" s="54"/>
      <x:c r="AH55" s="54"/>
      <x:c r="AI55" s="54"/>
      <x:c r="AJ55" s="54"/>
      <x:c r="AK55" s="54"/>
      <x:c r="AL55" s="54"/>
      <x:c r="AM55" s="54"/>
      <x:c r="AN55" s="54"/>
      <x:c r="AO55" s="54"/>
      <x:c r="AP55" s="54"/>
      <x:c r="AQ55" s="54"/>
      <x:c r="AR55" s="54"/>
      <x:c r="AS55" s="54"/>
      <x:c r="AT55" s="54"/>
      <x:c r="AU55" s="54"/>
      <x:c r="AV55" s="54"/>
      <x:c r="AW55" s="54"/>
    </x:row>
    <x:row r="56">
      <x:c r="A56" s="54"/>
      <x:c r="B56" s="54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54"/>
      <x:c r="S56" s="54"/>
      <x:c r="T56" s="54"/>
      <x:c r="U56" s="54"/>
      <x:c r="V56" s="54"/>
      <x:c r="W56" s="54"/>
      <x:c r="X56" s="54"/>
      <x:c r="Y56" s="54"/>
      <x:c r="Z56" s="54"/>
      <x:c r="AA56" s="54"/>
      <x:c r="AB56" s="54"/>
      <x:c r="AC56" s="54"/>
      <x:c r="AD56" s="54"/>
      <x:c r="AE56" s="54"/>
      <x:c r="AF56" s="54"/>
      <x:c r="AG56" s="54"/>
      <x:c r="AH56" s="54"/>
      <x:c r="AI56" s="54"/>
      <x:c r="AJ56" s="54"/>
      <x:c r="AK56" s="54"/>
      <x:c r="AL56" s="54"/>
      <x:c r="AM56" s="54"/>
      <x:c r="AN56" s="54"/>
      <x:c r="AO56" s="54"/>
      <x:c r="AP56" s="54"/>
      <x:c r="AQ56" s="54"/>
      <x:c r="AR56" s="54"/>
      <x:c r="AS56" s="54"/>
      <x:c r="AT56" s="54"/>
      <x:c r="AU56" s="54"/>
      <x:c r="AV56" s="54"/>
      <x:c r="AW56" s="54"/>
    </x:row>
    <x:row r="57">
      <x:c r="A57" s="54"/>
      <x:c r="B57" s="54"/>
      <x:c r="C57" s="54"/>
      <x:c r="D57" s="54"/>
      <x:c r="E57" s="54"/>
      <x:c r="F57" s="54"/>
      <x:c r="G57" s="54"/>
      <x:c r="H57" s="54"/>
      <x:c r="I57" s="54"/>
      <x:c r="J57" s="54"/>
      <x:c r="K57" s="54"/>
      <x:c r="L57" s="54"/>
      <x:c r="M57" s="54"/>
      <x:c r="N57" s="54"/>
      <x:c r="O57" s="54"/>
      <x:c r="P57" s="54"/>
      <x:c r="Q57" s="54"/>
      <x:c r="R57" s="54"/>
      <x:c r="S57" s="54"/>
      <x:c r="T57" s="54"/>
      <x:c r="U57" s="54"/>
      <x:c r="V57" s="54"/>
      <x:c r="W57" s="54"/>
      <x:c r="X57" s="54"/>
      <x:c r="Y57" s="54"/>
      <x:c r="Z57" s="54"/>
      <x:c r="AA57" s="54"/>
      <x:c r="AB57" s="54"/>
      <x:c r="AC57" s="54"/>
      <x:c r="AD57" s="54"/>
      <x:c r="AE57" s="54"/>
      <x:c r="AF57" s="54"/>
      <x:c r="AG57" s="54"/>
      <x:c r="AH57" s="54"/>
      <x:c r="AI57" s="54"/>
      <x:c r="AJ57" s="54"/>
      <x:c r="AK57" s="54"/>
      <x:c r="AL57" s="54"/>
      <x:c r="AM57" s="54"/>
      <x:c r="AN57" s="54"/>
      <x:c r="AO57" s="54"/>
      <x:c r="AP57" s="54"/>
      <x:c r="AQ57" s="54"/>
      <x:c r="AR57" s="54"/>
      <x:c r="AS57" s="54"/>
      <x:c r="AT57" s="54"/>
      <x:c r="AU57" s="54"/>
      <x:c r="AV57" s="54"/>
      <x:c r="AW57" s="54"/>
    </x:row>
    <x:row r="58">
      <x:c r="A58" s="54"/>
      <x:c r="B58" s="54"/>
      <x:c r="C58" s="54"/>
      <x:c r="D58" s="54"/>
      <x:c r="E58" s="54"/>
      <x:c r="F58" s="54"/>
      <x:c r="G58" s="54"/>
      <x:c r="H58" s="54"/>
      <x:c r="I58" s="54"/>
      <x:c r="J58" s="54"/>
      <x:c r="K58" s="54"/>
      <x:c r="L58" s="54"/>
      <x:c r="M58" s="54"/>
      <x:c r="N58" s="54"/>
      <x:c r="O58" s="54"/>
      <x:c r="P58" s="54"/>
      <x:c r="Q58" s="54"/>
      <x:c r="R58" s="54"/>
      <x:c r="S58" s="54"/>
      <x:c r="T58" s="54"/>
      <x:c r="U58" s="54"/>
      <x:c r="V58" s="54"/>
      <x:c r="W58" s="54"/>
      <x:c r="X58" s="54"/>
      <x:c r="Y58" s="54"/>
      <x:c r="Z58" s="54"/>
      <x:c r="AA58" s="54"/>
      <x:c r="AB58" s="54"/>
      <x:c r="AC58" s="54"/>
      <x:c r="AD58" s="54"/>
      <x:c r="AE58" s="54"/>
      <x:c r="AF58" s="54"/>
      <x:c r="AG58" s="54"/>
      <x:c r="AH58" s="54"/>
      <x:c r="AI58" s="54"/>
      <x:c r="AJ58" s="54"/>
      <x:c r="AK58" s="54"/>
      <x:c r="AL58" s="54"/>
      <x:c r="AM58" s="54"/>
      <x:c r="AN58" s="54"/>
      <x:c r="AO58" s="54"/>
      <x:c r="AP58" s="54"/>
      <x:c r="AQ58" s="54"/>
      <x:c r="AR58" s="54"/>
      <x:c r="AS58" s="54"/>
      <x:c r="AT58" s="54"/>
      <x:c r="AU58" s="54"/>
      <x:c r="AV58" s="54"/>
      <x:c r="AW58" s="54"/>
    </x:row>
    <x:row r="59">
      <x:c r="A59" s="54"/>
      <x:c r="B59" s="54"/>
      <x:c r="C59" s="54"/>
      <x:c r="D59" s="54"/>
      <x:c r="E59" s="54"/>
      <x:c r="F59" s="54"/>
      <x:c r="G59" s="54"/>
      <x:c r="H59" s="54"/>
      <x:c r="I59" s="54"/>
      <x:c r="J59" s="54"/>
      <x:c r="K59" s="54"/>
      <x:c r="L59" s="54"/>
      <x:c r="M59" s="54"/>
      <x:c r="N59" s="54"/>
      <x:c r="O59" s="54"/>
      <x:c r="P59" s="54"/>
      <x:c r="Q59" s="54"/>
      <x:c r="R59" s="54"/>
      <x:c r="S59" s="54"/>
      <x:c r="T59" s="54"/>
      <x:c r="U59" s="54"/>
      <x:c r="V59" s="54"/>
      <x:c r="W59" s="54"/>
      <x:c r="X59" s="54"/>
      <x:c r="Y59" s="54"/>
      <x:c r="Z59" s="54"/>
      <x:c r="AA59" s="54"/>
      <x:c r="AB59" s="54"/>
      <x:c r="AC59" s="54"/>
      <x:c r="AD59" s="54"/>
      <x:c r="AE59" s="54"/>
      <x:c r="AF59" s="54"/>
      <x:c r="AG59" s="54"/>
      <x:c r="AH59" s="54"/>
      <x:c r="AI59" s="54"/>
      <x:c r="AJ59" s="54"/>
      <x:c r="AK59" s="54"/>
      <x:c r="AL59" s="54"/>
      <x:c r="AM59" s="54"/>
      <x:c r="AN59" s="54"/>
      <x:c r="AO59" s="54"/>
      <x:c r="AP59" s="54"/>
      <x:c r="AQ59" s="54"/>
      <x:c r="AR59" s="54"/>
      <x:c r="AS59" s="54"/>
      <x:c r="AT59" s="54"/>
      <x:c r="AU59" s="54"/>
      <x:c r="AV59" s="54"/>
      <x:c r="AW59" s="54"/>
    </x:row>
    <x:row r="60">
      <x:c r="A60" s="54"/>
      <x:c r="B60" s="54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  <x:c r="M60" s="54"/>
      <x:c r="N60" s="54"/>
      <x:c r="O60" s="54"/>
      <x:c r="P60" s="54"/>
      <x:c r="Q60" s="54"/>
      <x:c r="R60" s="54"/>
      <x:c r="S60" s="54"/>
      <x:c r="T60" s="54"/>
      <x:c r="U60" s="54"/>
      <x:c r="V60" s="54"/>
      <x:c r="W60" s="54"/>
      <x:c r="X60" s="54"/>
      <x:c r="Y60" s="54"/>
      <x:c r="Z60" s="54"/>
      <x:c r="AA60" s="54"/>
      <x:c r="AB60" s="54"/>
      <x:c r="AC60" s="54"/>
      <x:c r="AD60" s="54"/>
      <x:c r="AE60" s="54"/>
      <x:c r="AF60" s="54"/>
      <x:c r="AG60" s="54"/>
      <x:c r="AH60" s="54"/>
      <x:c r="AI60" s="54"/>
      <x:c r="AJ60" s="54"/>
      <x:c r="AK60" s="54"/>
      <x:c r="AL60" s="54"/>
      <x:c r="AM60" s="54"/>
      <x:c r="AN60" s="54"/>
      <x:c r="AO60" s="54"/>
      <x:c r="AP60" s="54"/>
      <x:c r="AQ60" s="54"/>
      <x:c r="AR60" s="54"/>
      <x:c r="AS60" s="54"/>
      <x:c r="AT60" s="54"/>
      <x:c r="AU60" s="54"/>
      <x:c r="AV60" s="54"/>
      <x:c r="AW60" s="54"/>
    </x:row>
    <x:row r="61">
      <x:c r="A61" s="54"/>
      <x:c r="B61" s="54"/>
      <x:c r="C61" s="54"/>
      <x:c r="D61" s="54"/>
      <x:c r="E61" s="54"/>
      <x:c r="F61" s="54"/>
      <x:c r="G61" s="54"/>
      <x:c r="H61" s="54"/>
      <x:c r="I61" s="54"/>
      <x:c r="J61" s="54"/>
      <x:c r="K61" s="54"/>
      <x:c r="L61" s="54"/>
      <x:c r="M61" s="54"/>
      <x:c r="N61" s="54"/>
      <x:c r="O61" s="54"/>
      <x:c r="P61" s="54"/>
      <x:c r="Q61" s="54"/>
      <x:c r="R61" s="54"/>
      <x:c r="S61" s="54"/>
      <x:c r="T61" s="54"/>
      <x:c r="U61" s="54"/>
      <x:c r="V61" s="54"/>
      <x:c r="W61" s="54"/>
      <x:c r="X61" s="54"/>
      <x:c r="Y61" s="54"/>
      <x:c r="Z61" s="54"/>
      <x:c r="AA61" s="54"/>
      <x:c r="AB61" s="54"/>
      <x:c r="AC61" s="54"/>
      <x:c r="AD61" s="54"/>
      <x:c r="AE61" s="54"/>
      <x:c r="AF61" s="54"/>
      <x:c r="AG61" s="54"/>
      <x:c r="AH61" s="54"/>
      <x:c r="AI61" s="54"/>
      <x:c r="AJ61" s="54"/>
      <x:c r="AK61" s="54"/>
      <x:c r="AL61" s="54"/>
      <x:c r="AM61" s="54"/>
      <x:c r="AN61" s="54"/>
      <x:c r="AO61" s="54"/>
      <x:c r="AP61" s="54"/>
      <x:c r="AQ61" s="54"/>
      <x:c r="AR61" s="54"/>
      <x:c r="AS61" s="54"/>
      <x:c r="AT61" s="54"/>
      <x:c r="AU61" s="54"/>
      <x:c r="AV61" s="54"/>
      <x:c r="AW61" s="54"/>
    </x:row>
    <x:row r="62">
      <x:c r="A62" s="54"/>
      <x:c r="B62" s="54"/>
      <x:c r="C62" s="54"/>
      <x:c r="D62" s="54"/>
      <x:c r="E62" s="54"/>
      <x:c r="F62" s="54"/>
      <x:c r="G62" s="54"/>
      <x:c r="H62" s="54"/>
      <x:c r="I62" s="54"/>
      <x:c r="J62" s="54"/>
      <x:c r="K62" s="54"/>
      <x:c r="L62" s="54"/>
      <x:c r="M62" s="54"/>
      <x:c r="N62" s="54"/>
      <x:c r="O62" s="54"/>
      <x:c r="P62" s="54"/>
      <x:c r="Q62" s="54"/>
      <x:c r="R62" s="54"/>
      <x:c r="S62" s="54"/>
      <x:c r="T62" s="54"/>
      <x:c r="U62" s="54"/>
      <x:c r="V62" s="54"/>
      <x:c r="W62" s="54"/>
      <x:c r="X62" s="54"/>
      <x:c r="Y62" s="54"/>
      <x:c r="Z62" s="54"/>
      <x:c r="AA62" s="54"/>
      <x:c r="AB62" s="54"/>
      <x:c r="AC62" s="54"/>
      <x:c r="AD62" s="54"/>
      <x:c r="AE62" s="54"/>
      <x:c r="AF62" s="54"/>
      <x:c r="AG62" s="54"/>
      <x:c r="AH62" s="54"/>
      <x:c r="AI62" s="54"/>
      <x:c r="AJ62" s="54"/>
      <x:c r="AK62" s="54"/>
      <x:c r="AL62" s="54"/>
      <x:c r="AM62" s="54"/>
      <x:c r="AN62" s="54"/>
      <x:c r="AO62" s="54"/>
      <x:c r="AP62" s="54"/>
      <x:c r="AQ62" s="54"/>
      <x:c r="AR62" s="54"/>
      <x:c r="AS62" s="54"/>
      <x:c r="AT62" s="54"/>
      <x:c r="AU62" s="54"/>
      <x:c r="AV62" s="54"/>
      <x:c r="AW62" s="54"/>
    </x:row>
    <x:row r="63">
      <x:c r="A63" s="54"/>
      <x:c r="B63" s="54"/>
      <x:c r="C63" s="54"/>
      <x:c r="D63" s="54"/>
      <x:c r="E63" s="54"/>
      <x:c r="F63" s="54"/>
      <x:c r="G63" s="54"/>
      <x:c r="H63" s="54"/>
      <x:c r="I63" s="54"/>
      <x:c r="J63" s="54"/>
      <x:c r="K63" s="54"/>
      <x:c r="L63" s="54"/>
      <x:c r="M63" s="54"/>
      <x:c r="N63" s="54"/>
      <x:c r="O63" s="54"/>
      <x:c r="P63" s="54"/>
      <x:c r="Q63" s="54"/>
      <x:c r="R63" s="54"/>
      <x:c r="S63" s="54"/>
      <x:c r="T63" s="54"/>
      <x:c r="U63" s="54"/>
      <x:c r="V63" s="54"/>
      <x:c r="W63" s="54"/>
      <x:c r="X63" s="54"/>
      <x:c r="Y63" s="54"/>
      <x:c r="Z63" s="54"/>
      <x:c r="AA63" s="54"/>
      <x:c r="AB63" s="54"/>
      <x:c r="AC63" s="54"/>
      <x:c r="AD63" s="54"/>
      <x:c r="AE63" s="54"/>
      <x:c r="AF63" s="54"/>
      <x:c r="AG63" s="54"/>
      <x:c r="AH63" s="54"/>
      <x:c r="AI63" s="54"/>
      <x:c r="AJ63" s="54"/>
      <x:c r="AK63" s="54"/>
      <x:c r="AL63" s="54"/>
      <x:c r="AM63" s="54"/>
      <x:c r="AN63" s="54"/>
      <x:c r="AO63" s="54"/>
      <x:c r="AP63" s="54"/>
      <x:c r="AQ63" s="54"/>
      <x:c r="AR63" s="54"/>
      <x:c r="AS63" s="54"/>
      <x:c r="AT63" s="54"/>
      <x:c r="AU63" s="54"/>
      <x:c r="AV63" s="54"/>
      <x:c r="AW63" s="54"/>
    </x:row>
    <x:row r="64">
      <x:c r="A64" s="54"/>
      <x:c r="B64" s="54"/>
      <x:c r="C64" s="54"/>
      <x:c r="D64" s="54"/>
      <x:c r="E64" s="54"/>
      <x:c r="F64" s="54"/>
      <x:c r="G64" s="54"/>
      <x:c r="H64" s="54"/>
      <x:c r="I64" s="54"/>
      <x:c r="J64" s="54"/>
      <x:c r="K64" s="54"/>
      <x:c r="L64" s="54"/>
      <x:c r="M64" s="54"/>
      <x:c r="N64" s="54"/>
      <x:c r="O64" s="54"/>
      <x:c r="P64" s="54"/>
      <x:c r="Q64" s="54"/>
      <x:c r="R64" s="54"/>
      <x:c r="S64" s="54"/>
      <x:c r="T64" s="54"/>
      <x:c r="U64" s="54"/>
      <x:c r="V64" s="54"/>
      <x:c r="W64" s="54"/>
      <x:c r="X64" s="54"/>
      <x:c r="Y64" s="54"/>
      <x:c r="Z64" s="54"/>
      <x:c r="AA64" s="54"/>
      <x:c r="AB64" s="54"/>
      <x:c r="AC64" s="54"/>
      <x:c r="AD64" s="54"/>
      <x:c r="AE64" s="54"/>
      <x:c r="AF64" s="54"/>
      <x:c r="AG64" s="54"/>
      <x:c r="AH64" s="54"/>
      <x:c r="AI64" s="54"/>
      <x:c r="AJ64" s="54"/>
      <x:c r="AK64" s="54"/>
      <x:c r="AL64" s="54"/>
      <x:c r="AM64" s="54"/>
      <x:c r="AN64" s="54"/>
      <x:c r="AO64" s="54"/>
      <x:c r="AP64" s="54"/>
      <x:c r="AQ64" s="54"/>
      <x:c r="AR64" s="54"/>
      <x:c r="AS64" s="54"/>
      <x:c r="AT64" s="54"/>
      <x:c r="AU64" s="54"/>
      <x:c r="AV64" s="54"/>
      <x:c r="AW64" s="54"/>
    </x:row>
    <x:row r="65">
      <x:c r="A65" s="54"/>
      <x:c r="B65" s="54"/>
      <x:c r="C65" s="54"/>
      <x:c r="D65" s="54"/>
      <x:c r="E65" s="54"/>
      <x:c r="F65" s="54"/>
      <x:c r="G65" s="54"/>
      <x:c r="H65" s="54"/>
      <x:c r="I65" s="54"/>
      <x:c r="J65" s="54"/>
      <x:c r="K65" s="54"/>
      <x:c r="L65" s="54"/>
      <x:c r="M65" s="54"/>
      <x:c r="N65" s="54"/>
      <x:c r="O65" s="54"/>
      <x:c r="P65" s="54"/>
      <x:c r="Q65" s="54"/>
      <x:c r="R65" s="54"/>
      <x:c r="S65" s="54"/>
      <x:c r="T65" s="54"/>
      <x:c r="U65" s="54"/>
      <x:c r="V65" s="54"/>
      <x:c r="W65" s="54"/>
      <x:c r="X65" s="54"/>
      <x:c r="Y65" s="54"/>
      <x:c r="Z65" s="54"/>
      <x:c r="AA65" s="54"/>
      <x:c r="AB65" s="54"/>
      <x:c r="AC65" s="54"/>
      <x:c r="AD65" s="54"/>
      <x:c r="AE65" s="54"/>
      <x:c r="AF65" s="54"/>
      <x:c r="AG65" s="54"/>
      <x:c r="AH65" s="54"/>
      <x:c r="AI65" s="54"/>
      <x:c r="AJ65" s="54"/>
      <x:c r="AK65" s="54"/>
      <x:c r="AL65" s="54"/>
      <x:c r="AM65" s="54"/>
      <x:c r="AN65" s="54"/>
      <x:c r="AO65" s="54"/>
      <x:c r="AP65" s="54"/>
      <x:c r="AQ65" s="54"/>
      <x:c r="AR65" s="54"/>
      <x:c r="AS65" s="54"/>
      <x:c r="AT65" s="54"/>
      <x:c r="AU65" s="54"/>
      <x:c r="AV65" s="54"/>
      <x:c r="AW65" s="54"/>
    </x:row>
    <x:row r="66">
      <x:c r="A66" s="54"/>
      <x:c r="B66" s="54"/>
      <x:c r="C66" s="54"/>
      <x:c r="D66" s="54"/>
      <x:c r="E66" s="54"/>
      <x:c r="F66" s="54"/>
      <x:c r="G66" s="54"/>
      <x:c r="H66" s="54"/>
      <x:c r="I66" s="54"/>
      <x:c r="J66" s="54"/>
      <x:c r="K66" s="54"/>
      <x:c r="L66" s="54"/>
      <x:c r="M66" s="54"/>
      <x:c r="N66" s="54"/>
      <x:c r="O66" s="54"/>
      <x:c r="P66" s="54"/>
      <x:c r="Q66" s="54"/>
      <x:c r="R66" s="54"/>
      <x:c r="S66" s="54"/>
      <x:c r="T66" s="54"/>
      <x:c r="U66" s="54"/>
      <x:c r="V66" s="54"/>
      <x:c r="W66" s="54"/>
      <x:c r="X66" s="54"/>
      <x:c r="Y66" s="54"/>
      <x:c r="Z66" s="54"/>
      <x:c r="AA66" s="54"/>
      <x:c r="AB66" s="54"/>
      <x:c r="AC66" s="54"/>
      <x:c r="AD66" s="54"/>
      <x:c r="AE66" s="54"/>
      <x:c r="AF66" s="54"/>
      <x:c r="AG66" s="54"/>
      <x:c r="AH66" s="54"/>
      <x:c r="AI66" s="54"/>
      <x:c r="AJ66" s="54"/>
      <x:c r="AK66" s="54"/>
      <x:c r="AL66" s="54"/>
      <x:c r="AM66" s="54"/>
      <x:c r="AN66" s="54"/>
      <x:c r="AO66" s="54"/>
      <x:c r="AP66" s="54"/>
      <x:c r="AQ66" s="54"/>
      <x:c r="AR66" s="54"/>
      <x:c r="AS66" s="54"/>
      <x:c r="AT66" s="54"/>
      <x:c r="AU66" s="54"/>
      <x:c r="AV66" s="54"/>
      <x:c r="AW66" s="54"/>
    </x:row>
    <x:row r="67">
      <x:c r="A67" s="54"/>
      <x:c r="B67" s="54"/>
      <x:c r="C67" s="54"/>
      <x:c r="D67" s="54"/>
      <x:c r="E67" s="54"/>
      <x:c r="F67" s="54"/>
      <x:c r="G67" s="54"/>
      <x:c r="H67" s="54"/>
      <x:c r="I67" s="54"/>
      <x:c r="J67" s="54"/>
      <x:c r="K67" s="54"/>
      <x:c r="L67" s="54"/>
      <x:c r="M67" s="54"/>
      <x:c r="N67" s="54"/>
      <x:c r="O67" s="54"/>
      <x:c r="P67" s="54"/>
      <x:c r="Q67" s="54"/>
      <x:c r="R67" s="54"/>
      <x:c r="S67" s="54"/>
      <x:c r="T67" s="54"/>
      <x:c r="U67" s="54"/>
      <x:c r="V67" s="54"/>
      <x:c r="W67" s="54"/>
      <x:c r="X67" s="54"/>
      <x:c r="Y67" s="54"/>
      <x:c r="Z67" s="54"/>
      <x:c r="AA67" s="54"/>
      <x:c r="AB67" s="54"/>
      <x:c r="AC67" s="54"/>
      <x:c r="AD67" s="54"/>
      <x:c r="AE67" s="54"/>
      <x:c r="AF67" s="54"/>
      <x:c r="AG67" s="54"/>
      <x:c r="AH67" s="54"/>
      <x:c r="AI67" s="54"/>
      <x:c r="AJ67" s="54"/>
      <x:c r="AK67" s="54"/>
      <x:c r="AL67" s="54"/>
      <x:c r="AM67" s="54"/>
      <x:c r="AN67" s="54"/>
      <x:c r="AO67" s="54"/>
      <x:c r="AP67" s="54"/>
      <x:c r="AQ67" s="54"/>
      <x:c r="AR67" s="54"/>
      <x:c r="AS67" s="54"/>
      <x:c r="AT67" s="54"/>
      <x:c r="AU67" s="54"/>
      <x:c r="AV67" s="54"/>
      <x:c r="AW67" s="54"/>
    </x:row>
    <x:row r="68">
      <x:c r="A68" s="54"/>
      <x:c r="B68" s="54"/>
      <x:c r="C68" s="54"/>
      <x:c r="D68" s="54"/>
      <x:c r="E68" s="54"/>
      <x:c r="F68" s="54"/>
      <x:c r="G68" s="54"/>
      <x:c r="H68" s="54"/>
      <x:c r="I68" s="54"/>
      <x:c r="J68" s="54"/>
      <x:c r="K68" s="54"/>
      <x:c r="L68" s="54"/>
      <x:c r="M68" s="54"/>
      <x:c r="N68" s="54"/>
      <x:c r="O68" s="54"/>
      <x:c r="P68" s="54"/>
      <x:c r="Q68" s="54"/>
      <x:c r="R68" s="54"/>
      <x:c r="S68" s="54"/>
      <x:c r="T68" s="54"/>
      <x:c r="U68" s="54"/>
      <x:c r="V68" s="54"/>
      <x:c r="W68" s="54"/>
      <x:c r="X68" s="54"/>
      <x:c r="Y68" s="54"/>
      <x:c r="Z68" s="54"/>
      <x:c r="AA68" s="54"/>
      <x:c r="AB68" s="54"/>
      <x:c r="AC68" s="54"/>
      <x:c r="AD68" s="54"/>
      <x:c r="AE68" s="54"/>
      <x:c r="AF68" s="54"/>
      <x:c r="AG68" s="54"/>
      <x:c r="AH68" s="54"/>
      <x:c r="AI68" s="54"/>
      <x:c r="AJ68" s="54"/>
      <x:c r="AK68" s="54"/>
      <x:c r="AL68" s="54"/>
      <x:c r="AM68" s="54"/>
      <x:c r="AN68" s="54"/>
      <x:c r="AO68" s="54"/>
      <x:c r="AP68" s="54"/>
      <x:c r="AQ68" s="54"/>
      <x:c r="AR68" s="54"/>
      <x:c r="AS68" s="54"/>
      <x:c r="AT68" s="54"/>
      <x:c r="AU68" s="54"/>
      <x:c r="AV68" s="54"/>
      <x:c r="AW68" s="54"/>
    </x:row>
    <x:row r="69">
      <x:c r="A69" s="54"/>
      <x:c r="B69" s="54"/>
      <x:c r="C69" s="54"/>
      <x:c r="D69" s="54"/>
      <x:c r="E69" s="54"/>
      <x:c r="F69" s="54"/>
      <x:c r="G69" s="54"/>
      <x:c r="H69" s="54"/>
      <x:c r="I69" s="54"/>
      <x:c r="J69" s="54"/>
      <x:c r="K69" s="54"/>
      <x:c r="L69" s="54"/>
      <x:c r="M69" s="54"/>
      <x:c r="N69" s="54"/>
      <x:c r="O69" s="54"/>
      <x:c r="P69" s="54"/>
      <x:c r="Q69" s="54"/>
      <x:c r="R69" s="54"/>
      <x:c r="S69" s="54"/>
      <x:c r="T69" s="54"/>
      <x:c r="U69" s="54"/>
      <x:c r="V69" s="54"/>
      <x:c r="W69" s="54"/>
      <x:c r="X69" s="54"/>
      <x:c r="Y69" s="54"/>
      <x:c r="Z69" s="54"/>
      <x:c r="AA69" s="54"/>
      <x:c r="AB69" s="54"/>
      <x:c r="AC69" s="54"/>
      <x:c r="AD69" s="54"/>
      <x:c r="AE69" s="54"/>
      <x:c r="AF69" s="54"/>
      <x:c r="AG69" s="54"/>
      <x:c r="AH69" s="54"/>
      <x:c r="AI69" s="54"/>
      <x:c r="AJ69" s="54"/>
      <x:c r="AK69" s="54"/>
      <x:c r="AL69" s="54"/>
      <x:c r="AM69" s="54"/>
      <x:c r="AN69" s="54"/>
      <x:c r="AO69" s="54"/>
      <x:c r="AP69" s="54"/>
      <x:c r="AQ69" s="54"/>
      <x:c r="AR69" s="54"/>
      <x:c r="AS69" s="54"/>
      <x:c r="AT69" s="54"/>
      <x:c r="AU69" s="54"/>
      <x:c r="AV69" s="54"/>
      <x:c r="AW69" s="54"/>
    </x:row>
    <x:row r="70">
      <x:c r="A70" s="54"/>
      <x:c r="B70" s="54"/>
      <x:c r="C70" s="54"/>
      <x:c r="D70" s="54"/>
      <x:c r="E70" s="54"/>
      <x:c r="F70" s="54"/>
      <x:c r="G70" s="54"/>
      <x:c r="H70" s="54"/>
      <x:c r="I70" s="54"/>
      <x:c r="J70" s="54"/>
      <x:c r="K70" s="54"/>
      <x:c r="L70" s="54"/>
      <x:c r="M70" s="54"/>
      <x:c r="N70" s="54"/>
      <x:c r="O70" s="54"/>
      <x:c r="P70" s="54"/>
      <x:c r="Q70" s="54"/>
      <x:c r="R70" s="54"/>
      <x:c r="S70" s="54"/>
      <x:c r="T70" s="54"/>
      <x:c r="U70" s="54"/>
      <x:c r="V70" s="54"/>
      <x:c r="W70" s="54"/>
      <x:c r="X70" s="54"/>
      <x:c r="Y70" s="54"/>
      <x:c r="Z70" s="54"/>
      <x:c r="AA70" s="54"/>
      <x:c r="AB70" s="54"/>
      <x:c r="AC70" s="54"/>
      <x:c r="AD70" s="54"/>
      <x:c r="AE70" s="54"/>
      <x:c r="AF70" s="54"/>
      <x:c r="AG70" s="54"/>
      <x:c r="AH70" s="54"/>
      <x:c r="AI70" s="54"/>
      <x:c r="AJ70" s="54"/>
      <x:c r="AK70" s="54"/>
      <x:c r="AL70" s="54"/>
      <x:c r="AM70" s="54"/>
      <x:c r="AN70" s="54"/>
      <x:c r="AO70" s="54"/>
      <x:c r="AP70" s="54"/>
      <x:c r="AQ70" s="54"/>
      <x:c r="AR70" s="54"/>
      <x:c r="AS70" s="54"/>
      <x:c r="AT70" s="54"/>
      <x:c r="AU70" s="54"/>
      <x:c r="AV70" s="54"/>
      <x:c r="AW70" s="54"/>
    </x:row>
    <x:row r="71">
      <x:c r="A71" s="54"/>
      <x:c r="B71" s="54"/>
      <x:c r="C71" s="54"/>
      <x:c r="D71" s="54"/>
      <x:c r="E71" s="54"/>
      <x:c r="F71" s="54"/>
      <x:c r="G71" s="54"/>
      <x:c r="H71" s="54"/>
      <x:c r="I71" s="54"/>
      <x:c r="J71" s="54"/>
      <x:c r="K71" s="54"/>
      <x:c r="L71" s="54"/>
      <x:c r="M71" s="54"/>
      <x:c r="N71" s="54"/>
      <x:c r="O71" s="54"/>
      <x:c r="P71" s="54"/>
      <x:c r="Q71" s="54"/>
      <x:c r="R71" s="54"/>
      <x:c r="S71" s="54"/>
      <x:c r="T71" s="54"/>
      <x:c r="U71" s="54"/>
      <x:c r="V71" s="54"/>
      <x:c r="W71" s="54"/>
      <x:c r="X71" s="54"/>
      <x:c r="Y71" s="54"/>
      <x:c r="Z71" s="54"/>
      <x:c r="AA71" s="54"/>
      <x:c r="AB71" s="54"/>
      <x:c r="AC71" s="54"/>
      <x:c r="AD71" s="54"/>
      <x:c r="AE71" s="54"/>
      <x:c r="AF71" s="54"/>
      <x:c r="AG71" s="54"/>
      <x:c r="AH71" s="54"/>
      <x:c r="AI71" s="54"/>
      <x:c r="AJ71" s="54"/>
      <x:c r="AK71" s="54"/>
      <x:c r="AL71" s="54"/>
      <x:c r="AM71" s="54"/>
      <x:c r="AN71" s="54"/>
      <x:c r="AO71" s="54"/>
      <x:c r="AP71" s="54"/>
      <x:c r="AQ71" s="54"/>
      <x:c r="AR71" s="54"/>
      <x:c r="AS71" s="54"/>
      <x:c r="AT71" s="54"/>
      <x:c r="AU71" s="54"/>
      <x:c r="AV71" s="54"/>
      <x:c r="AW71" s="54"/>
    </x:row>
    <x:row r="72">
      <x:c r="A72" s="54"/>
      <x:c r="B72" s="54"/>
      <x:c r="C72" s="54"/>
      <x:c r="D72" s="54"/>
      <x:c r="E72" s="54"/>
      <x:c r="F72" s="54"/>
      <x:c r="G72" s="54"/>
      <x:c r="H72" s="54"/>
      <x:c r="I72" s="54"/>
      <x:c r="J72" s="54"/>
      <x:c r="K72" s="54"/>
      <x:c r="L72" s="54"/>
      <x:c r="M72" s="54"/>
      <x:c r="N72" s="54"/>
      <x:c r="O72" s="54"/>
      <x:c r="P72" s="54"/>
      <x:c r="Q72" s="54"/>
      <x:c r="R72" s="54"/>
      <x:c r="S72" s="54"/>
      <x:c r="T72" s="54"/>
      <x:c r="U72" s="54"/>
      <x:c r="V72" s="54"/>
      <x:c r="W72" s="54"/>
      <x:c r="X72" s="54"/>
      <x:c r="Y72" s="54"/>
      <x:c r="Z72" s="54"/>
      <x:c r="AA72" s="54"/>
      <x:c r="AB72" s="54"/>
      <x:c r="AC72" s="54"/>
      <x:c r="AD72" s="54"/>
      <x:c r="AE72" s="54"/>
      <x:c r="AF72" s="54"/>
      <x:c r="AG72" s="54"/>
      <x:c r="AH72" s="54"/>
      <x:c r="AI72" s="54"/>
      <x:c r="AJ72" s="54"/>
      <x:c r="AK72" s="54"/>
      <x:c r="AL72" s="54"/>
      <x:c r="AM72" s="54"/>
      <x:c r="AN72" s="54"/>
      <x:c r="AO72" s="54"/>
      <x:c r="AP72" s="54"/>
      <x:c r="AQ72" s="54"/>
      <x:c r="AR72" s="54"/>
      <x:c r="AS72" s="54"/>
      <x:c r="AT72" s="54"/>
      <x:c r="AU72" s="54"/>
      <x:c r="AV72" s="54"/>
      <x:c r="AW72" s="54"/>
    </x:row>
    <x:row r="73">
      <x:c r="A73" s="54"/>
      <x:c r="B73" s="54"/>
      <x:c r="C73" s="54"/>
      <x:c r="D73" s="54"/>
      <x:c r="E73" s="54"/>
      <x:c r="F73" s="54"/>
      <x:c r="G73" s="54"/>
      <x:c r="H73" s="54"/>
      <x:c r="I73" s="54"/>
      <x:c r="J73" s="54"/>
      <x:c r="K73" s="54"/>
      <x:c r="L73" s="54"/>
      <x:c r="M73" s="54"/>
      <x:c r="N73" s="54"/>
      <x:c r="O73" s="54"/>
      <x:c r="P73" s="54"/>
      <x:c r="Q73" s="54"/>
      <x:c r="R73" s="54"/>
      <x:c r="S73" s="54"/>
      <x:c r="T73" s="54"/>
      <x:c r="U73" s="54"/>
      <x:c r="V73" s="54"/>
      <x:c r="W73" s="54"/>
      <x:c r="X73" s="54"/>
      <x:c r="Y73" s="54"/>
      <x:c r="Z73" s="54"/>
      <x:c r="AA73" s="54"/>
      <x:c r="AB73" s="54"/>
      <x:c r="AC73" s="54"/>
      <x:c r="AD73" s="54"/>
      <x:c r="AE73" s="54"/>
      <x:c r="AF73" s="54"/>
      <x:c r="AG73" s="54"/>
      <x:c r="AH73" s="54"/>
      <x:c r="AI73" s="54"/>
      <x:c r="AJ73" s="54"/>
      <x:c r="AK73" s="54"/>
      <x:c r="AL73" s="54"/>
      <x:c r="AM73" s="54"/>
      <x:c r="AN73" s="54"/>
      <x:c r="AO73" s="54"/>
      <x:c r="AP73" s="54"/>
      <x:c r="AQ73" s="54"/>
      <x:c r="AR73" s="54"/>
      <x:c r="AS73" s="54"/>
      <x:c r="AT73" s="54"/>
      <x:c r="AU73" s="54"/>
      <x:c r="AV73" s="54"/>
      <x:c r="AW73" s="54"/>
    </x:row>
    <x:row r="74">
      <x:c r="A74" s="54"/>
      <x:c r="B74" s="54"/>
      <x:c r="C74" s="54"/>
      <x:c r="D74" s="54"/>
      <x:c r="E74" s="54"/>
      <x:c r="F74" s="54"/>
      <x:c r="G74" s="54"/>
      <x:c r="H74" s="54"/>
      <x:c r="I74" s="54"/>
      <x:c r="J74" s="54"/>
      <x:c r="K74" s="54"/>
      <x:c r="L74" s="54"/>
      <x:c r="M74" s="54"/>
      <x:c r="N74" s="54"/>
      <x:c r="O74" s="54"/>
      <x:c r="P74" s="54"/>
      <x:c r="Q74" s="54"/>
      <x:c r="R74" s="54"/>
      <x:c r="S74" s="54"/>
      <x:c r="T74" s="54"/>
      <x:c r="U74" s="54"/>
      <x:c r="V74" s="54"/>
      <x:c r="W74" s="54"/>
      <x:c r="X74" s="54"/>
      <x:c r="Y74" s="54"/>
      <x:c r="Z74" s="54"/>
      <x:c r="AA74" s="54"/>
      <x:c r="AB74" s="54"/>
      <x:c r="AC74" s="54"/>
      <x:c r="AD74" s="54"/>
      <x:c r="AE74" s="54"/>
      <x:c r="AF74" s="54"/>
      <x:c r="AG74" s="54"/>
      <x:c r="AH74" s="54"/>
      <x:c r="AI74" s="54"/>
      <x:c r="AJ74" s="54"/>
      <x:c r="AK74" s="54"/>
      <x:c r="AL74" s="54"/>
      <x:c r="AM74" s="54"/>
      <x:c r="AN74" s="54"/>
      <x:c r="AO74" s="54"/>
      <x:c r="AP74" s="54"/>
      <x:c r="AQ74" s="54"/>
      <x:c r="AR74" s="54"/>
      <x:c r="AS74" s="54"/>
      <x:c r="AT74" s="54"/>
      <x:c r="AU74" s="54"/>
      <x:c r="AV74" s="54"/>
      <x:c r="AW74" s="54"/>
    </x:row>
    <x:row r="75">
      <x:c r="A75" s="54"/>
      <x:c r="B75" s="54"/>
      <x:c r="C75" s="54"/>
      <x:c r="D75" s="54"/>
      <x:c r="E75" s="54"/>
      <x:c r="F75" s="54"/>
      <x:c r="G75" s="54"/>
      <x:c r="H75" s="54"/>
      <x:c r="I75" s="54"/>
      <x:c r="J75" s="54"/>
      <x:c r="K75" s="54"/>
      <x:c r="L75" s="54"/>
      <x:c r="M75" s="54"/>
      <x:c r="N75" s="54"/>
      <x:c r="O75" s="54"/>
      <x:c r="P75" s="54"/>
      <x:c r="Q75" s="54"/>
      <x:c r="R75" s="54"/>
      <x:c r="S75" s="54"/>
      <x:c r="T75" s="54"/>
      <x:c r="U75" s="54"/>
      <x:c r="V75" s="54"/>
      <x:c r="W75" s="54"/>
      <x:c r="X75" s="54"/>
      <x:c r="Y75" s="54"/>
      <x:c r="Z75" s="54"/>
      <x:c r="AA75" s="54"/>
      <x:c r="AB75" s="54"/>
      <x:c r="AC75" s="54"/>
      <x:c r="AD75" s="54"/>
      <x:c r="AE75" s="54"/>
      <x:c r="AF75" s="54"/>
      <x:c r="AG75" s="54"/>
      <x:c r="AH75" s="54"/>
      <x:c r="AI75" s="54"/>
      <x:c r="AJ75" s="54"/>
      <x:c r="AK75" s="54"/>
      <x:c r="AL75" s="54"/>
      <x:c r="AM75" s="54"/>
      <x:c r="AN75" s="54"/>
      <x:c r="AO75" s="54"/>
      <x:c r="AP75" s="54"/>
      <x:c r="AQ75" s="54"/>
      <x:c r="AR75" s="54"/>
      <x:c r="AS75" s="54"/>
      <x:c r="AT75" s="54"/>
      <x:c r="AU75" s="54"/>
      <x:c r="AV75" s="54"/>
      <x:c r="AW75" s="54"/>
    </x:row>
    <x:row r="76">
      <x:c r="A76" s="54"/>
      <x:c r="B76" s="54"/>
      <x:c r="C76" s="54"/>
      <x:c r="D76" s="54"/>
      <x:c r="E76" s="54"/>
      <x:c r="F76" s="54"/>
      <x:c r="G76" s="54"/>
      <x:c r="H76" s="54"/>
      <x:c r="I76" s="54"/>
      <x:c r="J76" s="54"/>
      <x:c r="K76" s="54"/>
      <x:c r="L76" s="54"/>
      <x:c r="M76" s="54"/>
      <x:c r="N76" s="54"/>
      <x:c r="O76" s="54"/>
      <x:c r="P76" s="54"/>
      <x:c r="Q76" s="54"/>
      <x:c r="R76" s="54"/>
      <x:c r="S76" s="54"/>
      <x:c r="T76" s="54"/>
      <x:c r="U76" s="54"/>
      <x:c r="V76" s="54"/>
      <x:c r="W76" s="54"/>
      <x:c r="X76" s="54"/>
      <x:c r="Y76" s="54"/>
      <x:c r="Z76" s="54"/>
      <x:c r="AA76" s="54"/>
      <x:c r="AB76" s="54"/>
      <x:c r="AC76" s="54"/>
      <x:c r="AD76" s="54"/>
      <x:c r="AE76" s="54"/>
      <x:c r="AF76" s="54"/>
      <x:c r="AG76" s="54"/>
      <x:c r="AH76" s="54"/>
      <x:c r="AI76" s="54"/>
      <x:c r="AJ76" s="54"/>
      <x:c r="AK76" s="54"/>
      <x:c r="AL76" s="54"/>
      <x:c r="AM76" s="54"/>
      <x:c r="AN76" s="54"/>
      <x:c r="AO76" s="54"/>
      <x:c r="AP76" s="54"/>
      <x:c r="AQ76" s="54"/>
      <x:c r="AR76" s="54"/>
      <x:c r="AS76" s="54"/>
      <x:c r="AT76" s="54"/>
      <x:c r="AU76" s="54"/>
      <x:c r="AV76" s="54"/>
      <x:c r="AW76" s="54"/>
    </x:row>
    <x:row r="77">
      <x:c r="A77" s="54"/>
      <x:c r="B77" s="54"/>
      <x:c r="C77" s="54"/>
      <x:c r="D77" s="54"/>
      <x:c r="E77" s="54"/>
      <x:c r="F77" s="54"/>
      <x:c r="G77" s="54"/>
      <x:c r="H77" s="54"/>
      <x:c r="I77" s="54"/>
      <x:c r="J77" s="54"/>
      <x:c r="K77" s="54"/>
      <x:c r="L77" s="54"/>
      <x:c r="M77" s="54"/>
      <x:c r="N77" s="54"/>
      <x:c r="O77" s="54"/>
      <x:c r="P77" s="54"/>
      <x:c r="Q77" s="54"/>
      <x:c r="R77" s="54"/>
      <x:c r="S77" s="54"/>
      <x:c r="T77" s="54"/>
      <x:c r="U77" s="54"/>
      <x:c r="V77" s="54"/>
      <x:c r="W77" s="54"/>
      <x:c r="X77" s="54"/>
      <x:c r="Y77" s="54"/>
      <x:c r="Z77" s="54"/>
      <x:c r="AA77" s="54"/>
      <x:c r="AB77" s="54"/>
      <x:c r="AC77" s="54"/>
      <x:c r="AD77" s="54"/>
      <x:c r="AE77" s="54"/>
      <x:c r="AF77" s="54"/>
      <x:c r="AG77" s="54"/>
      <x:c r="AH77" s="54"/>
      <x:c r="AI77" s="54"/>
      <x:c r="AJ77" s="54"/>
      <x:c r="AK77" s="54"/>
      <x:c r="AL77" s="54"/>
      <x:c r="AM77" s="54"/>
      <x:c r="AN77" s="54"/>
      <x:c r="AO77" s="54"/>
      <x:c r="AP77" s="54"/>
      <x:c r="AQ77" s="54"/>
      <x:c r="AR77" s="54"/>
      <x:c r="AS77" s="54"/>
      <x:c r="AT77" s="54"/>
      <x:c r="AU77" s="54"/>
      <x:c r="AV77" s="54"/>
      <x:c r="AW77" s="54"/>
    </x:row>
    <x:row r="78">
      <x:c r="A78" s="54"/>
      <x:c r="B78" s="54"/>
      <x:c r="C78" s="54"/>
      <x:c r="D78" s="54"/>
      <x:c r="E78" s="54"/>
      <x:c r="F78" s="54"/>
      <x:c r="G78" s="54"/>
      <x:c r="H78" s="54"/>
      <x:c r="I78" s="54"/>
      <x:c r="J78" s="54"/>
      <x:c r="K78" s="54"/>
      <x:c r="L78" s="54"/>
      <x:c r="M78" s="54"/>
      <x:c r="N78" s="54"/>
      <x:c r="O78" s="54"/>
      <x:c r="P78" s="54"/>
      <x:c r="Q78" s="54"/>
      <x:c r="R78" s="54"/>
      <x:c r="S78" s="54"/>
      <x:c r="T78" s="54"/>
      <x:c r="U78" s="54"/>
      <x:c r="V78" s="54"/>
      <x:c r="W78" s="54"/>
      <x:c r="X78" s="54"/>
      <x:c r="Y78" s="54"/>
      <x:c r="Z78" s="54"/>
      <x:c r="AA78" s="54"/>
      <x:c r="AB78" s="54"/>
      <x:c r="AC78" s="54"/>
      <x:c r="AD78" s="54"/>
      <x:c r="AE78" s="54"/>
      <x:c r="AF78" s="54"/>
      <x:c r="AG78" s="54"/>
      <x:c r="AH78" s="54"/>
      <x:c r="AI78" s="54"/>
      <x:c r="AJ78" s="54"/>
      <x:c r="AK78" s="54"/>
      <x:c r="AL78" s="54"/>
      <x:c r="AM78" s="54"/>
      <x:c r="AN78" s="54"/>
      <x:c r="AO78" s="54"/>
      <x:c r="AP78" s="54"/>
      <x:c r="AQ78" s="54"/>
      <x:c r="AR78" s="54"/>
      <x:c r="AS78" s="54"/>
      <x:c r="AT78" s="54"/>
      <x:c r="AU78" s="54"/>
      <x:c r="AV78" s="54"/>
      <x:c r="AW78" s="54"/>
    </x:row>
    <x:row r="79">
      <x:c r="A79" s="54"/>
      <x:c r="B79" s="54"/>
      <x:c r="C79" s="54"/>
      <x:c r="D79" s="54"/>
      <x:c r="E79" s="54"/>
      <x:c r="F79" s="54"/>
      <x:c r="G79" s="54"/>
      <x:c r="H79" s="54"/>
      <x:c r="I79" s="54"/>
      <x:c r="J79" s="54"/>
      <x:c r="K79" s="54"/>
      <x:c r="L79" s="54"/>
      <x:c r="M79" s="54"/>
      <x:c r="N79" s="54"/>
      <x:c r="O79" s="54"/>
      <x:c r="P79" s="54"/>
      <x:c r="Q79" s="54"/>
      <x:c r="R79" s="54"/>
      <x:c r="S79" s="54"/>
      <x:c r="T79" s="54"/>
      <x:c r="U79" s="54"/>
      <x:c r="V79" s="54"/>
      <x:c r="W79" s="54"/>
      <x:c r="X79" s="54"/>
      <x:c r="Y79" s="54"/>
      <x:c r="Z79" s="54"/>
      <x:c r="AA79" s="54"/>
      <x:c r="AB79" s="54"/>
      <x:c r="AC79" s="54"/>
      <x:c r="AD79" s="54"/>
      <x:c r="AE79" s="54"/>
      <x:c r="AF79" s="54"/>
      <x:c r="AG79" s="54"/>
      <x:c r="AH79" s="54"/>
      <x:c r="AI79" s="54"/>
      <x:c r="AJ79" s="54"/>
      <x:c r="AK79" s="54"/>
      <x:c r="AL79" s="54"/>
      <x:c r="AM79" s="54"/>
      <x:c r="AN79" s="54"/>
      <x:c r="AO79" s="54"/>
      <x:c r="AP79" s="54"/>
      <x:c r="AQ79" s="54"/>
      <x:c r="AR79" s="54"/>
      <x:c r="AS79" s="54"/>
      <x:c r="AT79" s="54"/>
      <x:c r="AU79" s="54"/>
      <x:c r="AV79" s="54"/>
      <x:c r="AW79" s="54"/>
    </x:row>
    <x:row r="80">
      <x:c r="A80" s="54"/>
      <x:c r="B80" s="54"/>
      <x:c r="C80" s="54"/>
      <x:c r="D80" s="54"/>
      <x:c r="E80" s="54"/>
      <x:c r="F80" s="54"/>
      <x:c r="G80" s="54"/>
      <x:c r="H80" s="54"/>
      <x:c r="I80" s="54"/>
      <x:c r="J80" s="54"/>
      <x:c r="K80" s="54"/>
      <x:c r="L80" s="54"/>
      <x:c r="M80" s="54"/>
      <x:c r="N80" s="54"/>
      <x:c r="O80" s="54"/>
      <x:c r="P80" s="54"/>
      <x:c r="Q80" s="54"/>
      <x:c r="R80" s="54"/>
      <x:c r="S80" s="54"/>
      <x:c r="T80" s="54"/>
      <x:c r="U80" s="54"/>
      <x:c r="V80" s="54"/>
      <x:c r="W80" s="54"/>
      <x:c r="X80" s="54"/>
      <x:c r="Y80" s="54"/>
      <x:c r="Z80" s="54"/>
      <x:c r="AA80" s="54"/>
      <x:c r="AB80" s="54"/>
      <x:c r="AC80" s="54"/>
      <x:c r="AD80" s="54"/>
      <x:c r="AE80" s="54"/>
      <x:c r="AF80" s="54"/>
      <x:c r="AG80" s="54"/>
      <x:c r="AH80" s="54"/>
      <x:c r="AI80" s="54"/>
      <x:c r="AJ80" s="54"/>
      <x:c r="AK80" s="54"/>
      <x:c r="AL80" s="54"/>
      <x:c r="AM80" s="54"/>
      <x:c r="AN80" s="54"/>
      <x:c r="AO80" s="54"/>
      <x:c r="AP80" s="54"/>
      <x:c r="AQ80" s="54"/>
      <x:c r="AR80" s="54"/>
      <x:c r="AS80" s="54"/>
      <x:c r="AT80" s="54"/>
      <x:c r="AU80" s="54"/>
      <x:c r="AV80" s="54"/>
      <x:c r="AW80" s="54"/>
    </x:row>
    <x:row r="81">
      <x:c r="A81" s="54"/>
      <x:c r="B81" s="54"/>
      <x:c r="C81" s="54"/>
      <x:c r="D81" s="54"/>
      <x:c r="E81" s="54"/>
      <x:c r="F81" s="54"/>
      <x:c r="G81" s="54"/>
      <x:c r="H81" s="54"/>
      <x:c r="I81" s="54"/>
      <x:c r="J81" s="54"/>
      <x:c r="K81" s="54"/>
      <x:c r="L81" s="54"/>
      <x:c r="M81" s="54"/>
      <x:c r="N81" s="54"/>
      <x:c r="O81" s="54"/>
      <x:c r="P81" s="54"/>
      <x:c r="Q81" s="54"/>
      <x:c r="R81" s="54"/>
      <x:c r="S81" s="54"/>
      <x:c r="T81" s="54"/>
      <x:c r="U81" s="54"/>
      <x:c r="V81" s="54"/>
      <x:c r="W81" s="54"/>
      <x:c r="X81" s="54"/>
      <x:c r="Y81" s="54"/>
      <x:c r="Z81" s="54"/>
      <x:c r="AA81" s="54"/>
      <x:c r="AB81" s="54"/>
      <x:c r="AC81" s="54"/>
      <x:c r="AD81" s="54"/>
      <x:c r="AE81" s="54"/>
      <x:c r="AF81" s="54"/>
      <x:c r="AG81" s="54"/>
      <x:c r="AH81" s="54"/>
      <x:c r="AI81" s="54"/>
      <x:c r="AJ81" s="54"/>
      <x:c r="AK81" s="54"/>
      <x:c r="AL81" s="54"/>
      <x:c r="AM81" s="54"/>
      <x:c r="AN81" s="54"/>
      <x:c r="AO81" s="54"/>
      <x:c r="AP81" s="54"/>
      <x:c r="AQ81" s="54"/>
      <x:c r="AR81" s="54"/>
      <x:c r="AS81" s="54"/>
      <x:c r="AT81" s="54"/>
      <x:c r="AU81" s="54"/>
      <x:c r="AV81" s="54"/>
      <x:c r="AW81" s="54"/>
    </x:row>
    <x:row r="82">
      <x:c r="A82" s="54"/>
      <x:c r="B82" s="54"/>
      <x:c r="C82" s="54"/>
      <x:c r="D82" s="54"/>
      <x:c r="E82" s="54"/>
      <x:c r="F82" s="54"/>
      <x:c r="G82" s="54"/>
      <x:c r="H82" s="54"/>
      <x:c r="I82" s="54"/>
      <x:c r="J82" s="54"/>
      <x:c r="K82" s="54"/>
      <x:c r="L82" s="54"/>
      <x:c r="M82" s="54"/>
      <x:c r="N82" s="54"/>
      <x:c r="O82" s="54"/>
      <x:c r="P82" s="54"/>
      <x:c r="Q82" s="54"/>
      <x:c r="R82" s="54"/>
      <x:c r="S82" s="54"/>
      <x:c r="T82" s="54"/>
      <x:c r="U82" s="54"/>
      <x:c r="V82" s="54"/>
      <x:c r="W82" s="54"/>
      <x:c r="X82" s="54"/>
      <x:c r="Y82" s="54"/>
      <x:c r="Z82" s="54"/>
      <x:c r="AA82" s="54"/>
      <x:c r="AB82" s="54"/>
      <x:c r="AC82" s="54"/>
      <x:c r="AD82" s="54"/>
      <x:c r="AE82" s="54"/>
      <x:c r="AF82" s="54"/>
      <x:c r="AG82" s="54"/>
      <x:c r="AH82" s="54"/>
      <x:c r="AI82" s="54"/>
      <x:c r="AJ82" s="54"/>
      <x:c r="AK82" s="54"/>
      <x:c r="AL82" s="54"/>
      <x:c r="AM82" s="54"/>
      <x:c r="AN82" s="54"/>
      <x:c r="AO82" s="54"/>
      <x:c r="AP82" s="54"/>
      <x:c r="AQ82" s="54"/>
      <x:c r="AR82" s="54"/>
      <x:c r="AS82" s="54"/>
      <x:c r="AT82" s="54"/>
      <x:c r="AU82" s="54"/>
      <x:c r="AV82" s="54"/>
      <x:c r="AW82" s="54"/>
    </x:row>
    <x:row r="83">
      <x:c r="A83" s="54"/>
      <x:c r="B83" s="54"/>
      <x:c r="C83" s="54"/>
      <x:c r="D83" s="54"/>
      <x:c r="E83" s="54"/>
      <x:c r="F83" s="54"/>
      <x:c r="G83" s="54"/>
      <x:c r="H83" s="54"/>
      <x:c r="I83" s="54"/>
      <x:c r="J83" s="54"/>
      <x:c r="K83" s="54"/>
      <x:c r="L83" s="54"/>
      <x:c r="M83" s="54"/>
      <x:c r="N83" s="54"/>
      <x:c r="O83" s="54"/>
      <x:c r="P83" s="54"/>
      <x:c r="Q83" s="54"/>
      <x:c r="R83" s="54"/>
      <x:c r="S83" s="54"/>
      <x:c r="T83" s="54"/>
      <x:c r="U83" s="54"/>
      <x:c r="V83" s="54"/>
      <x:c r="W83" s="54"/>
      <x:c r="X83" s="54"/>
      <x:c r="Y83" s="54"/>
      <x:c r="Z83" s="54"/>
      <x:c r="AA83" s="54"/>
      <x:c r="AB83" s="54"/>
      <x:c r="AC83" s="54"/>
      <x:c r="AD83" s="54"/>
      <x:c r="AE83" s="54"/>
      <x:c r="AF83" s="54"/>
      <x:c r="AG83" s="54"/>
      <x:c r="AH83" s="54"/>
      <x:c r="AI83" s="54"/>
      <x:c r="AJ83" s="54"/>
      <x:c r="AK83" s="54"/>
      <x:c r="AL83" s="54"/>
      <x:c r="AM83" s="54"/>
      <x:c r="AN83" s="54"/>
      <x:c r="AO83" s="54"/>
      <x:c r="AP83" s="54"/>
      <x:c r="AQ83" s="54"/>
      <x:c r="AR83" s="54"/>
      <x:c r="AS83" s="54"/>
      <x:c r="AT83" s="54"/>
      <x:c r="AU83" s="54"/>
      <x:c r="AV83" s="54"/>
      <x:c r="AW83" s="54"/>
    </x:row>
    <x:row r="84">
      <x:c r="A84" s="54"/>
      <x:c r="B84" s="54"/>
      <x:c r="C84" s="54"/>
      <x:c r="D84" s="54"/>
      <x:c r="E84" s="54"/>
      <x:c r="F84" s="54"/>
      <x:c r="G84" s="54"/>
      <x:c r="H84" s="54"/>
      <x:c r="I84" s="54"/>
      <x:c r="J84" s="54"/>
      <x:c r="K84" s="54"/>
      <x:c r="L84" s="54"/>
      <x:c r="M84" s="54"/>
      <x:c r="N84" s="54"/>
      <x:c r="O84" s="54"/>
      <x:c r="P84" s="54"/>
      <x:c r="Q84" s="54"/>
      <x:c r="R84" s="54"/>
      <x:c r="S84" s="54"/>
      <x:c r="T84" s="54"/>
      <x:c r="U84" s="54"/>
      <x:c r="V84" s="54"/>
      <x:c r="W84" s="54"/>
      <x:c r="X84" s="54"/>
      <x:c r="Y84" s="54"/>
      <x:c r="Z84" s="54"/>
      <x:c r="AA84" s="54"/>
      <x:c r="AB84" s="54"/>
      <x:c r="AC84" s="54"/>
      <x:c r="AD84" s="54"/>
      <x:c r="AE84" s="54"/>
      <x:c r="AF84" s="54"/>
      <x:c r="AG84" s="54"/>
      <x:c r="AH84" s="54"/>
      <x:c r="AI84" s="54"/>
      <x:c r="AJ84" s="54"/>
      <x:c r="AK84" s="54"/>
      <x:c r="AL84" s="54"/>
      <x:c r="AM84" s="54"/>
      <x:c r="AN84" s="54"/>
      <x:c r="AO84" s="54"/>
      <x:c r="AP84" s="54"/>
      <x:c r="AQ84" s="54"/>
      <x:c r="AR84" s="54"/>
      <x:c r="AS84" s="54"/>
      <x:c r="AT84" s="54"/>
      <x:c r="AU84" s="54"/>
      <x:c r="AV84" s="54"/>
      <x:c r="AW84" s="54"/>
    </x:row>
    <x:row r="85">
      <x:c r="A85" s="54"/>
      <x:c r="B85" s="54"/>
      <x:c r="C85" s="54"/>
      <x:c r="D85" s="54"/>
      <x:c r="E85" s="54"/>
      <x:c r="F85" s="54"/>
      <x:c r="G85" s="54"/>
      <x:c r="H85" s="54"/>
      <x:c r="I85" s="54"/>
      <x:c r="J85" s="54"/>
      <x:c r="K85" s="54"/>
      <x:c r="L85" s="54"/>
      <x:c r="M85" s="54"/>
      <x:c r="N85" s="54"/>
      <x:c r="O85" s="54"/>
      <x:c r="P85" s="54"/>
      <x:c r="Q85" s="54"/>
      <x:c r="R85" s="54"/>
      <x:c r="S85" s="54"/>
      <x:c r="T85" s="54"/>
      <x:c r="U85" s="54"/>
      <x:c r="V85" s="54"/>
      <x:c r="W85" s="54"/>
      <x:c r="X85" s="54"/>
      <x:c r="Y85" s="54"/>
      <x:c r="Z85" s="54"/>
      <x:c r="AA85" s="54"/>
      <x:c r="AB85" s="54"/>
      <x:c r="AC85" s="54"/>
      <x:c r="AD85" s="54"/>
      <x:c r="AE85" s="54"/>
      <x:c r="AF85" s="54"/>
      <x:c r="AG85" s="54"/>
      <x:c r="AH85" s="54"/>
      <x:c r="AI85" s="54"/>
      <x:c r="AJ85" s="54"/>
      <x:c r="AK85" s="54"/>
      <x:c r="AL85" s="54"/>
      <x:c r="AM85" s="54"/>
      <x:c r="AN85" s="54"/>
      <x:c r="AO85" s="54"/>
      <x:c r="AP85" s="54"/>
      <x:c r="AQ85" s="54"/>
      <x:c r="AR85" s="54"/>
      <x:c r="AS85" s="54"/>
      <x:c r="AT85" s="54"/>
      <x:c r="AU85" s="54"/>
      <x:c r="AV85" s="54"/>
      <x:c r="AW85" s="54"/>
    </x:row>
    <x:row r="86">
      <x:c r="A86" s="54"/>
      <x:c r="B86" s="54"/>
      <x:c r="C86" s="54"/>
      <x:c r="D86" s="54"/>
      <x:c r="E86" s="54"/>
      <x:c r="F86" s="54"/>
      <x:c r="G86" s="54"/>
      <x:c r="H86" s="54"/>
      <x:c r="I86" s="54"/>
      <x:c r="J86" s="54"/>
      <x:c r="K86" s="54"/>
      <x:c r="L86" s="54"/>
      <x:c r="M86" s="54"/>
      <x:c r="N86" s="54"/>
      <x:c r="O86" s="54"/>
      <x:c r="P86" s="54"/>
      <x:c r="Q86" s="54"/>
      <x:c r="R86" s="54"/>
      <x:c r="S86" s="54"/>
      <x:c r="T86" s="54"/>
      <x:c r="U86" s="54"/>
      <x:c r="V86" s="54"/>
      <x:c r="W86" s="54"/>
      <x:c r="X86" s="54"/>
      <x:c r="Y86" s="54"/>
      <x:c r="Z86" s="54"/>
      <x:c r="AA86" s="54"/>
      <x:c r="AB86" s="54"/>
      <x:c r="AC86" s="54"/>
      <x:c r="AD86" s="54"/>
      <x:c r="AE86" s="54"/>
      <x:c r="AF86" s="54"/>
      <x:c r="AG86" s="54"/>
      <x:c r="AH86" s="54"/>
      <x:c r="AI86" s="54"/>
      <x:c r="AJ86" s="54"/>
      <x:c r="AK86" s="54"/>
      <x:c r="AL86" s="54"/>
      <x:c r="AM86" s="54"/>
      <x:c r="AN86" s="54"/>
      <x:c r="AO86" s="54"/>
      <x:c r="AP86" s="54"/>
      <x:c r="AQ86" s="54"/>
      <x:c r="AR86" s="54"/>
      <x:c r="AS86" s="54"/>
      <x:c r="AT86" s="54"/>
      <x:c r="AU86" s="54"/>
      <x:c r="AV86" s="54"/>
      <x:c r="AW86" s="54"/>
    </x:row>
    <x:row r="87">
      <x:c r="A87" s="54"/>
      <x:c r="B87" s="54"/>
      <x:c r="C87" s="54"/>
      <x:c r="D87" s="54"/>
      <x:c r="E87" s="54"/>
      <x:c r="F87" s="54"/>
      <x:c r="G87" s="54"/>
      <x:c r="H87" s="54"/>
      <x:c r="I87" s="54"/>
      <x:c r="J87" s="54"/>
      <x:c r="K87" s="54"/>
      <x:c r="L87" s="54"/>
      <x:c r="M87" s="54"/>
      <x:c r="N87" s="54"/>
      <x:c r="O87" s="54"/>
      <x:c r="P87" s="54"/>
      <x:c r="Q87" s="54"/>
      <x:c r="R87" s="54"/>
      <x:c r="S87" s="54"/>
      <x:c r="T87" s="54"/>
      <x:c r="U87" s="54"/>
      <x:c r="V87" s="54"/>
      <x:c r="W87" s="54"/>
      <x:c r="X87" s="54"/>
      <x:c r="Y87" s="54"/>
      <x:c r="Z87" s="54"/>
      <x:c r="AA87" s="54"/>
      <x:c r="AB87" s="54"/>
      <x:c r="AC87" s="54"/>
      <x:c r="AD87" s="54"/>
      <x:c r="AE87" s="54"/>
      <x:c r="AF87" s="54"/>
      <x:c r="AG87" s="54"/>
      <x:c r="AH87" s="54"/>
      <x:c r="AI87" s="54"/>
      <x:c r="AJ87" s="54"/>
      <x:c r="AK87" s="54"/>
      <x:c r="AL87" s="54"/>
      <x:c r="AM87" s="54"/>
      <x:c r="AN87" s="54"/>
      <x:c r="AO87" s="54"/>
      <x:c r="AP87" s="54"/>
      <x:c r="AQ87" s="54"/>
      <x:c r="AR87" s="54"/>
      <x:c r="AS87" s="54"/>
      <x:c r="AT87" s="54"/>
      <x:c r="AU87" s="54"/>
      <x:c r="AV87" s="54"/>
      <x:c r="AW87" s="54"/>
    </x:row>
    <x:row r="88">
      <x:c r="A88" s="54"/>
      <x:c r="B88" s="54"/>
      <x:c r="C88" s="54"/>
      <x:c r="D88" s="54"/>
      <x:c r="E88" s="54"/>
      <x:c r="F88" s="54"/>
      <x:c r="G88" s="54"/>
      <x:c r="H88" s="54"/>
      <x:c r="I88" s="54"/>
      <x:c r="J88" s="54"/>
      <x:c r="K88" s="54"/>
      <x:c r="L88" s="54"/>
      <x:c r="M88" s="54"/>
      <x:c r="N88" s="54"/>
      <x:c r="O88" s="54"/>
      <x:c r="P88" s="54"/>
      <x:c r="Q88" s="54"/>
      <x:c r="R88" s="54"/>
      <x:c r="S88" s="54"/>
      <x:c r="T88" s="54"/>
      <x:c r="U88" s="54"/>
      <x:c r="V88" s="54"/>
      <x:c r="W88" s="54"/>
      <x:c r="X88" s="54"/>
      <x:c r="Y88" s="54"/>
      <x:c r="Z88" s="54"/>
      <x:c r="AA88" s="54"/>
      <x:c r="AB88" s="54"/>
      <x:c r="AC88" s="54"/>
      <x:c r="AD88" s="54"/>
      <x:c r="AE88" s="54"/>
      <x:c r="AF88" s="54"/>
      <x:c r="AG88" s="54"/>
      <x:c r="AH88" s="54"/>
      <x:c r="AI88" s="54"/>
      <x:c r="AJ88" s="54"/>
      <x:c r="AK88" s="54"/>
      <x:c r="AL88" s="54"/>
      <x:c r="AM88" s="54"/>
      <x:c r="AN88" s="54"/>
      <x:c r="AO88" s="54"/>
      <x:c r="AP88" s="54"/>
      <x:c r="AQ88" s="54"/>
      <x:c r="AR88" s="54"/>
      <x:c r="AS88" s="54"/>
      <x:c r="AT88" s="54"/>
      <x:c r="AU88" s="54"/>
      <x:c r="AV88" s="54"/>
      <x:c r="AW88" s="54"/>
    </x:row>
    <x:row r="89">
      <x:c r="A89" s="54"/>
      <x:c r="B89" s="54"/>
      <x:c r="C89" s="54"/>
      <x:c r="D89" s="54"/>
      <x:c r="E89" s="54"/>
      <x:c r="F89" s="54"/>
      <x:c r="G89" s="54"/>
      <x:c r="H89" s="54"/>
      <x:c r="I89" s="54"/>
      <x:c r="J89" s="54"/>
      <x:c r="K89" s="54"/>
      <x:c r="L89" s="54"/>
      <x:c r="M89" s="54"/>
      <x:c r="N89" s="54"/>
      <x:c r="O89" s="54"/>
      <x:c r="P89" s="54"/>
      <x:c r="Q89" s="54"/>
      <x:c r="R89" s="54"/>
      <x:c r="S89" s="54"/>
      <x:c r="T89" s="54"/>
      <x:c r="U89" s="54"/>
      <x:c r="V89" s="54"/>
      <x:c r="W89" s="54"/>
      <x:c r="X89" s="54"/>
      <x:c r="Y89" s="54"/>
      <x:c r="Z89" s="54"/>
      <x:c r="AA89" s="54"/>
      <x:c r="AB89" s="54"/>
      <x:c r="AC89" s="54"/>
      <x:c r="AD89" s="54"/>
      <x:c r="AE89" s="54"/>
      <x:c r="AF89" s="54"/>
      <x:c r="AG89" s="54"/>
      <x:c r="AH89" s="54"/>
      <x:c r="AI89" s="54"/>
      <x:c r="AJ89" s="54"/>
      <x:c r="AK89" s="54"/>
      <x:c r="AL89" s="54"/>
      <x:c r="AM89" s="54"/>
      <x:c r="AN89" s="54"/>
      <x:c r="AO89" s="54"/>
      <x:c r="AP89" s="54"/>
      <x:c r="AQ89" s="54"/>
      <x:c r="AR89" s="54"/>
      <x:c r="AS89" s="54"/>
      <x:c r="AT89" s="54"/>
      <x:c r="AU89" s="54"/>
      <x:c r="AV89" s="54"/>
      <x:c r="AW89" s="54"/>
    </x:row>
    <x:row r="90">
      <x:c r="A90" s="54"/>
      <x:c r="B90" s="54"/>
      <x:c r="C90" s="54"/>
      <x:c r="D90" s="54"/>
      <x:c r="E90" s="54"/>
      <x:c r="F90" s="54"/>
      <x:c r="G90" s="54"/>
      <x:c r="H90" s="54"/>
      <x:c r="I90" s="54"/>
      <x:c r="J90" s="54"/>
      <x:c r="K90" s="54"/>
      <x:c r="L90" s="54"/>
      <x:c r="M90" s="54"/>
      <x:c r="N90" s="54"/>
      <x:c r="O90" s="54"/>
      <x:c r="P90" s="54"/>
      <x:c r="Q90" s="54"/>
      <x:c r="R90" s="54"/>
      <x:c r="S90" s="54"/>
      <x:c r="T90" s="54"/>
      <x:c r="U90" s="54"/>
      <x:c r="V90" s="54"/>
      <x:c r="W90" s="54"/>
      <x:c r="X90" s="54"/>
      <x:c r="Y90" s="54"/>
      <x:c r="Z90" s="54"/>
      <x:c r="AA90" s="54"/>
      <x:c r="AB90" s="54"/>
      <x:c r="AC90" s="54"/>
      <x:c r="AD90" s="54"/>
      <x:c r="AE90" s="54"/>
      <x:c r="AF90" s="54"/>
      <x:c r="AG90" s="54"/>
      <x:c r="AH90" s="54"/>
      <x:c r="AI90" s="54"/>
      <x:c r="AJ90" s="54"/>
      <x:c r="AK90" s="54"/>
      <x:c r="AL90" s="54"/>
      <x:c r="AM90" s="54"/>
      <x:c r="AN90" s="54"/>
      <x:c r="AO90" s="54"/>
      <x:c r="AP90" s="54"/>
      <x:c r="AQ90" s="54"/>
      <x:c r="AR90" s="54"/>
      <x:c r="AS90" s="54"/>
      <x:c r="AT90" s="54"/>
      <x:c r="AU90" s="54"/>
      <x:c r="AV90" s="54"/>
      <x:c r="AW90" s="54"/>
    </x:row>
    <x:row r="91">
      <x:c r="A91" s="54"/>
      <x:c r="B91" s="54"/>
      <x:c r="C91" s="54"/>
      <x:c r="D91" s="54"/>
      <x:c r="E91" s="54"/>
      <x:c r="F91" s="54"/>
      <x:c r="G91" s="54"/>
      <x:c r="H91" s="54"/>
      <x:c r="I91" s="54"/>
      <x:c r="J91" s="54"/>
      <x:c r="K91" s="54"/>
      <x:c r="L91" s="54"/>
      <x:c r="M91" s="54"/>
      <x:c r="N91" s="54"/>
      <x:c r="O91" s="54"/>
      <x:c r="P91" s="54"/>
      <x:c r="Q91" s="54"/>
      <x:c r="R91" s="54"/>
      <x:c r="S91" s="54"/>
      <x:c r="T91" s="54"/>
      <x:c r="U91" s="54"/>
      <x:c r="V91" s="54"/>
      <x:c r="W91" s="54"/>
      <x:c r="X91" s="54"/>
      <x:c r="Y91" s="54"/>
      <x:c r="Z91" s="54"/>
      <x:c r="AA91" s="54"/>
      <x:c r="AB91" s="54"/>
      <x:c r="AC91" s="54"/>
      <x:c r="AD91" s="54"/>
      <x:c r="AE91" s="54"/>
      <x:c r="AF91" s="54"/>
      <x:c r="AG91" s="54"/>
      <x:c r="AH91" s="54"/>
      <x:c r="AI91" s="54"/>
      <x:c r="AJ91" s="54"/>
      <x:c r="AK91" s="54"/>
      <x:c r="AL91" s="54"/>
      <x:c r="AM91" s="54"/>
      <x:c r="AN91" s="54"/>
      <x:c r="AO91" s="54"/>
      <x:c r="AP91" s="54"/>
      <x:c r="AQ91" s="54"/>
      <x:c r="AR91" s="54"/>
      <x:c r="AS91" s="54"/>
      <x:c r="AT91" s="54"/>
      <x:c r="AU91" s="54"/>
      <x:c r="AV91" s="54"/>
      <x:c r="AW91" s="54"/>
    </x:row>
    <x:row r="92">
      <x:c r="A92" s="54"/>
      <x:c r="B92" s="54"/>
      <x:c r="C92" s="54"/>
      <x:c r="D92" s="54"/>
      <x:c r="E92" s="54"/>
      <x:c r="F92" s="54"/>
      <x:c r="G92" s="54"/>
      <x:c r="H92" s="54"/>
      <x:c r="I92" s="54"/>
      <x:c r="J92" s="54"/>
      <x:c r="K92" s="54"/>
      <x:c r="L92" s="54"/>
      <x:c r="M92" s="54"/>
      <x:c r="N92" s="54"/>
      <x:c r="O92" s="54"/>
      <x:c r="P92" s="54"/>
      <x:c r="Q92" s="54"/>
      <x:c r="R92" s="54"/>
      <x:c r="S92" s="54"/>
      <x:c r="T92" s="54"/>
      <x:c r="U92" s="54"/>
      <x:c r="V92" s="54"/>
      <x:c r="W92" s="54"/>
      <x:c r="X92" s="54"/>
      <x:c r="Y92" s="54"/>
      <x:c r="Z92" s="54"/>
      <x:c r="AA92" s="54"/>
      <x:c r="AB92" s="54"/>
      <x:c r="AC92" s="54"/>
      <x:c r="AD92" s="54"/>
      <x:c r="AE92" s="54"/>
      <x:c r="AF92" s="54"/>
      <x:c r="AG92" s="54"/>
      <x:c r="AH92" s="54"/>
      <x:c r="AI92" s="54"/>
      <x:c r="AJ92" s="54"/>
      <x:c r="AK92" s="54"/>
      <x:c r="AL92" s="54"/>
      <x:c r="AM92" s="54"/>
      <x:c r="AN92" s="54"/>
      <x:c r="AO92" s="54"/>
      <x:c r="AP92" s="54"/>
      <x:c r="AQ92" s="54"/>
      <x:c r="AR92" s="54"/>
      <x:c r="AS92" s="54"/>
      <x:c r="AT92" s="54"/>
      <x:c r="AU92" s="54"/>
      <x:c r="AV92" s="54"/>
      <x:c r="AW92" s="54"/>
    </x:row>
    <x:row r="93">
      <x:c r="A93" s="54"/>
      <x:c r="B93" s="54"/>
      <x:c r="C93" s="54"/>
      <x:c r="D93" s="54"/>
      <x:c r="E93" s="54"/>
      <x:c r="F93" s="54"/>
      <x:c r="G93" s="54"/>
      <x:c r="H93" s="54"/>
      <x:c r="I93" s="54"/>
      <x:c r="J93" s="54"/>
      <x:c r="K93" s="54"/>
      <x:c r="L93" s="54"/>
      <x:c r="M93" s="54"/>
      <x:c r="N93" s="54"/>
      <x:c r="O93" s="54"/>
      <x:c r="P93" s="54"/>
      <x:c r="Q93" s="54"/>
      <x:c r="R93" s="54"/>
      <x:c r="S93" s="54"/>
      <x:c r="T93" s="54"/>
      <x:c r="U93" s="54"/>
      <x:c r="V93" s="54"/>
      <x:c r="W93" s="54"/>
      <x:c r="X93" s="54"/>
      <x:c r="Y93" s="54"/>
      <x:c r="Z93" s="54"/>
      <x:c r="AA93" s="54"/>
      <x:c r="AB93" s="54"/>
      <x:c r="AC93" s="54"/>
      <x:c r="AD93" s="54"/>
      <x:c r="AE93" s="54"/>
      <x:c r="AF93" s="54"/>
      <x:c r="AG93" s="54"/>
      <x:c r="AH93" s="54"/>
      <x:c r="AI93" s="54"/>
      <x:c r="AJ93" s="54"/>
      <x:c r="AK93" s="54"/>
      <x:c r="AL93" s="54"/>
      <x:c r="AM93" s="54"/>
      <x:c r="AN93" s="54"/>
      <x:c r="AO93" s="54"/>
      <x:c r="AP93" s="54"/>
      <x:c r="AQ93" s="54"/>
      <x:c r="AR93" s="54"/>
      <x:c r="AS93" s="54"/>
      <x:c r="AT93" s="54"/>
      <x:c r="AU93" s="54"/>
      <x:c r="AV93" s="54"/>
      <x:c r="AW93" s="54"/>
    </x:row>
    <x:row r="94">
      <x:c r="A94" s="54"/>
      <x:c r="B94" s="54"/>
      <x:c r="C94" s="54"/>
      <x:c r="D94" s="54"/>
      <x:c r="E94" s="54"/>
      <x:c r="F94" s="54"/>
      <x:c r="G94" s="54"/>
      <x:c r="H94" s="54"/>
      <x:c r="I94" s="54"/>
      <x:c r="J94" s="54"/>
      <x:c r="K94" s="54"/>
      <x:c r="L94" s="54"/>
      <x:c r="M94" s="54"/>
      <x:c r="N94" s="54"/>
      <x:c r="O94" s="54"/>
      <x:c r="P94" s="54"/>
      <x:c r="Q94" s="54"/>
      <x:c r="R94" s="54"/>
      <x:c r="S94" s="54"/>
      <x:c r="T94" s="54"/>
      <x:c r="U94" s="54"/>
      <x:c r="V94" s="54"/>
      <x:c r="W94" s="54"/>
      <x:c r="X94" s="54"/>
      <x:c r="Y94" s="54"/>
      <x:c r="Z94" s="54"/>
      <x:c r="AA94" s="54"/>
      <x:c r="AB94" s="54"/>
      <x:c r="AC94" s="54"/>
      <x:c r="AD94" s="54"/>
      <x:c r="AE94" s="54"/>
      <x:c r="AF94" s="54"/>
      <x:c r="AG94" s="54"/>
      <x:c r="AH94" s="54"/>
      <x:c r="AI94" s="54"/>
      <x:c r="AJ94" s="54"/>
      <x:c r="AK94" s="54"/>
      <x:c r="AL94" s="54"/>
      <x:c r="AM94" s="54"/>
      <x:c r="AN94" s="54"/>
      <x:c r="AO94" s="54"/>
      <x:c r="AP94" s="54"/>
      <x:c r="AQ94" s="54"/>
      <x:c r="AR94" s="54"/>
      <x:c r="AS94" s="54"/>
      <x:c r="AT94" s="54"/>
      <x:c r="AU94" s="54"/>
      <x:c r="AV94" s="54"/>
      <x:c r="AW94" s="54"/>
    </x:row>
    <x:row r="95">
      <x:c r="A95" s="54"/>
      <x:c r="B95" s="54"/>
      <x:c r="C95" s="54"/>
      <x:c r="D95" s="54"/>
      <x:c r="E95" s="54"/>
      <x:c r="F95" s="54"/>
      <x:c r="G95" s="54"/>
      <x:c r="H95" s="54"/>
      <x:c r="I95" s="54"/>
      <x:c r="J95" s="54"/>
      <x:c r="K95" s="54"/>
      <x:c r="L95" s="54"/>
      <x:c r="M95" s="54"/>
      <x:c r="N95" s="54"/>
      <x:c r="O95" s="54"/>
      <x:c r="P95" s="54"/>
      <x:c r="Q95" s="54"/>
      <x:c r="R95" s="54"/>
      <x:c r="S95" s="54"/>
      <x:c r="T95" s="54"/>
      <x:c r="U95" s="54"/>
      <x:c r="V95" s="54"/>
      <x:c r="W95" s="54"/>
      <x:c r="X95" s="54"/>
      <x:c r="Y95" s="54"/>
      <x:c r="Z95" s="54"/>
      <x:c r="AA95" s="54"/>
      <x:c r="AB95" s="54"/>
      <x:c r="AC95" s="54"/>
      <x:c r="AD95" s="54"/>
      <x:c r="AE95" s="54"/>
      <x:c r="AF95" s="54"/>
      <x:c r="AG95" s="54"/>
      <x:c r="AH95" s="54"/>
      <x:c r="AI95" s="54"/>
      <x:c r="AJ95" s="54"/>
      <x:c r="AK95" s="54"/>
      <x:c r="AL95" s="54"/>
      <x:c r="AM95" s="54"/>
      <x:c r="AN95" s="54"/>
      <x:c r="AO95" s="54"/>
      <x:c r="AP95" s="54"/>
      <x:c r="AQ95" s="54"/>
      <x:c r="AR95" s="54"/>
      <x:c r="AS95" s="54"/>
      <x:c r="AT95" s="54"/>
      <x:c r="AU95" s="54"/>
      <x:c r="AV95" s="54"/>
      <x:c r="AW95" s="54"/>
    </x:row>
    <x:row r="96">
      <x:c r="A96" s="54"/>
      <x:c r="B96" s="54"/>
      <x:c r="C96" s="54"/>
      <x:c r="D96" s="54"/>
      <x:c r="E96" s="54"/>
      <x:c r="F96" s="54"/>
      <x:c r="G96" s="54"/>
      <x:c r="H96" s="54"/>
      <x:c r="I96" s="54"/>
      <x:c r="J96" s="54"/>
      <x:c r="K96" s="54"/>
      <x:c r="L96" s="54"/>
      <x:c r="M96" s="54"/>
      <x:c r="N96" s="54"/>
      <x:c r="O96" s="54"/>
      <x:c r="P96" s="54"/>
      <x:c r="Q96" s="54"/>
      <x:c r="R96" s="54"/>
      <x:c r="S96" s="54"/>
      <x:c r="T96" s="54"/>
      <x:c r="U96" s="54"/>
      <x:c r="V96" s="54"/>
      <x:c r="W96" s="54"/>
      <x:c r="X96" s="54"/>
      <x:c r="Y96" s="54"/>
      <x:c r="Z96" s="54"/>
      <x:c r="AA96" s="54"/>
      <x:c r="AB96" s="54"/>
      <x:c r="AC96" s="54"/>
      <x:c r="AD96" s="54"/>
      <x:c r="AE96" s="54"/>
      <x:c r="AF96" s="54"/>
      <x:c r="AG96" s="54"/>
      <x:c r="AH96" s="54"/>
      <x:c r="AI96" s="54"/>
      <x:c r="AJ96" s="54"/>
      <x:c r="AK96" s="54"/>
      <x:c r="AL96" s="54"/>
      <x:c r="AM96" s="54"/>
      <x:c r="AN96" s="54"/>
      <x:c r="AO96" s="54"/>
      <x:c r="AP96" s="54"/>
      <x:c r="AQ96" s="54"/>
      <x:c r="AR96" s="54"/>
      <x:c r="AS96" s="54"/>
      <x:c r="AT96" s="54"/>
      <x:c r="AU96" s="54"/>
      <x:c r="AV96" s="54"/>
      <x:c r="AW96" s="54"/>
    </x:row>
    <x:row r="97">
      <x:c r="A97" s="54"/>
      <x:c r="B97" s="54"/>
      <x:c r="C97" s="54"/>
      <x:c r="D97" s="54"/>
      <x:c r="E97" s="54"/>
      <x:c r="F97" s="54"/>
      <x:c r="G97" s="54"/>
      <x:c r="H97" s="54"/>
      <x:c r="I97" s="54"/>
      <x:c r="J97" s="54"/>
      <x:c r="K97" s="54"/>
      <x:c r="L97" s="54"/>
      <x:c r="M97" s="54"/>
      <x:c r="N97" s="54"/>
      <x:c r="O97" s="54"/>
      <x:c r="P97" s="54"/>
      <x:c r="Q97" s="54"/>
      <x:c r="R97" s="54"/>
      <x:c r="S97" s="54"/>
      <x:c r="T97" s="54"/>
      <x:c r="U97" s="54"/>
      <x:c r="V97" s="54"/>
      <x:c r="W97" s="54"/>
      <x:c r="X97" s="54"/>
      <x:c r="Y97" s="54"/>
      <x:c r="Z97" s="54"/>
      <x:c r="AA97" s="54"/>
      <x:c r="AB97" s="54"/>
      <x:c r="AC97" s="54"/>
      <x:c r="AD97" s="54"/>
      <x:c r="AE97" s="54"/>
      <x:c r="AF97" s="54"/>
      <x:c r="AG97" s="54"/>
      <x:c r="AH97" s="54"/>
      <x:c r="AI97" s="54"/>
      <x:c r="AJ97" s="54"/>
      <x:c r="AK97" s="54"/>
      <x:c r="AL97" s="54"/>
      <x:c r="AM97" s="54"/>
      <x:c r="AN97" s="54"/>
      <x:c r="AO97" s="54"/>
      <x:c r="AP97" s="54"/>
      <x:c r="AQ97" s="54"/>
      <x:c r="AR97" s="54"/>
      <x:c r="AS97" s="54"/>
      <x:c r="AT97" s="54"/>
      <x:c r="AU97" s="54"/>
      <x:c r="AV97" s="54"/>
      <x:c r="AW97" s="54"/>
    </x:row>
    <x:row r="98">
      <x:c r="A98" s="54"/>
      <x:c r="B98" s="54"/>
      <x:c r="C98" s="54"/>
      <x:c r="D98" s="54"/>
      <x:c r="E98" s="54"/>
      <x:c r="F98" s="54"/>
      <x:c r="G98" s="54"/>
      <x:c r="H98" s="54"/>
      <x:c r="I98" s="54"/>
      <x:c r="J98" s="54"/>
      <x:c r="K98" s="54"/>
      <x:c r="L98" s="54"/>
      <x:c r="M98" s="54"/>
      <x:c r="N98" s="54"/>
      <x:c r="O98" s="54"/>
      <x:c r="P98" s="54"/>
      <x:c r="Q98" s="54"/>
      <x:c r="R98" s="54"/>
      <x:c r="S98" s="54"/>
      <x:c r="T98" s="54"/>
      <x:c r="U98" s="54"/>
      <x:c r="V98" s="54"/>
      <x:c r="W98" s="54"/>
      <x:c r="X98" s="54"/>
      <x:c r="Y98" s="54"/>
      <x:c r="Z98" s="54"/>
      <x:c r="AA98" s="54"/>
      <x:c r="AB98" s="54"/>
      <x:c r="AC98" s="54"/>
      <x:c r="AD98" s="54"/>
      <x:c r="AE98" s="54"/>
      <x:c r="AF98" s="54"/>
      <x:c r="AG98" s="54"/>
      <x:c r="AH98" s="54"/>
      <x:c r="AI98" s="54"/>
      <x:c r="AJ98" s="54"/>
      <x:c r="AK98" s="54"/>
      <x:c r="AL98" s="54"/>
      <x:c r="AM98" s="54"/>
      <x:c r="AN98" s="54"/>
      <x:c r="AO98" s="54"/>
      <x:c r="AP98" s="54"/>
      <x:c r="AQ98" s="54"/>
      <x:c r="AR98" s="54"/>
      <x:c r="AS98" s="54"/>
      <x:c r="AT98" s="54"/>
      <x:c r="AU98" s="54"/>
      <x:c r="AV98" s="54"/>
      <x:c r="AW98" s="54"/>
    </x:row>
    <x:row r="99">
      <x:c r="A99" s="54"/>
      <x:c r="B99" s="54"/>
      <x:c r="C99" s="54"/>
      <x:c r="D99" s="54"/>
      <x:c r="E99" s="54"/>
      <x:c r="F99" s="54"/>
      <x:c r="G99" s="54"/>
      <x:c r="H99" s="54"/>
      <x:c r="I99" s="54"/>
      <x:c r="J99" s="54"/>
      <x:c r="K99" s="54"/>
      <x:c r="L99" s="54"/>
      <x:c r="M99" s="54"/>
      <x:c r="N99" s="54"/>
      <x:c r="O99" s="54"/>
      <x:c r="P99" s="54"/>
      <x:c r="Q99" s="54"/>
      <x:c r="R99" s="54"/>
      <x:c r="S99" s="54"/>
      <x:c r="T99" s="54"/>
      <x:c r="U99" s="54"/>
      <x:c r="V99" s="54"/>
      <x:c r="W99" s="54"/>
      <x:c r="X99" s="54"/>
      <x:c r="Y99" s="54"/>
      <x:c r="Z99" s="54"/>
      <x:c r="AA99" s="54"/>
      <x:c r="AB99" s="54"/>
      <x:c r="AC99" s="54"/>
      <x:c r="AD99" s="54"/>
      <x:c r="AE99" s="54"/>
      <x:c r="AF99" s="54"/>
      <x:c r="AG99" s="54"/>
      <x:c r="AH99" s="54"/>
      <x:c r="AI99" s="54"/>
      <x:c r="AJ99" s="54"/>
      <x:c r="AK99" s="54"/>
      <x:c r="AL99" s="54"/>
      <x:c r="AM99" s="54"/>
      <x:c r="AN99" s="54"/>
      <x:c r="AO99" s="54"/>
      <x:c r="AP99" s="54"/>
      <x:c r="AQ99" s="54"/>
      <x:c r="AR99" s="54"/>
      <x:c r="AS99" s="54"/>
      <x:c r="AT99" s="54"/>
      <x:c r="AU99" s="54"/>
      <x:c r="AV99" s="54"/>
      <x:c r="AW99" s="54"/>
    </x:row>
    <x:row r="100">
      <x:c r="A100" s="54"/>
      <x:c r="B100" s="54"/>
      <x:c r="C100" s="54"/>
      <x:c r="D100" s="54"/>
      <x:c r="E100" s="54"/>
      <x:c r="F100" s="54"/>
      <x:c r="G100" s="54"/>
      <x:c r="H100" s="54"/>
      <x:c r="I100" s="54"/>
      <x:c r="J100" s="54"/>
      <x:c r="K100" s="54"/>
      <x:c r="L100" s="54"/>
      <x:c r="M100" s="54"/>
      <x:c r="N100" s="54"/>
      <x:c r="O100" s="54"/>
      <x:c r="P100" s="54"/>
      <x:c r="Q100" s="54"/>
      <x:c r="R100" s="54"/>
      <x:c r="S100" s="54"/>
      <x:c r="T100" s="54"/>
      <x:c r="U100" s="54"/>
      <x:c r="V100" s="54"/>
      <x:c r="W100" s="54"/>
      <x:c r="X100" s="54"/>
      <x:c r="Y100" s="54"/>
      <x:c r="Z100" s="54"/>
      <x:c r="AA100" s="54"/>
      <x:c r="AB100" s="54"/>
      <x:c r="AC100" s="54"/>
      <x:c r="AD100" s="54"/>
      <x:c r="AE100" s="54"/>
      <x:c r="AF100" s="54"/>
      <x:c r="AG100" s="54"/>
      <x:c r="AH100" s="54"/>
      <x:c r="AI100" s="54"/>
      <x:c r="AJ100" s="54"/>
      <x:c r="AK100" s="54"/>
      <x:c r="AL100" s="54"/>
      <x:c r="AM100" s="54"/>
      <x:c r="AN100" s="54"/>
      <x:c r="AO100" s="54"/>
      <x:c r="AP100" s="54"/>
      <x:c r="AQ100" s="54"/>
      <x:c r="AR100" s="54"/>
      <x:c r="AS100" s="54"/>
      <x:c r="AT100" s="54"/>
      <x:c r="AU100" s="54"/>
      <x:c r="AV100" s="54"/>
      <x:c r="AW100" s="54"/>
    </x:row>
    <x:row r="101">
      <x:c r="A101" s="54"/>
      <x:c r="B101" s="54"/>
      <x:c r="C101" s="54"/>
      <x:c r="D101" s="54"/>
      <x:c r="E101" s="54"/>
      <x:c r="F101" s="54"/>
      <x:c r="G101" s="54"/>
      <x:c r="H101" s="54"/>
      <x:c r="I101" s="54"/>
      <x:c r="J101" s="54"/>
      <x:c r="K101" s="54"/>
      <x:c r="L101" s="54"/>
      <x:c r="M101" s="54"/>
      <x:c r="N101" s="54"/>
      <x:c r="O101" s="54"/>
      <x:c r="P101" s="54"/>
      <x:c r="Q101" s="54"/>
      <x:c r="R101" s="54"/>
      <x:c r="S101" s="54"/>
      <x:c r="T101" s="54"/>
      <x:c r="U101" s="54"/>
      <x:c r="V101" s="54"/>
      <x:c r="W101" s="54"/>
      <x:c r="X101" s="54"/>
      <x:c r="Y101" s="54"/>
      <x:c r="Z101" s="54"/>
      <x:c r="AA101" s="54"/>
      <x:c r="AB101" s="54"/>
      <x:c r="AC101" s="54"/>
      <x:c r="AD101" s="54"/>
      <x:c r="AE101" s="54"/>
      <x:c r="AF101" s="54"/>
      <x:c r="AG101" s="54"/>
      <x:c r="AH101" s="54"/>
      <x:c r="AI101" s="54"/>
      <x:c r="AJ101" s="54"/>
      <x:c r="AK101" s="54"/>
      <x:c r="AL101" s="54"/>
      <x:c r="AM101" s="54"/>
      <x:c r="AN101" s="54"/>
      <x:c r="AO101" s="54"/>
      <x:c r="AP101" s="54"/>
      <x:c r="AQ101" s="54"/>
      <x:c r="AR101" s="54"/>
      <x:c r="AS101" s="54"/>
      <x:c r="AT101" s="54"/>
      <x:c r="AU101" s="54"/>
      <x:c r="AV101" s="54"/>
      <x:c r="AW101" s="54"/>
    </x:row>
    <x:row r="102">
      <x:c r="A102" s="54"/>
      <x:c r="B102" s="54"/>
      <x:c r="C102" s="54"/>
      <x:c r="D102" s="54"/>
      <x:c r="E102" s="54"/>
      <x:c r="F102" s="54"/>
      <x:c r="G102" s="54"/>
      <x:c r="H102" s="54"/>
      <x:c r="I102" s="54"/>
      <x:c r="J102" s="54"/>
      <x:c r="K102" s="54"/>
      <x:c r="L102" s="54"/>
      <x:c r="M102" s="54"/>
      <x:c r="N102" s="54"/>
      <x:c r="O102" s="54"/>
      <x:c r="P102" s="54"/>
      <x:c r="Q102" s="54"/>
      <x:c r="R102" s="54"/>
      <x:c r="S102" s="54"/>
      <x:c r="T102" s="54"/>
      <x:c r="U102" s="54"/>
      <x:c r="V102" s="54"/>
      <x:c r="W102" s="54"/>
      <x:c r="X102" s="54"/>
      <x:c r="Y102" s="54"/>
      <x:c r="Z102" s="54"/>
      <x:c r="AA102" s="54"/>
      <x:c r="AB102" s="54"/>
      <x:c r="AC102" s="54"/>
      <x:c r="AD102" s="54"/>
      <x:c r="AE102" s="54"/>
      <x:c r="AF102" s="54"/>
      <x:c r="AG102" s="54"/>
      <x:c r="AH102" s="54"/>
      <x:c r="AI102" s="54"/>
      <x:c r="AJ102" s="54"/>
      <x:c r="AK102" s="54"/>
      <x:c r="AL102" s="54"/>
      <x:c r="AM102" s="54"/>
      <x:c r="AN102" s="54"/>
      <x:c r="AO102" s="54"/>
      <x:c r="AP102" s="54"/>
      <x:c r="AQ102" s="54"/>
      <x:c r="AR102" s="54"/>
      <x:c r="AS102" s="54"/>
      <x:c r="AT102" s="54"/>
      <x:c r="AU102" s="54"/>
      <x:c r="AV102" s="54"/>
      <x:c r="AW102" s="54"/>
    </x:row>
    <x:row r="103">
      <x:c r="A103" s="54"/>
      <x:c r="B103" s="54"/>
      <x:c r="C103" s="54"/>
      <x:c r="D103" s="54"/>
      <x:c r="E103" s="54"/>
      <x:c r="F103" s="54"/>
      <x:c r="G103" s="54"/>
      <x:c r="H103" s="54"/>
      <x:c r="I103" s="54"/>
      <x:c r="J103" s="54"/>
      <x:c r="K103" s="54"/>
      <x:c r="L103" s="54"/>
      <x:c r="M103" s="54"/>
      <x:c r="N103" s="54"/>
      <x:c r="O103" s="54"/>
      <x:c r="P103" s="54"/>
      <x:c r="Q103" s="54"/>
      <x:c r="R103" s="54"/>
      <x:c r="S103" s="54"/>
      <x:c r="T103" s="54"/>
      <x:c r="U103" s="54"/>
      <x:c r="V103" s="54"/>
      <x:c r="W103" s="54"/>
      <x:c r="X103" s="54"/>
      <x:c r="Y103" s="54"/>
      <x:c r="Z103" s="54"/>
      <x:c r="AA103" s="54"/>
      <x:c r="AB103" s="54"/>
      <x:c r="AC103" s="54"/>
      <x:c r="AD103" s="54"/>
      <x:c r="AE103" s="54"/>
      <x:c r="AF103" s="54"/>
      <x:c r="AG103" s="54"/>
      <x:c r="AH103" s="54"/>
      <x:c r="AI103" s="54"/>
      <x:c r="AJ103" s="54"/>
      <x:c r="AK103" s="54"/>
      <x:c r="AL103" s="54"/>
      <x:c r="AM103" s="54"/>
      <x:c r="AN103" s="54"/>
      <x:c r="AO103" s="54"/>
      <x:c r="AP103" s="54"/>
      <x:c r="AQ103" s="54"/>
      <x:c r="AR103" s="54"/>
      <x:c r="AS103" s="54"/>
      <x:c r="AT103" s="54"/>
      <x:c r="AU103" s="54"/>
      <x:c r="AV103" s="54"/>
      <x:c r="AW103" s="54"/>
    </x:row>
    <x:row r="104">
      <x:c r="A104" s="54"/>
      <x:c r="B104" s="54"/>
      <x:c r="C104" s="54"/>
      <x:c r="D104" s="54"/>
      <x:c r="E104" s="54"/>
      <x:c r="F104" s="54"/>
      <x:c r="G104" s="54"/>
      <x:c r="H104" s="54"/>
      <x:c r="I104" s="54"/>
      <x:c r="J104" s="54"/>
      <x:c r="K104" s="54"/>
      <x:c r="L104" s="54"/>
      <x:c r="M104" s="54"/>
      <x:c r="N104" s="54"/>
      <x:c r="O104" s="54"/>
      <x:c r="P104" s="54"/>
      <x:c r="Q104" s="54"/>
      <x:c r="R104" s="54"/>
      <x:c r="S104" s="54"/>
      <x:c r="T104" s="54"/>
      <x:c r="U104" s="54"/>
      <x:c r="V104" s="54"/>
      <x:c r="W104" s="54"/>
      <x:c r="X104" s="54"/>
      <x:c r="Y104" s="54"/>
      <x:c r="Z104" s="54"/>
      <x:c r="AA104" s="54"/>
      <x:c r="AB104" s="54"/>
      <x:c r="AC104" s="54"/>
      <x:c r="AD104" s="54"/>
      <x:c r="AE104" s="54"/>
      <x:c r="AF104" s="54"/>
      <x:c r="AG104" s="54"/>
      <x:c r="AH104" s="54"/>
      <x:c r="AI104" s="54"/>
      <x:c r="AJ104" s="54"/>
      <x:c r="AK104" s="54"/>
      <x:c r="AL104" s="54"/>
      <x:c r="AM104" s="54"/>
      <x:c r="AN104" s="54"/>
      <x:c r="AO104" s="54"/>
      <x:c r="AP104" s="54"/>
      <x:c r="AQ104" s="54"/>
      <x:c r="AR104" s="54"/>
      <x:c r="AS104" s="54"/>
      <x:c r="AT104" s="54"/>
      <x:c r="AU104" s="54"/>
      <x:c r="AV104" s="54"/>
      <x:c r="AW104" s="54"/>
    </x:row>
    <x:row r="105">
      <x:c r="A105" s="54"/>
      <x:c r="B105" s="54"/>
      <x:c r="C105" s="54"/>
      <x:c r="D105" s="54"/>
      <x:c r="E105" s="54"/>
      <x:c r="F105" s="54"/>
      <x:c r="G105" s="54"/>
      <x:c r="H105" s="54"/>
      <x:c r="I105" s="54"/>
      <x:c r="J105" s="54"/>
      <x:c r="K105" s="54"/>
      <x:c r="L105" s="54"/>
      <x:c r="M105" s="54"/>
      <x:c r="N105" s="54"/>
      <x:c r="O105" s="54"/>
      <x:c r="P105" s="54"/>
      <x:c r="Q105" s="54"/>
      <x:c r="R105" s="54"/>
      <x:c r="S105" s="54"/>
      <x:c r="T105" s="54"/>
      <x:c r="U105" s="54"/>
      <x:c r="V105" s="54"/>
      <x:c r="W105" s="54"/>
      <x:c r="X105" s="54"/>
      <x:c r="Y105" s="54"/>
      <x:c r="Z105" s="54"/>
      <x:c r="AA105" s="54"/>
      <x:c r="AB105" s="54"/>
      <x:c r="AC105" s="54"/>
      <x:c r="AD105" s="54"/>
      <x:c r="AE105" s="54"/>
      <x:c r="AF105" s="54"/>
      <x:c r="AG105" s="54"/>
      <x:c r="AH105" s="54"/>
      <x:c r="AI105" s="54"/>
      <x:c r="AJ105" s="54"/>
      <x:c r="AK105" s="54"/>
      <x:c r="AL105" s="54"/>
      <x:c r="AM105" s="54"/>
      <x:c r="AN105" s="54"/>
      <x:c r="AO105" s="54"/>
      <x:c r="AP105" s="54"/>
      <x:c r="AQ105" s="54"/>
      <x:c r="AR105" s="54"/>
      <x:c r="AS105" s="54"/>
      <x:c r="AT105" s="54"/>
      <x:c r="AU105" s="54"/>
      <x:c r="AV105" s="54"/>
      <x:c r="AW105" s="54"/>
    </x:row>
    <x:row r="106">
      <x:c r="A106" s="54"/>
      <x:c r="B106" s="54"/>
      <x:c r="C106" s="54"/>
      <x:c r="D106" s="54"/>
      <x:c r="E106" s="54"/>
      <x:c r="F106" s="54"/>
      <x:c r="G106" s="54"/>
      <x:c r="H106" s="54"/>
      <x:c r="I106" s="54"/>
      <x:c r="J106" s="54"/>
      <x:c r="K106" s="54"/>
      <x:c r="L106" s="54"/>
      <x:c r="M106" s="54"/>
      <x:c r="N106" s="54"/>
      <x:c r="O106" s="54"/>
      <x:c r="P106" s="54"/>
      <x:c r="Q106" s="54"/>
      <x:c r="R106" s="54"/>
      <x:c r="S106" s="54"/>
      <x:c r="T106" s="54"/>
      <x:c r="U106" s="54"/>
      <x:c r="V106" s="54"/>
      <x:c r="W106" s="54"/>
      <x:c r="X106" s="54"/>
      <x:c r="Y106" s="54"/>
      <x:c r="Z106" s="54"/>
      <x:c r="AA106" s="54"/>
      <x:c r="AB106" s="54"/>
      <x:c r="AC106" s="54"/>
      <x:c r="AD106" s="54"/>
      <x:c r="AE106" s="54"/>
      <x:c r="AF106" s="54"/>
      <x:c r="AG106" s="54"/>
      <x:c r="AH106" s="54"/>
      <x:c r="AI106" s="54"/>
      <x:c r="AJ106" s="54"/>
      <x:c r="AK106" s="54"/>
      <x:c r="AL106" s="54"/>
      <x:c r="AM106" s="54"/>
      <x:c r="AN106" s="54"/>
      <x:c r="AO106" s="54"/>
      <x:c r="AP106" s="54"/>
      <x:c r="AQ106" s="54"/>
      <x:c r="AR106" s="54"/>
      <x:c r="AS106" s="54"/>
      <x:c r="AT106" s="54"/>
      <x:c r="AU106" s="54"/>
      <x:c r="AV106" s="54"/>
      <x:c r="AW106" s="54"/>
    </x:row>
    <x:row r="107">
      <x:c r="A107" s="54"/>
      <x:c r="B107" s="54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4"/>
      <x:c r="N107" s="54"/>
      <x:c r="O107" s="54"/>
      <x:c r="P107" s="54"/>
      <x:c r="Q107" s="54"/>
      <x:c r="R107" s="54"/>
      <x:c r="S107" s="54"/>
      <x:c r="T107" s="54"/>
      <x:c r="U107" s="54"/>
      <x:c r="V107" s="54"/>
      <x:c r="W107" s="54"/>
      <x:c r="X107" s="54"/>
      <x:c r="Y107" s="54"/>
      <x:c r="Z107" s="54"/>
      <x:c r="AA107" s="54"/>
      <x:c r="AB107" s="54"/>
      <x:c r="AC107" s="54"/>
      <x:c r="AD107" s="54"/>
      <x:c r="AE107" s="54"/>
      <x:c r="AF107" s="54"/>
      <x:c r="AG107" s="54"/>
      <x:c r="AH107" s="54"/>
      <x:c r="AI107" s="54"/>
      <x:c r="AJ107" s="54"/>
      <x:c r="AK107" s="54"/>
      <x:c r="AL107" s="54"/>
      <x:c r="AM107" s="54"/>
      <x:c r="AN107" s="54"/>
      <x:c r="AO107" s="54"/>
      <x:c r="AP107" s="54"/>
      <x:c r="AQ107" s="54"/>
      <x:c r="AR107" s="54"/>
      <x:c r="AS107" s="54"/>
      <x:c r="AT107" s="54"/>
      <x:c r="AU107" s="54"/>
      <x:c r="AV107" s="54"/>
      <x:c r="AW107" s="54"/>
    </x:row>
    <x:row r="108">
      <x:c r="A108" s="54"/>
      <x:c r="B108" s="54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4"/>
      <x:c r="N108" s="54"/>
      <x:c r="O108" s="54"/>
      <x:c r="P108" s="54"/>
      <x:c r="Q108" s="54"/>
      <x:c r="R108" s="54"/>
      <x:c r="S108" s="54"/>
      <x:c r="T108" s="54"/>
      <x:c r="U108" s="54"/>
      <x:c r="V108" s="54"/>
      <x:c r="W108" s="54"/>
      <x:c r="X108" s="54"/>
      <x:c r="Y108" s="54"/>
      <x:c r="Z108" s="54"/>
      <x:c r="AA108" s="54"/>
      <x:c r="AB108" s="54"/>
      <x:c r="AC108" s="54"/>
      <x:c r="AD108" s="54"/>
      <x:c r="AE108" s="54"/>
      <x:c r="AF108" s="54"/>
      <x:c r="AG108" s="54"/>
      <x:c r="AH108" s="54"/>
      <x:c r="AI108" s="54"/>
      <x:c r="AJ108" s="54"/>
      <x:c r="AK108" s="54"/>
      <x:c r="AL108" s="54"/>
      <x:c r="AM108" s="54"/>
      <x:c r="AN108" s="54"/>
      <x:c r="AO108" s="54"/>
      <x:c r="AP108" s="54"/>
      <x:c r="AQ108" s="54"/>
      <x:c r="AR108" s="54"/>
      <x:c r="AS108" s="54"/>
      <x:c r="AT108" s="54"/>
      <x:c r="AU108" s="54"/>
      <x:c r="AV108" s="54"/>
      <x:c r="AW108" s="54"/>
    </x:row>
    <x:row r="109">
      <x:c r="A109" s="54"/>
      <x:c r="B109" s="54"/>
      <x:c r="C109" s="54"/>
      <x:c r="D109" s="54"/>
      <x:c r="E109" s="54"/>
      <x:c r="F109" s="54"/>
      <x:c r="G109" s="54"/>
      <x:c r="H109" s="54"/>
      <x:c r="I109" s="54"/>
      <x:c r="J109" s="54"/>
      <x:c r="K109" s="54"/>
      <x:c r="L109" s="54"/>
      <x:c r="M109" s="54"/>
      <x:c r="N109" s="54"/>
      <x:c r="O109" s="54"/>
      <x:c r="P109" s="54"/>
      <x:c r="Q109" s="54"/>
      <x:c r="R109" s="54"/>
      <x:c r="S109" s="54"/>
      <x:c r="T109" s="54"/>
      <x:c r="U109" s="54"/>
      <x:c r="V109" s="54"/>
      <x:c r="W109" s="54"/>
      <x:c r="X109" s="54"/>
      <x:c r="Y109" s="54"/>
      <x:c r="Z109" s="54"/>
      <x:c r="AA109" s="54"/>
      <x:c r="AB109" s="54"/>
      <x:c r="AC109" s="54"/>
      <x:c r="AD109" s="54"/>
      <x:c r="AE109" s="54"/>
      <x:c r="AF109" s="54"/>
      <x:c r="AG109" s="54"/>
      <x:c r="AH109" s="54"/>
      <x:c r="AI109" s="54"/>
      <x:c r="AJ109" s="54"/>
      <x:c r="AK109" s="54"/>
      <x:c r="AL109" s="54"/>
      <x:c r="AM109" s="54"/>
      <x:c r="AN109" s="54"/>
      <x:c r="AO109" s="54"/>
      <x:c r="AP109" s="54"/>
      <x:c r="AQ109" s="54"/>
      <x:c r="AR109" s="54"/>
      <x:c r="AS109" s="54"/>
      <x:c r="AT109" s="54"/>
      <x:c r="AU109" s="54"/>
      <x:c r="AV109" s="54"/>
      <x:c r="AW109" s="54"/>
    </x:row>
    <x:row r="110">
      <x:c r="A110" s="54"/>
      <x:c r="B110" s="54"/>
      <x:c r="C110" s="54"/>
      <x:c r="D110" s="54"/>
      <x:c r="E110" s="54"/>
      <x:c r="F110" s="54"/>
      <x:c r="G110" s="54"/>
      <x:c r="H110" s="54"/>
      <x:c r="I110" s="54"/>
      <x:c r="J110" s="54"/>
      <x:c r="K110" s="54"/>
      <x:c r="L110" s="54"/>
      <x:c r="M110" s="54"/>
      <x:c r="N110" s="54"/>
      <x:c r="O110" s="54"/>
      <x:c r="P110" s="54"/>
      <x:c r="Q110" s="54"/>
      <x:c r="R110" s="54"/>
      <x:c r="S110" s="54"/>
      <x:c r="T110" s="54"/>
      <x:c r="U110" s="54"/>
      <x:c r="V110" s="54"/>
      <x:c r="W110" s="54"/>
      <x:c r="X110" s="54"/>
      <x:c r="Y110" s="54"/>
      <x:c r="Z110" s="54"/>
      <x:c r="AA110" s="54"/>
      <x:c r="AB110" s="54"/>
      <x:c r="AC110" s="54"/>
      <x:c r="AD110" s="54"/>
      <x:c r="AE110" s="54"/>
      <x:c r="AF110" s="54"/>
      <x:c r="AG110" s="54"/>
      <x:c r="AH110" s="54"/>
      <x:c r="AI110" s="54"/>
      <x:c r="AJ110" s="54"/>
      <x:c r="AK110" s="54"/>
      <x:c r="AL110" s="54"/>
      <x:c r="AM110" s="54"/>
      <x:c r="AN110" s="54"/>
      <x:c r="AO110" s="54"/>
      <x:c r="AP110" s="54"/>
      <x:c r="AQ110" s="54"/>
      <x:c r="AR110" s="54"/>
      <x:c r="AS110" s="54"/>
      <x:c r="AT110" s="54"/>
      <x:c r="AU110" s="54"/>
      <x:c r="AV110" s="54"/>
      <x:c r="AW110" s="54"/>
    </x:row>
    <x:row r="111">
      <x:c r="A111" s="54"/>
      <x:c r="B111" s="54"/>
      <x:c r="C111" s="54"/>
      <x:c r="D111" s="54"/>
      <x:c r="E111" s="54"/>
      <x:c r="F111" s="54"/>
      <x:c r="G111" s="54"/>
      <x:c r="H111" s="54"/>
      <x:c r="I111" s="54"/>
      <x:c r="J111" s="54"/>
      <x:c r="K111" s="54"/>
      <x:c r="L111" s="54"/>
      <x:c r="M111" s="54"/>
      <x:c r="N111" s="54"/>
      <x:c r="O111" s="54"/>
      <x:c r="P111" s="54"/>
      <x:c r="Q111" s="54"/>
      <x:c r="R111" s="54"/>
      <x:c r="S111" s="54"/>
      <x:c r="T111" s="54"/>
      <x:c r="U111" s="54"/>
      <x:c r="V111" s="54"/>
      <x:c r="W111" s="54"/>
      <x:c r="X111" s="54"/>
      <x:c r="Y111" s="54"/>
      <x:c r="Z111" s="54"/>
      <x:c r="AA111" s="54"/>
      <x:c r="AB111" s="54"/>
      <x:c r="AC111" s="54"/>
      <x:c r="AD111" s="54"/>
      <x:c r="AE111" s="54"/>
      <x:c r="AF111" s="54"/>
      <x:c r="AG111" s="54"/>
      <x:c r="AH111" s="54"/>
      <x:c r="AI111" s="54"/>
      <x:c r="AJ111" s="54"/>
      <x:c r="AK111" s="54"/>
      <x:c r="AL111" s="54"/>
      <x:c r="AM111" s="54"/>
      <x:c r="AN111" s="54"/>
      <x:c r="AO111" s="54"/>
      <x:c r="AP111" s="54"/>
      <x:c r="AQ111" s="54"/>
      <x:c r="AR111" s="54"/>
      <x:c r="AS111" s="54"/>
      <x:c r="AT111" s="54"/>
      <x:c r="AU111" s="54"/>
      <x:c r="AV111" s="54"/>
      <x:c r="AW111" s="54"/>
    </x:row>
    <x:row r="112">
      <x:c r="A112" s="54"/>
      <x:c r="B112" s="54"/>
      <x:c r="C112" s="54"/>
      <x:c r="D112" s="54"/>
      <x:c r="E112" s="54"/>
      <x:c r="F112" s="54"/>
      <x:c r="G112" s="54"/>
      <x:c r="H112" s="54"/>
      <x:c r="I112" s="54"/>
      <x:c r="J112" s="54"/>
      <x:c r="K112" s="54"/>
      <x:c r="L112" s="54"/>
      <x:c r="M112" s="54"/>
      <x:c r="N112" s="54"/>
      <x:c r="O112" s="54"/>
      <x:c r="P112" s="54"/>
      <x:c r="Q112" s="54"/>
      <x:c r="R112" s="54"/>
      <x:c r="S112" s="54"/>
      <x:c r="T112" s="54"/>
      <x:c r="U112" s="54"/>
      <x:c r="V112" s="54"/>
      <x:c r="W112" s="54"/>
      <x:c r="X112" s="54"/>
      <x:c r="Y112" s="54"/>
      <x:c r="Z112" s="54"/>
      <x:c r="AA112" s="54"/>
      <x:c r="AB112" s="54"/>
      <x:c r="AC112" s="54"/>
      <x:c r="AD112" s="54"/>
      <x:c r="AE112" s="54"/>
      <x:c r="AF112" s="54"/>
      <x:c r="AG112" s="54"/>
      <x:c r="AH112" s="54"/>
      <x:c r="AI112" s="54"/>
      <x:c r="AJ112" s="54"/>
      <x:c r="AK112" s="54"/>
      <x:c r="AL112" s="54"/>
      <x:c r="AM112" s="54"/>
      <x:c r="AN112" s="54"/>
      <x:c r="AO112" s="54"/>
      <x:c r="AP112" s="54"/>
      <x:c r="AQ112" s="54"/>
      <x:c r="AR112" s="54"/>
      <x:c r="AS112" s="54"/>
      <x:c r="AT112" s="54"/>
      <x:c r="AU112" s="54"/>
      <x:c r="AV112" s="54"/>
      <x:c r="AW112" s="54"/>
    </x:row>
    <x:row r="113">
      <x:c r="A113" s="54"/>
      <x:c r="B113" s="54"/>
      <x:c r="C113" s="54"/>
      <x:c r="D113" s="54"/>
      <x:c r="E113" s="54"/>
      <x:c r="F113" s="54"/>
      <x:c r="G113" s="54"/>
      <x:c r="H113" s="54"/>
      <x:c r="I113" s="54"/>
      <x:c r="J113" s="54"/>
      <x:c r="K113" s="54"/>
      <x:c r="L113" s="54"/>
      <x:c r="M113" s="54"/>
      <x:c r="N113" s="54"/>
      <x:c r="O113" s="54"/>
      <x:c r="P113" s="54"/>
      <x:c r="Q113" s="54"/>
      <x:c r="R113" s="54"/>
      <x:c r="S113" s="54"/>
      <x:c r="T113" s="54"/>
      <x:c r="U113" s="54"/>
      <x:c r="V113" s="54"/>
      <x:c r="W113" s="54"/>
      <x:c r="X113" s="54"/>
      <x:c r="Y113" s="54"/>
      <x:c r="Z113" s="54"/>
      <x:c r="AA113" s="54"/>
      <x:c r="AB113" s="54"/>
      <x:c r="AC113" s="54"/>
      <x:c r="AD113" s="54"/>
      <x:c r="AE113" s="54"/>
      <x:c r="AF113" s="54"/>
      <x:c r="AG113" s="54"/>
      <x:c r="AH113" s="54"/>
      <x:c r="AI113" s="54"/>
      <x:c r="AJ113" s="54"/>
      <x:c r="AK113" s="54"/>
      <x:c r="AL113" s="54"/>
      <x:c r="AM113" s="54"/>
      <x:c r="AN113" s="54"/>
      <x:c r="AO113" s="54"/>
      <x:c r="AP113" s="54"/>
      <x:c r="AQ113" s="54"/>
      <x:c r="AR113" s="54"/>
      <x:c r="AS113" s="54"/>
      <x:c r="AT113" s="54"/>
      <x:c r="AU113" s="54"/>
      <x:c r="AV113" s="54"/>
      <x:c r="AW113" s="54"/>
    </x:row>
    <x:row r="114">
      <x:c r="A114" s="54"/>
      <x:c r="B114" s="54"/>
      <x:c r="C114" s="54"/>
      <x:c r="D114" s="54"/>
      <x:c r="E114" s="54"/>
      <x:c r="F114" s="54"/>
      <x:c r="G114" s="54"/>
      <x:c r="H114" s="54"/>
      <x:c r="I114" s="54"/>
      <x:c r="J114" s="54"/>
      <x:c r="K114" s="54"/>
      <x:c r="L114" s="54"/>
      <x:c r="M114" s="54"/>
      <x:c r="N114" s="54"/>
      <x:c r="O114" s="54"/>
      <x:c r="P114" s="54"/>
      <x:c r="Q114" s="54"/>
      <x:c r="R114" s="54"/>
      <x:c r="S114" s="54"/>
      <x:c r="T114" s="54"/>
      <x:c r="U114" s="54"/>
      <x:c r="V114" s="54"/>
      <x:c r="W114" s="54"/>
      <x:c r="X114" s="54"/>
      <x:c r="Y114" s="54"/>
      <x:c r="Z114" s="54"/>
      <x:c r="AA114" s="54"/>
      <x:c r="AB114" s="54"/>
      <x:c r="AC114" s="54"/>
      <x:c r="AD114" s="54"/>
      <x:c r="AE114" s="54"/>
      <x:c r="AF114" s="54"/>
      <x:c r="AG114" s="54"/>
      <x:c r="AH114" s="54"/>
      <x:c r="AI114" s="54"/>
      <x:c r="AJ114" s="54"/>
      <x:c r="AK114" s="54"/>
      <x:c r="AL114" s="54"/>
      <x:c r="AM114" s="54"/>
      <x:c r="AN114" s="54"/>
      <x:c r="AO114" s="54"/>
      <x:c r="AP114" s="54"/>
      <x:c r="AQ114" s="54"/>
      <x:c r="AR114" s="54"/>
      <x:c r="AS114" s="54"/>
      <x:c r="AT114" s="54"/>
      <x:c r="AU114" s="54"/>
      <x:c r="AV114" s="54"/>
      <x:c r="AW114" s="54"/>
    </x:row>
    <x:row r="115">
      <x:c r="A115" s="54"/>
      <x:c r="B115" s="54"/>
      <x:c r="C115" s="54"/>
      <x:c r="D115" s="54"/>
      <x:c r="E115" s="54"/>
      <x:c r="F115" s="54"/>
      <x:c r="G115" s="54"/>
      <x:c r="H115" s="54"/>
      <x:c r="I115" s="54"/>
      <x:c r="J115" s="54"/>
      <x:c r="K115" s="54"/>
      <x:c r="L115" s="54"/>
      <x:c r="M115" s="54"/>
      <x:c r="N115" s="54"/>
      <x:c r="O115" s="54"/>
      <x:c r="P115" s="54"/>
      <x:c r="Q115" s="54"/>
      <x:c r="R115" s="54"/>
      <x:c r="S115" s="54"/>
      <x:c r="T115" s="54"/>
      <x:c r="U115" s="54"/>
      <x:c r="V115" s="54"/>
      <x:c r="W115" s="54"/>
      <x:c r="X115" s="54"/>
      <x:c r="Y115" s="54"/>
      <x:c r="Z115" s="54"/>
      <x:c r="AA115" s="54"/>
      <x:c r="AB115" s="54"/>
      <x:c r="AC115" s="54"/>
      <x:c r="AD115" s="54"/>
      <x:c r="AE115" s="54"/>
      <x:c r="AF115" s="54"/>
      <x:c r="AG115" s="54"/>
      <x:c r="AH115" s="54"/>
      <x:c r="AI115" s="54"/>
      <x:c r="AJ115" s="54"/>
      <x:c r="AK115" s="54"/>
      <x:c r="AL115" s="54"/>
      <x:c r="AM115" s="54"/>
      <x:c r="AN115" s="54"/>
      <x:c r="AO115" s="54"/>
      <x:c r="AP115" s="54"/>
      <x:c r="AQ115" s="54"/>
      <x:c r="AR115" s="54"/>
      <x:c r="AS115" s="54"/>
      <x:c r="AT115" s="54"/>
      <x:c r="AU115" s="54"/>
      <x:c r="AV115" s="54"/>
      <x:c r="AW115" s="54"/>
    </x:row>
    <x:row r="116">
      <x:c r="A116" s="54"/>
      <x:c r="B116" s="54"/>
      <x:c r="C116" s="54"/>
      <x:c r="D116" s="54"/>
      <x:c r="E116" s="54"/>
      <x:c r="F116" s="54"/>
      <x:c r="G116" s="54"/>
      <x:c r="H116" s="54"/>
      <x:c r="I116" s="54"/>
      <x:c r="J116" s="54"/>
      <x:c r="K116" s="54"/>
      <x:c r="L116" s="54"/>
      <x:c r="M116" s="54"/>
      <x:c r="N116" s="54"/>
      <x:c r="O116" s="54"/>
      <x:c r="P116" s="54"/>
      <x:c r="Q116" s="54"/>
      <x:c r="R116" s="54"/>
      <x:c r="S116" s="54"/>
      <x:c r="T116" s="54"/>
      <x:c r="U116" s="54"/>
      <x:c r="V116" s="54"/>
      <x:c r="W116" s="54"/>
      <x:c r="X116" s="54"/>
      <x:c r="Y116" s="54"/>
      <x:c r="Z116" s="54"/>
      <x:c r="AA116" s="54"/>
      <x:c r="AB116" s="54"/>
      <x:c r="AC116" s="54"/>
      <x:c r="AD116" s="54"/>
      <x:c r="AE116" s="54"/>
      <x:c r="AF116" s="54"/>
      <x:c r="AG116" s="54"/>
      <x:c r="AH116" s="54"/>
      <x:c r="AI116" s="54"/>
      <x:c r="AJ116" s="54"/>
      <x:c r="AK116" s="54"/>
      <x:c r="AL116" s="54"/>
      <x:c r="AM116" s="54"/>
      <x:c r="AN116" s="54"/>
      <x:c r="AO116" s="54"/>
      <x:c r="AP116" s="54"/>
      <x:c r="AQ116" s="54"/>
      <x:c r="AR116" s="54"/>
      <x:c r="AS116" s="54"/>
      <x:c r="AT116" s="54"/>
      <x:c r="AU116" s="54"/>
      <x:c r="AV116" s="54"/>
      <x:c r="AW116" s="54"/>
    </x:row>
    <x:row r="117">
      <x:c r="A117" s="54"/>
      <x:c r="B117" s="54"/>
      <x:c r="C117" s="54"/>
      <x:c r="D117" s="54"/>
      <x:c r="E117" s="54"/>
      <x:c r="F117" s="54"/>
      <x:c r="G117" s="54"/>
      <x:c r="H117" s="54"/>
      <x:c r="I117" s="54"/>
      <x:c r="J117" s="54"/>
      <x:c r="K117" s="54"/>
      <x:c r="L117" s="54"/>
      <x:c r="M117" s="54"/>
      <x:c r="N117" s="54"/>
      <x:c r="O117" s="54"/>
      <x:c r="P117" s="54"/>
      <x:c r="Q117" s="54"/>
      <x:c r="R117" s="54"/>
      <x:c r="S117" s="54"/>
      <x:c r="T117" s="54"/>
      <x:c r="U117" s="54"/>
      <x:c r="V117" s="54"/>
      <x:c r="W117" s="54"/>
      <x:c r="X117" s="54"/>
      <x:c r="Y117" s="54"/>
      <x:c r="Z117" s="54"/>
      <x:c r="AA117" s="54"/>
      <x:c r="AB117" s="54"/>
      <x:c r="AC117" s="54"/>
      <x:c r="AD117" s="54"/>
      <x:c r="AE117" s="54"/>
      <x:c r="AF117" s="54"/>
      <x:c r="AG117" s="54"/>
      <x:c r="AH117" s="54"/>
      <x:c r="AI117" s="54"/>
      <x:c r="AJ117" s="54"/>
      <x:c r="AK117" s="54"/>
      <x:c r="AL117" s="54"/>
      <x:c r="AM117" s="54"/>
      <x:c r="AN117" s="54"/>
      <x:c r="AO117" s="54"/>
      <x:c r="AP117" s="54"/>
      <x:c r="AQ117" s="54"/>
      <x:c r="AR117" s="54"/>
      <x:c r="AS117" s="54"/>
      <x:c r="AT117" s="54"/>
      <x:c r="AU117" s="54"/>
      <x:c r="AV117" s="54"/>
      <x:c r="AW117" s="54"/>
    </x:row>
    <x:row r="118">
      <x:c r="A118" s="54"/>
      <x:c r="B118" s="54"/>
      <x:c r="C118" s="54"/>
      <x:c r="D118" s="54"/>
      <x:c r="E118" s="54"/>
      <x:c r="F118" s="54"/>
      <x:c r="G118" s="54"/>
      <x:c r="H118" s="54"/>
      <x:c r="I118" s="54"/>
      <x:c r="J118" s="54"/>
      <x:c r="K118" s="54"/>
      <x:c r="L118" s="54"/>
      <x:c r="M118" s="54"/>
      <x:c r="N118" s="54"/>
      <x:c r="O118" s="54"/>
      <x:c r="P118" s="54"/>
      <x:c r="Q118" s="54"/>
      <x:c r="R118" s="54"/>
      <x:c r="S118" s="54"/>
      <x:c r="T118" s="54"/>
      <x:c r="U118" s="54"/>
      <x:c r="V118" s="54"/>
      <x:c r="W118" s="54"/>
      <x:c r="X118" s="54"/>
      <x:c r="Y118" s="54"/>
      <x:c r="Z118" s="54"/>
      <x:c r="AA118" s="54"/>
      <x:c r="AB118" s="54"/>
      <x:c r="AC118" s="54"/>
      <x:c r="AD118" s="54"/>
      <x:c r="AE118" s="54"/>
      <x:c r="AF118" s="54"/>
      <x:c r="AG118" s="54"/>
      <x:c r="AH118" s="54"/>
      <x:c r="AI118" s="54"/>
      <x:c r="AJ118" s="54"/>
      <x:c r="AK118" s="54"/>
      <x:c r="AL118" s="54"/>
      <x:c r="AM118" s="54"/>
      <x:c r="AN118" s="54"/>
      <x:c r="AO118" s="54"/>
      <x:c r="AP118" s="54"/>
      <x:c r="AQ118" s="54"/>
      <x:c r="AR118" s="54"/>
      <x:c r="AS118" s="54"/>
      <x:c r="AT118" s="54"/>
      <x:c r="AU118" s="54"/>
      <x:c r="AV118" s="54"/>
      <x:c r="AW118" s="54"/>
    </x:row>
    <x:row r="119">
      <x:c r="A119" s="54"/>
      <x:c r="B119" s="54"/>
      <x:c r="C119" s="54"/>
      <x:c r="D119" s="54"/>
      <x:c r="E119" s="54"/>
      <x:c r="F119" s="54"/>
      <x:c r="G119" s="54"/>
      <x:c r="H119" s="54"/>
      <x:c r="I119" s="54"/>
      <x:c r="J119" s="54"/>
      <x:c r="K119" s="54"/>
      <x:c r="L119" s="54"/>
      <x:c r="M119" s="54"/>
      <x:c r="N119" s="54"/>
      <x:c r="O119" s="54"/>
      <x:c r="P119" s="54"/>
      <x:c r="Q119" s="54"/>
      <x:c r="R119" s="54"/>
      <x:c r="S119" s="54"/>
      <x:c r="T119" s="54"/>
      <x:c r="U119" s="54"/>
      <x:c r="V119" s="54"/>
      <x:c r="W119" s="54"/>
      <x:c r="X119" s="54"/>
      <x:c r="Y119" s="54"/>
      <x:c r="Z119" s="54"/>
      <x:c r="AA119" s="54"/>
      <x:c r="AB119" s="54"/>
      <x:c r="AC119" s="54"/>
      <x:c r="AD119" s="54"/>
      <x:c r="AE119" s="54"/>
      <x:c r="AF119" s="54"/>
      <x:c r="AG119" s="54"/>
      <x:c r="AH119" s="54"/>
      <x:c r="AI119" s="54"/>
      <x:c r="AJ119" s="54"/>
      <x:c r="AK119" s="54"/>
      <x:c r="AL119" s="54"/>
      <x:c r="AM119" s="54"/>
      <x:c r="AN119" s="54"/>
      <x:c r="AO119" s="54"/>
      <x:c r="AP119" s="54"/>
      <x:c r="AQ119" s="54"/>
      <x:c r="AR119" s="54"/>
      <x:c r="AS119" s="54"/>
      <x:c r="AT119" s="54"/>
      <x:c r="AU119" s="54"/>
      <x:c r="AV119" s="54"/>
      <x:c r="AW119" s="54"/>
    </x:row>
    <x:row r="120">
      <x:c r="A120" s="54"/>
      <x:c r="B120" s="54"/>
      <x:c r="C120" s="54"/>
      <x:c r="D120" s="54"/>
      <x:c r="E120" s="54"/>
      <x:c r="F120" s="54"/>
      <x:c r="G120" s="54"/>
      <x:c r="H120" s="54"/>
      <x:c r="I120" s="54"/>
      <x:c r="J120" s="54"/>
      <x:c r="K120" s="54"/>
      <x:c r="L120" s="54"/>
      <x:c r="M120" s="54"/>
      <x:c r="N120" s="54"/>
      <x:c r="O120" s="54"/>
      <x:c r="P120" s="54"/>
      <x:c r="Q120" s="54"/>
      <x:c r="R120" s="54"/>
      <x:c r="S120" s="54"/>
      <x:c r="T120" s="54"/>
      <x:c r="U120" s="54"/>
      <x:c r="V120" s="54"/>
      <x:c r="W120" s="54"/>
      <x:c r="X120" s="54"/>
      <x:c r="Y120" s="54"/>
      <x:c r="Z120" s="54"/>
      <x:c r="AA120" s="54"/>
      <x:c r="AB120" s="54"/>
      <x:c r="AC120" s="54"/>
      <x:c r="AD120" s="54"/>
      <x:c r="AE120" s="54"/>
      <x:c r="AF120" s="54"/>
      <x:c r="AG120" s="54"/>
      <x:c r="AH120" s="54"/>
      <x:c r="AI120" s="54"/>
      <x:c r="AJ120" s="54"/>
      <x:c r="AK120" s="54"/>
      <x:c r="AL120" s="54"/>
      <x:c r="AM120" s="54"/>
      <x:c r="AN120" s="54"/>
      <x:c r="AO120" s="54"/>
      <x:c r="AP120" s="54"/>
      <x:c r="AQ120" s="54"/>
      <x:c r="AR120" s="54"/>
      <x:c r="AS120" s="54"/>
      <x:c r="AT120" s="54"/>
      <x:c r="AU120" s="54"/>
      <x:c r="AV120" s="54"/>
      <x:c r="AW120" s="54"/>
    </x:row>
    <x:row r="121">
      <x:c r="A121" s="54"/>
      <x:c r="B121" s="54"/>
      <x:c r="C121" s="54"/>
      <x:c r="D121" s="54"/>
      <x:c r="E121" s="54"/>
      <x:c r="F121" s="54"/>
      <x:c r="G121" s="54"/>
      <x:c r="H121" s="54"/>
      <x:c r="I121" s="54"/>
      <x:c r="J121" s="54"/>
      <x:c r="K121" s="54"/>
      <x:c r="L121" s="54"/>
      <x:c r="M121" s="54"/>
      <x:c r="N121" s="54"/>
      <x:c r="O121" s="54"/>
      <x:c r="P121" s="54"/>
      <x:c r="Q121" s="54"/>
      <x:c r="R121" s="54"/>
      <x:c r="S121" s="54"/>
      <x:c r="T121" s="54"/>
      <x:c r="U121" s="54"/>
      <x:c r="V121" s="54"/>
      <x:c r="W121" s="54"/>
      <x:c r="X121" s="54"/>
      <x:c r="Y121" s="54"/>
      <x:c r="Z121" s="54"/>
      <x:c r="AA121" s="54"/>
      <x:c r="AB121" s="54"/>
      <x:c r="AC121" s="54"/>
      <x:c r="AD121" s="54"/>
      <x:c r="AE121" s="54"/>
      <x:c r="AF121" s="54"/>
      <x:c r="AG121" s="54"/>
      <x:c r="AH121" s="54"/>
      <x:c r="AI121" s="54"/>
      <x:c r="AJ121" s="54"/>
      <x:c r="AK121" s="54"/>
      <x:c r="AL121" s="54"/>
      <x:c r="AM121" s="54"/>
      <x:c r="AN121" s="54"/>
      <x:c r="AO121" s="54"/>
      <x:c r="AP121" s="54"/>
      <x:c r="AQ121" s="54"/>
      <x:c r="AR121" s="54"/>
      <x:c r="AS121" s="54"/>
      <x:c r="AT121" s="54"/>
      <x:c r="AU121" s="54"/>
      <x:c r="AV121" s="54"/>
      <x:c r="AW121" s="54"/>
    </x:row>
    <x:row r="122">
      <x:c r="A122" s="54"/>
      <x:c r="B122" s="54"/>
      <x:c r="C122" s="54"/>
      <x:c r="D122" s="54"/>
      <x:c r="E122" s="54"/>
      <x:c r="F122" s="54"/>
      <x:c r="G122" s="54"/>
      <x:c r="H122" s="54"/>
      <x:c r="I122" s="54"/>
      <x:c r="J122" s="54"/>
      <x:c r="K122" s="54"/>
      <x:c r="L122" s="54"/>
      <x:c r="M122" s="54"/>
      <x:c r="N122" s="54"/>
      <x:c r="O122" s="54"/>
      <x:c r="P122" s="54"/>
      <x:c r="Q122" s="54"/>
      <x:c r="R122" s="54"/>
      <x:c r="S122" s="54"/>
      <x:c r="T122" s="54"/>
      <x:c r="U122" s="54"/>
      <x:c r="V122" s="54"/>
      <x:c r="W122" s="54"/>
      <x:c r="X122" s="54"/>
      <x:c r="Y122" s="54"/>
      <x:c r="Z122" s="54"/>
      <x:c r="AA122" s="54"/>
      <x:c r="AB122" s="54"/>
      <x:c r="AC122" s="54"/>
      <x:c r="AD122" s="54"/>
      <x:c r="AE122" s="54"/>
      <x:c r="AF122" s="54"/>
      <x:c r="AG122" s="54"/>
      <x:c r="AH122" s="54"/>
      <x:c r="AI122" s="54"/>
      <x:c r="AJ122" s="54"/>
      <x:c r="AK122" s="54"/>
      <x:c r="AL122" s="54"/>
      <x:c r="AM122" s="54"/>
      <x:c r="AN122" s="54"/>
      <x:c r="AO122" s="54"/>
      <x:c r="AP122" s="54"/>
      <x:c r="AQ122" s="54"/>
      <x:c r="AR122" s="54"/>
      <x:c r="AS122" s="54"/>
      <x:c r="AT122" s="54"/>
      <x:c r="AU122" s="54"/>
      <x:c r="AV122" s="54"/>
      <x:c r="AW122" s="54"/>
    </x:row>
    <x:row r="123">
      <x:c r="A123" s="54"/>
      <x:c r="B123" s="54"/>
      <x:c r="C123" s="54"/>
      <x:c r="D123" s="54"/>
      <x:c r="E123" s="54"/>
      <x:c r="F123" s="54"/>
      <x:c r="G123" s="54"/>
      <x:c r="H123" s="54"/>
      <x:c r="I123" s="54"/>
      <x:c r="J123" s="54"/>
      <x:c r="K123" s="54"/>
      <x:c r="L123" s="54"/>
      <x:c r="M123" s="54"/>
      <x:c r="N123" s="54"/>
      <x:c r="O123" s="54"/>
      <x:c r="P123" s="54"/>
      <x:c r="Q123" s="54"/>
      <x:c r="R123" s="54"/>
      <x:c r="S123" s="54"/>
      <x:c r="T123" s="54"/>
      <x:c r="U123" s="54"/>
      <x:c r="V123" s="54"/>
      <x:c r="W123" s="54"/>
      <x:c r="X123" s="54"/>
      <x:c r="Y123" s="54"/>
      <x:c r="Z123" s="54"/>
      <x:c r="AA123" s="54"/>
      <x:c r="AB123" s="54"/>
      <x:c r="AC123" s="54"/>
      <x:c r="AD123" s="54"/>
      <x:c r="AE123" s="54"/>
      <x:c r="AF123" s="54"/>
      <x:c r="AG123" s="54"/>
      <x:c r="AH123" s="54"/>
      <x:c r="AI123" s="54"/>
      <x:c r="AJ123" s="54"/>
      <x:c r="AK123" s="54"/>
      <x:c r="AL123" s="54"/>
      <x:c r="AM123" s="54"/>
      <x:c r="AN123" s="54"/>
      <x:c r="AO123" s="54"/>
      <x:c r="AP123" s="54"/>
      <x:c r="AQ123" s="54"/>
      <x:c r="AR123" s="54"/>
      <x:c r="AS123" s="54"/>
      <x:c r="AT123" s="54"/>
      <x:c r="AU123" s="54"/>
      <x:c r="AV123" s="54"/>
      <x:c r="AW123" s="54"/>
    </x:row>
    <x:row r="124">
      <x:c r="A124" s="54"/>
      <x:c r="B124" s="54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4"/>
      <x:c r="N124" s="54"/>
      <x:c r="O124" s="54"/>
      <x:c r="P124" s="54"/>
      <x:c r="Q124" s="54"/>
      <x:c r="R124" s="54"/>
      <x:c r="S124" s="54"/>
      <x:c r="T124" s="54"/>
      <x:c r="U124" s="54"/>
      <x:c r="V124" s="54"/>
      <x:c r="W124" s="54"/>
      <x:c r="X124" s="54"/>
      <x:c r="Y124" s="54"/>
      <x:c r="Z124" s="54"/>
      <x:c r="AA124" s="54"/>
      <x:c r="AB124" s="54"/>
      <x:c r="AC124" s="54"/>
      <x:c r="AD124" s="54"/>
      <x:c r="AE124" s="54"/>
      <x:c r="AF124" s="54"/>
      <x:c r="AG124" s="54"/>
      <x:c r="AH124" s="54"/>
      <x:c r="AI124" s="54"/>
      <x:c r="AJ124" s="54"/>
      <x:c r="AK124" s="54"/>
      <x:c r="AL124" s="54"/>
      <x:c r="AM124" s="54"/>
      <x:c r="AN124" s="54"/>
      <x:c r="AO124" s="54"/>
      <x:c r="AP124" s="54"/>
      <x:c r="AQ124" s="54"/>
      <x:c r="AR124" s="54"/>
      <x:c r="AS124" s="54"/>
      <x:c r="AT124" s="54"/>
      <x:c r="AU124" s="54"/>
      <x:c r="AV124" s="54"/>
      <x:c r="AW124" s="54"/>
    </x:row>
    <x:row r="125">
      <x:c r="A125" s="54"/>
      <x:c r="B125" s="54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4"/>
      <x:c r="N125" s="54"/>
      <x:c r="O125" s="54"/>
      <x:c r="P125" s="54"/>
      <x:c r="Q125" s="54"/>
      <x:c r="R125" s="54"/>
      <x:c r="S125" s="54"/>
      <x:c r="T125" s="54"/>
      <x:c r="U125" s="54"/>
      <x:c r="V125" s="54"/>
      <x:c r="W125" s="54"/>
      <x:c r="X125" s="54"/>
      <x:c r="Y125" s="54"/>
      <x:c r="Z125" s="54"/>
      <x:c r="AA125" s="54"/>
      <x:c r="AB125" s="54"/>
      <x:c r="AC125" s="54"/>
      <x:c r="AD125" s="54"/>
      <x:c r="AE125" s="54"/>
      <x:c r="AF125" s="54"/>
      <x:c r="AG125" s="54"/>
      <x:c r="AH125" s="54"/>
      <x:c r="AI125" s="54"/>
      <x:c r="AJ125" s="54"/>
      <x:c r="AK125" s="54"/>
      <x:c r="AL125" s="54"/>
      <x:c r="AM125" s="54"/>
      <x:c r="AN125" s="54"/>
      <x:c r="AO125" s="54"/>
      <x:c r="AP125" s="54"/>
      <x:c r="AQ125" s="54"/>
      <x:c r="AR125" s="54"/>
      <x:c r="AS125" s="54"/>
      <x:c r="AT125" s="54"/>
      <x:c r="AU125" s="54"/>
      <x:c r="AV125" s="54"/>
      <x:c r="AW125" s="54"/>
    </x:row>
    <x:row r="126">
      <x:c r="A126" s="54"/>
      <x:c r="B126" s="54"/>
      <x:c r="C126" s="54"/>
      <x:c r="D126" s="54"/>
      <x:c r="E126" s="54"/>
      <x:c r="F126" s="54"/>
      <x:c r="G126" s="54"/>
      <x:c r="H126" s="54"/>
      <x:c r="I126" s="54"/>
      <x:c r="J126" s="54"/>
      <x:c r="K126" s="54"/>
      <x:c r="L126" s="54"/>
      <x:c r="M126" s="54"/>
      <x:c r="N126" s="54"/>
      <x:c r="O126" s="54"/>
      <x:c r="P126" s="54"/>
      <x:c r="Q126" s="54"/>
      <x:c r="R126" s="54"/>
      <x:c r="S126" s="54"/>
      <x:c r="T126" s="54"/>
      <x:c r="U126" s="54"/>
      <x:c r="V126" s="54"/>
      <x:c r="W126" s="54"/>
      <x:c r="X126" s="54"/>
      <x:c r="Y126" s="54"/>
      <x:c r="Z126" s="54"/>
      <x:c r="AA126" s="54"/>
      <x:c r="AB126" s="54"/>
      <x:c r="AC126" s="54"/>
      <x:c r="AD126" s="54"/>
      <x:c r="AE126" s="54"/>
      <x:c r="AF126" s="54"/>
      <x:c r="AG126" s="54"/>
      <x:c r="AH126" s="54"/>
      <x:c r="AI126" s="54"/>
      <x:c r="AJ126" s="54"/>
      <x:c r="AK126" s="54"/>
      <x:c r="AL126" s="54"/>
      <x:c r="AM126" s="54"/>
      <x:c r="AN126" s="54"/>
      <x:c r="AO126" s="54"/>
      <x:c r="AP126" s="54"/>
      <x:c r="AQ126" s="54"/>
      <x:c r="AR126" s="54"/>
      <x:c r="AS126" s="54"/>
      <x:c r="AT126" s="54"/>
      <x:c r="AU126" s="54"/>
      <x:c r="AV126" s="54"/>
      <x:c r="AW126" s="54"/>
    </x:row>
    <x:row r="127">
      <x:c r="A127" s="54"/>
      <x:c r="B127" s="54"/>
      <x:c r="C127" s="54"/>
      <x:c r="D127" s="54"/>
      <x:c r="E127" s="54"/>
      <x:c r="F127" s="54"/>
      <x:c r="G127" s="54"/>
      <x:c r="H127" s="54"/>
      <x:c r="I127" s="54"/>
      <x:c r="J127" s="54"/>
      <x:c r="K127" s="54"/>
      <x:c r="L127" s="54"/>
      <x:c r="M127" s="54"/>
      <x:c r="N127" s="54"/>
      <x:c r="O127" s="54"/>
      <x:c r="P127" s="54"/>
      <x:c r="Q127" s="54"/>
      <x:c r="R127" s="54"/>
      <x:c r="S127" s="54"/>
      <x:c r="T127" s="54"/>
      <x:c r="U127" s="54"/>
      <x:c r="V127" s="54"/>
      <x:c r="W127" s="54"/>
      <x:c r="X127" s="54"/>
      <x:c r="Y127" s="54"/>
      <x:c r="Z127" s="54"/>
      <x:c r="AA127" s="54"/>
      <x:c r="AB127" s="54"/>
      <x:c r="AC127" s="54"/>
      <x:c r="AD127" s="54"/>
      <x:c r="AE127" s="54"/>
      <x:c r="AF127" s="54"/>
      <x:c r="AG127" s="54"/>
      <x:c r="AH127" s="54"/>
      <x:c r="AI127" s="54"/>
      <x:c r="AJ127" s="54"/>
      <x:c r="AK127" s="54"/>
      <x:c r="AL127" s="54"/>
      <x:c r="AM127" s="54"/>
      <x:c r="AN127" s="54"/>
      <x:c r="AO127" s="54"/>
      <x:c r="AP127" s="54"/>
      <x:c r="AQ127" s="54"/>
      <x:c r="AR127" s="54"/>
      <x:c r="AS127" s="54"/>
      <x:c r="AT127" s="54"/>
      <x:c r="AU127" s="54"/>
      <x:c r="AV127" s="54"/>
      <x:c r="AW127" s="54"/>
    </x:row>
    <x:row r="128">
      <x:c r="A128" s="54"/>
      <x:c r="B128" s="54"/>
      <x:c r="C128" s="54"/>
      <x:c r="D128" s="54"/>
      <x:c r="E128" s="54"/>
      <x:c r="F128" s="54"/>
      <x:c r="G128" s="54"/>
      <x:c r="H128" s="54"/>
      <x:c r="I128" s="54"/>
      <x:c r="J128" s="54"/>
      <x:c r="K128" s="54"/>
      <x:c r="L128" s="54"/>
      <x:c r="M128" s="54"/>
      <x:c r="N128" s="54"/>
      <x:c r="O128" s="54"/>
      <x:c r="P128" s="54"/>
      <x:c r="Q128" s="54"/>
      <x:c r="R128" s="54"/>
      <x:c r="S128" s="54"/>
      <x:c r="T128" s="54"/>
      <x:c r="U128" s="54"/>
      <x:c r="V128" s="54"/>
      <x:c r="W128" s="54"/>
      <x:c r="X128" s="54"/>
      <x:c r="Y128" s="54"/>
      <x:c r="Z128" s="54"/>
      <x:c r="AA128" s="54"/>
      <x:c r="AB128" s="54"/>
      <x:c r="AC128" s="54"/>
      <x:c r="AD128" s="54"/>
      <x:c r="AE128" s="54"/>
      <x:c r="AF128" s="54"/>
      <x:c r="AG128" s="54"/>
      <x:c r="AH128" s="54"/>
      <x:c r="AI128" s="54"/>
      <x:c r="AJ128" s="54"/>
      <x:c r="AK128" s="54"/>
      <x:c r="AL128" s="54"/>
      <x:c r="AM128" s="54"/>
      <x:c r="AN128" s="54"/>
      <x:c r="AO128" s="54"/>
      <x:c r="AP128" s="54"/>
      <x:c r="AQ128" s="54"/>
      <x:c r="AR128" s="54"/>
      <x:c r="AS128" s="54"/>
      <x:c r="AT128" s="54"/>
      <x:c r="AU128" s="54"/>
      <x:c r="AV128" s="54"/>
      <x:c r="AW128" s="54"/>
    </x:row>
    <x:row r="129">
      <x:c r="A129" s="54"/>
      <x:c r="B129" s="54"/>
      <x:c r="C129" s="54"/>
      <x:c r="D129" s="54"/>
      <x:c r="E129" s="54"/>
      <x:c r="F129" s="54"/>
      <x:c r="G129" s="54"/>
      <x:c r="H129" s="54"/>
      <x:c r="I129" s="54"/>
      <x:c r="J129" s="54"/>
      <x:c r="K129" s="54"/>
      <x:c r="L129" s="54"/>
      <x:c r="M129" s="54"/>
      <x:c r="N129" s="54"/>
      <x:c r="O129" s="54"/>
      <x:c r="P129" s="54"/>
      <x:c r="Q129" s="54"/>
      <x:c r="R129" s="54"/>
      <x:c r="S129" s="54"/>
      <x:c r="T129" s="54"/>
      <x:c r="U129" s="54"/>
      <x:c r="V129" s="54"/>
      <x:c r="W129" s="54"/>
      <x:c r="X129" s="54"/>
      <x:c r="Y129" s="54"/>
      <x:c r="Z129" s="54"/>
      <x:c r="AA129" s="54"/>
      <x:c r="AB129" s="54"/>
      <x:c r="AC129" s="54"/>
      <x:c r="AD129" s="54"/>
      <x:c r="AE129" s="54"/>
      <x:c r="AF129" s="54"/>
      <x:c r="AG129" s="54"/>
      <x:c r="AH129" s="54"/>
      <x:c r="AI129" s="54"/>
      <x:c r="AJ129" s="54"/>
      <x:c r="AK129" s="54"/>
      <x:c r="AL129" s="54"/>
      <x:c r="AM129" s="54"/>
      <x:c r="AN129" s="54"/>
      <x:c r="AO129" s="54"/>
      <x:c r="AP129" s="54"/>
      <x:c r="AQ129" s="54"/>
      <x:c r="AR129" s="54"/>
      <x:c r="AS129" s="54"/>
      <x:c r="AT129" s="54"/>
      <x:c r="AU129" s="54"/>
      <x:c r="AV129" s="54"/>
      <x:c r="AW129" s="54"/>
    </x:row>
    <x:row r="130">
      <x:c r="A130" s="54"/>
      <x:c r="B130" s="54"/>
      <x:c r="C130" s="54"/>
      <x:c r="D130" s="54"/>
      <x:c r="E130" s="54"/>
      <x:c r="F130" s="54"/>
      <x:c r="G130" s="54"/>
      <x:c r="H130" s="54"/>
      <x:c r="I130" s="54"/>
      <x:c r="J130" s="54"/>
      <x:c r="K130" s="54"/>
      <x:c r="L130" s="54"/>
      <x:c r="M130" s="54"/>
      <x:c r="N130" s="54"/>
      <x:c r="O130" s="54"/>
      <x:c r="P130" s="54"/>
      <x:c r="Q130" s="54"/>
      <x:c r="R130" s="54"/>
      <x:c r="S130" s="54"/>
      <x:c r="T130" s="54"/>
      <x:c r="U130" s="54"/>
      <x:c r="V130" s="54"/>
      <x:c r="W130" s="54"/>
      <x:c r="X130" s="54"/>
      <x:c r="Y130" s="54"/>
      <x:c r="Z130" s="54"/>
      <x:c r="AA130" s="54"/>
      <x:c r="AB130" s="54"/>
      <x:c r="AC130" s="54"/>
      <x:c r="AD130" s="54"/>
      <x:c r="AE130" s="54"/>
      <x:c r="AF130" s="54"/>
      <x:c r="AG130" s="54"/>
      <x:c r="AH130" s="54"/>
      <x:c r="AI130" s="54"/>
      <x:c r="AJ130" s="54"/>
      <x:c r="AK130" s="54"/>
      <x:c r="AL130" s="54"/>
      <x:c r="AM130" s="54"/>
      <x:c r="AN130" s="54"/>
      <x:c r="AO130" s="54"/>
      <x:c r="AP130" s="54"/>
      <x:c r="AQ130" s="54"/>
      <x:c r="AR130" s="54"/>
      <x:c r="AS130" s="54"/>
      <x:c r="AT130" s="54"/>
      <x:c r="AU130" s="54"/>
      <x:c r="AV130" s="54"/>
      <x:c r="AW130" s="54"/>
    </x:row>
    <x:row r="131">
      <x:c r="A131" s="54"/>
      <x:c r="B131" s="54"/>
      <x:c r="C131" s="54"/>
      <x:c r="D131" s="54"/>
      <x:c r="E131" s="54"/>
      <x:c r="F131" s="54"/>
      <x:c r="G131" s="54"/>
      <x:c r="H131" s="54"/>
      <x:c r="I131" s="54"/>
      <x:c r="J131" s="54"/>
      <x:c r="K131" s="54"/>
      <x:c r="L131" s="54"/>
      <x:c r="M131" s="54"/>
      <x:c r="N131" s="54"/>
      <x:c r="O131" s="54"/>
      <x:c r="P131" s="54"/>
      <x:c r="Q131" s="54"/>
      <x:c r="R131" s="54"/>
      <x:c r="S131" s="54"/>
      <x:c r="T131" s="54"/>
      <x:c r="U131" s="54"/>
      <x:c r="V131" s="54"/>
      <x:c r="W131" s="54"/>
      <x:c r="X131" s="54"/>
      <x:c r="Y131" s="54"/>
      <x:c r="Z131" s="54"/>
      <x:c r="AA131" s="54"/>
      <x:c r="AB131" s="54"/>
      <x:c r="AC131" s="54"/>
      <x:c r="AD131" s="54"/>
      <x:c r="AE131" s="54"/>
      <x:c r="AF131" s="54"/>
      <x:c r="AG131" s="54"/>
      <x:c r="AH131" s="54"/>
      <x:c r="AI131" s="54"/>
      <x:c r="AJ131" s="54"/>
      <x:c r="AK131" s="54"/>
      <x:c r="AL131" s="54"/>
      <x:c r="AM131" s="54"/>
      <x:c r="AN131" s="54"/>
      <x:c r="AO131" s="54"/>
      <x:c r="AP131" s="54"/>
      <x:c r="AQ131" s="54"/>
      <x:c r="AR131" s="54"/>
      <x:c r="AS131" s="54"/>
      <x:c r="AT131" s="54"/>
      <x:c r="AU131" s="54"/>
      <x:c r="AV131" s="54"/>
      <x:c r="AW131" s="54"/>
    </x:row>
    <x:row r="132">
      <x:c r="A132" s="54"/>
      <x:c r="B132" s="54"/>
      <x:c r="C132" s="54"/>
      <x:c r="D132" s="54"/>
      <x:c r="E132" s="54"/>
      <x:c r="F132" s="54"/>
      <x:c r="G132" s="54"/>
      <x:c r="H132" s="54"/>
      <x:c r="I132" s="54"/>
      <x:c r="J132" s="54"/>
      <x:c r="K132" s="54"/>
      <x:c r="L132" s="54"/>
      <x:c r="M132" s="54"/>
      <x:c r="N132" s="54"/>
      <x:c r="O132" s="54"/>
      <x:c r="P132" s="54"/>
      <x:c r="Q132" s="54"/>
      <x:c r="R132" s="54"/>
      <x:c r="S132" s="54"/>
      <x:c r="T132" s="54"/>
      <x:c r="U132" s="54"/>
      <x:c r="V132" s="54"/>
      <x:c r="W132" s="54"/>
      <x:c r="X132" s="54"/>
      <x:c r="Y132" s="54"/>
      <x:c r="Z132" s="54"/>
      <x:c r="AA132" s="54"/>
      <x:c r="AB132" s="54"/>
      <x:c r="AC132" s="54"/>
      <x:c r="AD132" s="54"/>
      <x:c r="AE132" s="54"/>
      <x:c r="AF132" s="54"/>
      <x:c r="AG132" s="54"/>
      <x:c r="AH132" s="54"/>
      <x:c r="AI132" s="54"/>
      <x:c r="AJ132" s="54"/>
      <x:c r="AK132" s="54"/>
      <x:c r="AL132" s="54"/>
      <x:c r="AM132" s="54"/>
      <x:c r="AN132" s="54"/>
      <x:c r="AO132" s="54"/>
      <x:c r="AP132" s="54"/>
      <x:c r="AQ132" s="54"/>
      <x:c r="AR132" s="54"/>
      <x:c r="AS132" s="54"/>
      <x:c r="AT132" s="54"/>
      <x:c r="AU132" s="54"/>
      <x:c r="AV132" s="54"/>
      <x:c r="AW132" s="54"/>
    </x:row>
    <x:row r="133">
      <x:c r="A133" s="54"/>
      <x:c r="B133" s="54"/>
      <x:c r="C133" s="54"/>
      <x:c r="D133" s="54"/>
      <x:c r="E133" s="54"/>
      <x:c r="F133" s="54"/>
      <x:c r="G133" s="54"/>
      <x:c r="H133" s="54"/>
      <x:c r="I133" s="54"/>
      <x:c r="J133" s="54"/>
      <x:c r="K133" s="54"/>
      <x:c r="L133" s="54"/>
      <x:c r="M133" s="54"/>
      <x:c r="N133" s="54"/>
      <x:c r="O133" s="54"/>
      <x:c r="P133" s="54"/>
      <x:c r="Q133" s="54"/>
      <x:c r="R133" s="54"/>
      <x:c r="S133" s="54"/>
      <x:c r="T133" s="54"/>
      <x:c r="U133" s="54"/>
      <x:c r="V133" s="54"/>
      <x:c r="W133" s="54"/>
      <x:c r="X133" s="54"/>
      <x:c r="Y133" s="54"/>
      <x:c r="Z133" s="54"/>
      <x:c r="AA133" s="54"/>
      <x:c r="AB133" s="54"/>
      <x:c r="AC133" s="54"/>
      <x:c r="AD133" s="54"/>
      <x:c r="AE133" s="54"/>
      <x:c r="AF133" s="54"/>
      <x:c r="AG133" s="54"/>
      <x:c r="AH133" s="54"/>
      <x:c r="AI133" s="54"/>
      <x:c r="AJ133" s="54"/>
      <x:c r="AK133" s="54"/>
      <x:c r="AL133" s="54"/>
      <x:c r="AM133" s="54"/>
      <x:c r="AN133" s="54"/>
      <x:c r="AO133" s="54"/>
      <x:c r="AP133" s="54"/>
      <x:c r="AQ133" s="54"/>
      <x:c r="AR133" s="54"/>
      <x:c r="AS133" s="54"/>
      <x:c r="AT133" s="54"/>
      <x:c r="AU133" s="54"/>
      <x:c r="AV133" s="54"/>
      <x:c r="AW133" s="54"/>
    </x:row>
    <x:row r="134">
      <x:c r="A134" s="54"/>
      <x:c r="B134" s="54"/>
      <x:c r="C134" s="54"/>
      <x:c r="D134" s="54"/>
      <x:c r="E134" s="54"/>
      <x:c r="F134" s="54"/>
      <x:c r="G134" s="54"/>
      <x:c r="H134" s="54"/>
      <x:c r="I134" s="54"/>
      <x:c r="J134" s="54"/>
      <x:c r="K134" s="54"/>
      <x:c r="L134" s="54"/>
      <x:c r="M134" s="54"/>
      <x:c r="N134" s="54"/>
      <x:c r="O134" s="54"/>
      <x:c r="P134" s="54"/>
      <x:c r="Q134" s="54"/>
      <x:c r="R134" s="54"/>
      <x:c r="S134" s="54"/>
      <x:c r="T134" s="54"/>
      <x:c r="U134" s="54"/>
      <x:c r="V134" s="54"/>
      <x:c r="W134" s="54"/>
      <x:c r="X134" s="54"/>
      <x:c r="Y134" s="54"/>
      <x:c r="Z134" s="54"/>
      <x:c r="AA134" s="54"/>
      <x:c r="AB134" s="54"/>
      <x:c r="AC134" s="54"/>
      <x:c r="AD134" s="54"/>
      <x:c r="AE134" s="54"/>
      <x:c r="AF134" s="54"/>
      <x:c r="AG134" s="54"/>
      <x:c r="AH134" s="54"/>
      <x:c r="AI134" s="54"/>
      <x:c r="AJ134" s="54"/>
      <x:c r="AK134" s="54"/>
      <x:c r="AL134" s="54"/>
      <x:c r="AM134" s="54"/>
      <x:c r="AN134" s="54"/>
      <x:c r="AO134" s="54"/>
      <x:c r="AP134" s="54"/>
      <x:c r="AQ134" s="54"/>
      <x:c r="AR134" s="54"/>
      <x:c r="AS134" s="54"/>
      <x:c r="AT134" s="54"/>
      <x:c r="AU134" s="54"/>
      <x:c r="AV134" s="54"/>
      <x:c r="AW134" s="54"/>
    </x:row>
    <x:row r="135">
      <x:c r="A135" s="54"/>
      <x:c r="B135" s="54"/>
      <x:c r="C135" s="54"/>
      <x:c r="D135" s="54"/>
      <x:c r="E135" s="54"/>
      <x:c r="F135" s="54"/>
      <x:c r="G135" s="54"/>
      <x:c r="H135" s="54"/>
      <x:c r="I135" s="54"/>
      <x:c r="J135" s="54"/>
      <x:c r="K135" s="54"/>
      <x:c r="L135" s="54"/>
      <x:c r="M135" s="54"/>
      <x:c r="N135" s="54"/>
      <x:c r="O135" s="54"/>
      <x:c r="P135" s="54"/>
      <x:c r="Q135" s="54"/>
      <x:c r="R135" s="54"/>
      <x:c r="S135" s="54"/>
      <x:c r="T135" s="54"/>
      <x:c r="U135" s="54"/>
      <x:c r="V135" s="54"/>
      <x:c r="W135" s="54"/>
      <x:c r="X135" s="54"/>
      <x:c r="Y135" s="54"/>
      <x:c r="Z135" s="54"/>
      <x:c r="AA135" s="54"/>
      <x:c r="AB135" s="54"/>
      <x:c r="AC135" s="54"/>
      <x:c r="AD135" s="54"/>
      <x:c r="AE135" s="54"/>
      <x:c r="AF135" s="54"/>
      <x:c r="AG135" s="54"/>
      <x:c r="AH135" s="54"/>
      <x:c r="AI135" s="54"/>
      <x:c r="AJ135" s="54"/>
      <x:c r="AK135" s="54"/>
      <x:c r="AL135" s="54"/>
      <x:c r="AM135" s="54"/>
      <x:c r="AN135" s="54"/>
      <x:c r="AO135" s="54"/>
      <x:c r="AP135" s="54"/>
      <x:c r="AQ135" s="54"/>
      <x:c r="AR135" s="54"/>
      <x:c r="AS135" s="54"/>
      <x:c r="AT135" s="54"/>
      <x:c r="AU135" s="54"/>
      <x:c r="AV135" s="54"/>
      <x:c r="AW135" s="54"/>
    </x:row>
    <x:row r="136">
      <x:c r="A136" s="54"/>
      <x:c r="B136" s="54"/>
      <x:c r="C136" s="54"/>
      <x:c r="D136" s="54"/>
      <x:c r="E136" s="54"/>
      <x:c r="F136" s="54"/>
      <x:c r="G136" s="54"/>
      <x:c r="H136" s="54"/>
      <x:c r="I136" s="54"/>
      <x:c r="J136" s="54"/>
      <x:c r="K136" s="54"/>
      <x:c r="L136" s="54"/>
      <x:c r="M136" s="54"/>
      <x:c r="N136" s="54"/>
      <x:c r="O136" s="54"/>
      <x:c r="P136" s="54"/>
      <x:c r="Q136" s="54"/>
      <x:c r="R136" s="54"/>
      <x:c r="S136" s="54"/>
      <x:c r="T136" s="54"/>
      <x:c r="U136" s="54"/>
      <x:c r="V136" s="54"/>
      <x:c r="W136" s="54"/>
      <x:c r="X136" s="54"/>
      <x:c r="Y136" s="54"/>
      <x:c r="Z136" s="54"/>
      <x:c r="AA136" s="54"/>
      <x:c r="AB136" s="54"/>
      <x:c r="AC136" s="54"/>
      <x:c r="AD136" s="54"/>
      <x:c r="AE136" s="54"/>
      <x:c r="AF136" s="54"/>
      <x:c r="AG136" s="54"/>
      <x:c r="AH136" s="54"/>
      <x:c r="AI136" s="54"/>
      <x:c r="AJ136" s="54"/>
      <x:c r="AK136" s="54"/>
      <x:c r="AL136" s="54"/>
      <x:c r="AM136" s="54"/>
      <x:c r="AN136" s="54"/>
      <x:c r="AO136" s="54"/>
      <x:c r="AP136" s="54"/>
      <x:c r="AQ136" s="54"/>
      <x:c r="AR136" s="54"/>
      <x:c r="AS136" s="54"/>
      <x:c r="AT136" s="54"/>
      <x:c r="AU136" s="54"/>
      <x:c r="AV136" s="54"/>
      <x:c r="AW136" s="54"/>
    </x:row>
    <x:row r="137">
      <x:c r="A137" s="54"/>
      <x:c r="B137" s="54"/>
      <x:c r="C137" s="54"/>
      <x:c r="D137" s="54"/>
      <x:c r="E137" s="54"/>
      <x:c r="F137" s="54"/>
      <x:c r="G137" s="54"/>
      <x:c r="H137" s="54"/>
      <x:c r="I137" s="54"/>
      <x:c r="J137" s="54"/>
      <x:c r="K137" s="54"/>
      <x:c r="L137" s="54"/>
      <x:c r="M137" s="54"/>
      <x:c r="N137" s="54"/>
      <x:c r="O137" s="54"/>
      <x:c r="P137" s="54"/>
      <x:c r="Q137" s="54"/>
      <x:c r="R137" s="54"/>
      <x:c r="S137" s="54"/>
      <x:c r="T137" s="54"/>
      <x:c r="U137" s="54"/>
      <x:c r="V137" s="54"/>
      <x:c r="W137" s="54"/>
      <x:c r="X137" s="54"/>
      <x:c r="Y137" s="54"/>
      <x:c r="Z137" s="54"/>
      <x:c r="AA137" s="54"/>
      <x:c r="AB137" s="54"/>
      <x:c r="AC137" s="54"/>
      <x:c r="AD137" s="54"/>
      <x:c r="AE137" s="54"/>
      <x:c r="AF137" s="54"/>
      <x:c r="AG137" s="54"/>
      <x:c r="AH137" s="54"/>
      <x:c r="AI137" s="54"/>
      <x:c r="AJ137" s="54"/>
      <x:c r="AK137" s="54"/>
      <x:c r="AL137" s="54"/>
      <x:c r="AM137" s="54"/>
      <x:c r="AN137" s="54"/>
      <x:c r="AO137" s="54"/>
      <x:c r="AP137" s="54"/>
      <x:c r="AQ137" s="54"/>
      <x:c r="AR137" s="54"/>
      <x:c r="AS137" s="54"/>
      <x:c r="AT137" s="54"/>
      <x:c r="AU137" s="54"/>
      <x:c r="AV137" s="54"/>
      <x:c r="AW137" s="54"/>
    </x:row>
    <x:row r="138">
      <x:c r="A138" s="54"/>
      <x:c r="B138" s="54"/>
      <x:c r="C138" s="54"/>
      <x:c r="D138" s="54"/>
      <x:c r="E138" s="54"/>
      <x:c r="F138" s="54"/>
      <x:c r="G138" s="54"/>
      <x:c r="H138" s="54"/>
      <x:c r="I138" s="54"/>
      <x:c r="J138" s="54"/>
      <x:c r="K138" s="54"/>
      <x:c r="L138" s="54"/>
      <x:c r="M138" s="54"/>
      <x:c r="N138" s="54"/>
      <x:c r="O138" s="54"/>
      <x:c r="P138" s="54"/>
      <x:c r="Q138" s="54"/>
      <x:c r="R138" s="54"/>
      <x:c r="S138" s="54"/>
      <x:c r="T138" s="54"/>
      <x:c r="U138" s="54"/>
      <x:c r="V138" s="54"/>
      <x:c r="W138" s="54"/>
      <x:c r="X138" s="54"/>
      <x:c r="Y138" s="54"/>
      <x:c r="Z138" s="54"/>
      <x:c r="AA138" s="54"/>
      <x:c r="AB138" s="54"/>
      <x:c r="AC138" s="54"/>
      <x:c r="AD138" s="54"/>
      <x:c r="AE138" s="54"/>
      <x:c r="AF138" s="54"/>
      <x:c r="AG138" s="54"/>
      <x:c r="AH138" s="54"/>
      <x:c r="AI138" s="54"/>
      <x:c r="AJ138" s="54"/>
      <x:c r="AK138" s="54"/>
      <x:c r="AL138" s="54"/>
      <x:c r="AM138" s="54"/>
      <x:c r="AN138" s="54"/>
      <x:c r="AO138" s="54"/>
      <x:c r="AP138" s="54"/>
      <x:c r="AQ138" s="54"/>
      <x:c r="AR138" s="54"/>
      <x:c r="AS138" s="54"/>
      <x:c r="AT138" s="54"/>
      <x:c r="AU138" s="54"/>
      <x:c r="AV138" s="54"/>
      <x:c r="AW138" s="54"/>
    </x:row>
    <x:row r="139">
      <x:c r="A139" s="54"/>
      <x:c r="B139" s="54"/>
      <x:c r="C139" s="54"/>
      <x:c r="D139" s="54"/>
      <x:c r="E139" s="54"/>
      <x:c r="F139" s="54"/>
      <x:c r="G139" s="54"/>
      <x:c r="H139" s="54"/>
      <x:c r="I139" s="54"/>
      <x:c r="J139" s="54"/>
      <x:c r="K139" s="54"/>
      <x:c r="L139" s="54"/>
      <x:c r="M139" s="54"/>
      <x:c r="N139" s="54"/>
      <x:c r="O139" s="54"/>
      <x:c r="P139" s="54"/>
      <x:c r="Q139" s="54"/>
      <x:c r="R139" s="54"/>
      <x:c r="S139" s="54"/>
      <x:c r="T139" s="54"/>
      <x:c r="U139" s="54"/>
      <x:c r="V139" s="54"/>
      <x:c r="W139" s="54"/>
      <x:c r="X139" s="54"/>
      <x:c r="Y139" s="54"/>
      <x:c r="Z139" s="54"/>
      <x:c r="AA139" s="54"/>
      <x:c r="AB139" s="54"/>
      <x:c r="AC139" s="54"/>
      <x:c r="AD139" s="54"/>
      <x:c r="AE139" s="54"/>
      <x:c r="AF139" s="54"/>
      <x:c r="AG139" s="54"/>
      <x:c r="AH139" s="54"/>
      <x:c r="AI139" s="54"/>
      <x:c r="AJ139" s="54"/>
      <x:c r="AK139" s="54"/>
      <x:c r="AL139" s="54"/>
      <x:c r="AM139" s="54"/>
      <x:c r="AN139" s="54"/>
      <x:c r="AO139" s="54"/>
      <x:c r="AP139" s="54"/>
      <x:c r="AQ139" s="54"/>
      <x:c r="AR139" s="54"/>
      <x:c r="AS139" s="54"/>
      <x:c r="AT139" s="54"/>
      <x:c r="AU139" s="54"/>
      <x:c r="AV139" s="54"/>
      <x:c r="AW139" s="54"/>
    </x:row>
    <x:row r="140">
      <x:c r="A140" s="54"/>
      <x:c r="B140" s="54"/>
      <x:c r="C140" s="54"/>
      <x:c r="D140" s="54"/>
      <x:c r="E140" s="54"/>
      <x:c r="F140" s="54"/>
      <x:c r="G140" s="54"/>
      <x:c r="H140" s="54"/>
      <x:c r="I140" s="54"/>
      <x:c r="J140" s="54"/>
      <x:c r="K140" s="54"/>
      <x:c r="L140" s="54"/>
      <x:c r="M140" s="54"/>
      <x:c r="N140" s="54"/>
      <x:c r="O140" s="54"/>
      <x:c r="P140" s="54"/>
      <x:c r="Q140" s="54"/>
      <x:c r="R140" s="54"/>
      <x:c r="S140" s="54"/>
      <x:c r="T140" s="54"/>
      <x:c r="U140" s="54"/>
      <x:c r="V140" s="54"/>
      <x:c r="W140" s="54"/>
      <x:c r="X140" s="54"/>
      <x:c r="Y140" s="54"/>
      <x:c r="Z140" s="54"/>
      <x:c r="AA140" s="54"/>
      <x:c r="AB140" s="54"/>
      <x:c r="AC140" s="54"/>
      <x:c r="AD140" s="54"/>
      <x:c r="AE140" s="54"/>
      <x:c r="AF140" s="54"/>
      <x:c r="AG140" s="54"/>
      <x:c r="AH140" s="54"/>
      <x:c r="AI140" s="54"/>
      <x:c r="AJ140" s="54"/>
      <x:c r="AK140" s="54"/>
      <x:c r="AL140" s="54"/>
      <x:c r="AM140" s="54"/>
      <x:c r="AN140" s="54"/>
      <x:c r="AO140" s="54"/>
      <x:c r="AP140" s="54"/>
      <x:c r="AQ140" s="54"/>
      <x:c r="AR140" s="54"/>
      <x:c r="AS140" s="54"/>
      <x:c r="AT140" s="54"/>
      <x:c r="AU140" s="54"/>
      <x:c r="AV140" s="54"/>
      <x:c r="AW140" s="54"/>
    </x:row>
    <x:row r="141">
      <x:c r="A141" s="54"/>
      <x:c r="B141" s="54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4"/>
      <x:c r="N141" s="54"/>
      <x:c r="O141" s="54"/>
      <x:c r="P141" s="54"/>
      <x:c r="Q141" s="54"/>
      <x:c r="R141" s="54"/>
      <x:c r="S141" s="54"/>
      <x:c r="T141" s="54"/>
      <x:c r="U141" s="54"/>
      <x:c r="V141" s="54"/>
      <x:c r="W141" s="54"/>
      <x:c r="X141" s="54"/>
      <x:c r="Y141" s="54"/>
      <x:c r="Z141" s="54"/>
      <x:c r="AA141" s="54"/>
      <x:c r="AB141" s="54"/>
      <x:c r="AC141" s="54"/>
      <x:c r="AD141" s="54"/>
      <x:c r="AE141" s="54"/>
      <x:c r="AF141" s="54"/>
      <x:c r="AG141" s="54"/>
      <x:c r="AH141" s="54"/>
      <x:c r="AI141" s="54"/>
      <x:c r="AJ141" s="54"/>
      <x:c r="AK141" s="54"/>
      <x:c r="AL141" s="54"/>
      <x:c r="AM141" s="54"/>
      <x:c r="AN141" s="54"/>
      <x:c r="AO141" s="54"/>
      <x:c r="AP141" s="54"/>
      <x:c r="AQ141" s="54"/>
      <x:c r="AR141" s="54"/>
      <x:c r="AS141" s="54"/>
      <x:c r="AT141" s="54"/>
      <x:c r="AU141" s="54"/>
      <x:c r="AV141" s="54"/>
      <x:c r="AW141" s="54"/>
    </x:row>
    <x:row r="142">
      <x:c r="A142" s="54"/>
      <x:c r="B142" s="54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4"/>
      <x:c r="N142" s="54"/>
      <x:c r="O142" s="54"/>
      <x:c r="P142" s="54"/>
      <x:c r="Q142" s="54"/>
      <x:c r="R142" s="54"/>
      <x:c r="S142" s="54"/>
      <x:c r="T142" s="54"/>
      <x:c r="U142" s="54"/>
      <x:c r="V142" s="54"/>
      <x:c r="W142" s="54"/>
      <x:c r="X142" s="54"/>
      <x:c r="Y142" s="54"/>
      <x:c r="Z142" s="54"/>
      <x:c r="AA142" s="54"/>
      <x:c r="AB142" s="54"/>
      <x:c r="AC142" s="54"/>
      <x:c r="AD142" s="54"/>
      <x:c r="AE142" s="54"/>
      <x:c r="AF142" s="54"/>
      <x:c r="AG142" s="54"/>
      <x:c r="AH142" s="54"/>
      <x:c r="AI142" s="54"/>
      <x:c r="AJ142" s="54"/>
      <x:c r="AK142" s="54"/>
      <x:c r="AL142" s="54"/>
      <x:c r="AM142" s="54"/>
      <x:c r="AN142" s="54"/>
      <x:c r="AO142" s="54"/>
      <x:c r="AP142" s="54"/>
      <x:c r="AQ142" s="54"/>
      <x:c r="AR142" s="54"/>
      <x:c r="AS142" s="54"/>
      <x:c r="AT142" s="54"/>
      <x:c r="AU142" s="54"/>
      <x:c r="AV142" s="54"/>
      <x:c r="AW142" s="54"/>
    </x:row>
    <x:row r="143">
      <x:c r="A143" s="54"/>
      <x:c r="B143" s="54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4"/>
      <x:c r="N143" s="54"/>
      <x:c r="O143" s="54"/>
      <x:c r="P143" s="54"/>
      <x:c r="Q143" s="54"/>
      <x:c r="R143" s="54"/>
      <x:c r="S143" s="54"/>
      <x:c r="T143" s="54"/>
      <x:c r="U143" s="54"/>
      <x:c r="V143" s="54"/>
      <x:c r="W143" s="54"/>
      <x:c r="X143" s="54"/>
      <x:c r="Y143" s="54"/>
      <x:c r="Z143" s="54"/>
      <x:c r="AA143" s="54"/>
      <x:c r="AB143" s="54"/>
      <x:c r="AC143" s="54"/>
      <x:c r="AD143" s="54"/>
      <x:c r="AE143" s="54"/>
      <x:c r="AF143" s="54"/>
      <x:c r="AG143" s="54"/>
      <x:c r="AH143" s="54"/>
      <x:c r="AI143" s="54"/>
      <x:c r="AJ143" s="54"/>
      <x:c r="AK143" s="54"/>
      <x:c r="AL143" s="54"/>
      <x:c r="AM143" s="54"/>
      <x:c r="AN143" s="54"/>
      <x:c r="AO143" s="54"/>
      <x:c r="AP143" s="54"/>
      <x:c r="AQ143" s="54"/>
      <x:c r="AR143" s="54"/>
      <x:c r="AS143" s="54"/>
      <x:c r="AT143" s="54"/>
      <x:c r="AU143" s="54"/>
      <x:c r="AV143" s="54"/>
      <x:c r="AW143" s="54"/>
    </x:row>
    <x:row r="144">
      <x:c r="A144" s="54"/>
      <x:c r="B144" s="54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4"/>
      <x:c r="N144" s="54"/>
      <x:c r="O144" s="54"/>
      <x:c r="P144" s="54"/>
      <x:c r="Q144" s="54"/>
      <x:c r="R144" s="54"/>
      <x:c r="S144" s="54"/>
      <x:c r="T144" s="54"/>
      <x:c r="U144" s="54"/>
      <x:c r="V144" s="54"/>
      <x:c r="W144" s="54"/>
      <x:c r="X144" s="54"/>
      <x:c r="Y144" s="54"/>
      <x:c r="Z144" s="54"/>
      <x:c r="AA144" s="54"/>
      <x:c r="AB144" s="54"/>
      <x:c r="AC144" s="54"/>
      <x:c r="AD144" s="54"/>
      <x:c r="AE144" s="54"/>
      <x:c r="AF144" s="54"/>
      <x:c r="AG144" s="54"/>
      <x:c r="AH144" s="54"/>
      <x:c r="AI144" s="54"/>
      <x:c r="AJ144" s="54"/>
      <x:c r="AK144" s="54"/>
      <x:c r="AL144" s="54"/>
      <x:c r="AM144" s="54"/>
      <x:c r="AN144" s="54"/>
      <x:c r="AO144" s="54"/>
      <x:c r="AP144" s="54"/>
      <x:c r="AQ144" s="54"/>
      <x:c r="AR144" s="54"/>
      <x:c r="AS144" s="54"/>
      <x:c r="AT144" s="54"/>
      <x:c r="AU144" s="54"/>
      <x:c r="AV144" s="54"/>
      <x:c r="AW144" s="54"/>
    </x:row>
    <x:row r="145">
      <x:c r="A145" s="54"/>
      <x:c r="B145" s="54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4"/>
      <x:c r="N145" s="54"/>
      <x:c r="O145" s="54"/>
      <x:c r="P145" s="54"/>
      <x:c r="Q145" s="54"/>
      <x:c r="R145" s="54"/>
      <x:c r="S145" s="54"/>
      <x:c r="T145" s="54"/>
      <x:c r="U145" s="54"/>
      <x:c r="V145" s="54"/>
      <x:c r="W145" s="54"/>
      <x:c r="X145" s="54"/>
      <x:c r="Y145" s="54"/>
      <x:c r="Z145" s="54"/>
      <x:c r="AA145" s="54"/>
      <x:c r="AB145" s="54"/>
      <x:c r="AC145" s="54"/>
      <x:c r="AD145" s="54"/>
      <x:c r="AE145" s="54"/>
      <x:c r="AF145" s="54"/>
      <x:c r="AG145" s="54"/>
      <x:c r="AH145" s="54"/>
      <x:c r="AI145" s="54"/>
      <x:c r="AJ145" s="54"/>
      <x:c r="AK145" s="54"/>
      <x:c r="AL145" s="54"/>
      <x:c r="AM145" s="54"/>
      <x:c r="AN145" s="54"/>
      <x:c r="AO145" s="54"/>
      <x:c r="AP145" s="54"/>
      <x:c r="AQ145" s="54"/>
      <x:c r="AR145" s="54"/>
      <x:c r="AS145" s="54"/>
      <x:c r="AT145" s="54"/>
      <x:c r="AU145" s="54"/>
      <x:c r="AV145" s="54"/>
      <x:c r="AW145" s="54"/>
    </x:row>
    <x:row r="146">
      <x:c r="A146" s="54"/>
      <x:c r="B146" s="54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4"/>
      <x:c r="N146" s="54"/>
      <x:c r="O146" s="54"/>
      <x:c r="P146" s="54"/>
      <x:c r="Q146" s="54"/>
      <x:c r="R146" s="54"/>
      <x:c r="S146" s="54"/>
      <x:c r="T146" s="54"/>
      <x:c r="U146" s="54"/>
      <x:c r="V146" s="54"/>
      <x:c r="W146" s="54"/>
      <x:c r="X146" s="54"/>
      <x:c r="Y146" s="54"/>
      <x:c r="Z146" s="54"/>
      <x:c r="AA146" s="54"/>
      <x:c r="AB146" s="54"/>
      <x:c r="AC146" s="54"/>
      <x:c r="AD146" s="54"/>
      <x:c r="AE146" s="54"/>
      <x:c r="AF146" s="54"/>
      <x:c r="AG146" s="54"/>
      <x:c r="AH146" s="54"/>
      <x:c r="AI146" s="54"/>
      <x:c r="AJ146" s="54"/>
      <x:c r="AK146" s="54"/>
      <x:c r="AL146" s="54"/>
      <x:c r="AM146" s="54"/>
      <x:c r="AN146" s="54"/>
      <x:c r="AO146" s="54"/>
      <x:c r="AP146" s="54"/>
      <x:c r="AQ146" s="54"/>
      <x:c r="AR146" s="54"/>
      <x:c r="AS146" s="54"/>
      <x:c r="AT146" s="54"/>
      <x:c r="AU146" s="54"/>
      <x:c r="AV146" s="54"/>
      <x:c r="AW146" s="54"/>
    </x:row>
    <x:row r="147">
      <x:c r="A147" s="54"/>
      <x:c r="B147" s="54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4"/>
      <x:c r="N147" s="54"/>
      <x:c r="O147" s="54"/>
      <x:c r="P147" s="54"/>
      <x:c r="Q147" s="54"/>
      <x:c r="R147" s="54"/>
      <x:c r="S147" s="54"/>
      <x:c r="T147" s="54"/>
      <x:c r="U147" s="54"/>
      <x:c r="V147" s="54"/>
      <x:c r="W147" s="54"/>
      <x:c r="X147" s="54"/>
      <x:c r="Y147" s="54"/>
      <x:c r="Z147" s="54"/>
      <x:c r="AA147" s="54"/>
      <x:c r="AB147" s="54"/>
      <x:c r="AC147" s="54"/>
      <x:c r="AD147" s="54"/>
      <x:c r="AE147" s="54"/>
      <x:c r="AF147" s="54"/>
      <x:c r="AG147" s="54"/>
      <x:c r="AH147" s="54"/>
      <x:c r="AI147" s="54"/>
      <x:c r="AJ147" s="54"/>
      <x:c r="AK147" s="54"/>
      <x:c r="AL147" s="54"/>
      <x:c r="AM147" s="54"/>
      <x:c r="AN147" s="54"/>
      <x:c r="AO147" s="54"/>
      <x:c r="AP147" s="54"/>
      <x:c r="AQ147" s="54"/>
      <x:c r="AR147" s="54"/>
      <x:c r="AS147" s="54"/>
      <x:c r="AT147" s="54"/>
      <x:c r="AU147" s="54"/>
      <x:c r="AV147" s="54"/>
      <x:c r="AW147" s="54"/>
    </x:row>
    <x:row r="148">
      <x:c r="A148" s="54"/>
      <x:c r="B148" s="54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4"/>
      <x:c r="N148" s="54"/>
      <x:c r="O148" s="54"/>
      <x:c r="P148" s="54"/>
      <x:c r="Q148" s="54"/>
      <x:c r="R148" s="54"/>
      <x:c r="S148" s="54"/>
      <x:c r="T148" s="54"/>
      <x:c r="U148" s="54"/>
      <x:c r="V148" s="54"/>
      <x:c r="W148" s="54"/>
      <x:c r="X148" s="54"/>
      <x:c r="Y148" s="54"/>
      <x:c r="Z148" s="54"/>
      <x:c r="AA148" s="54"/>
      <x:c r="AB148" s="54"/>
      <x:c r="AC148" s="54"/>
      <x:c r="AD148" s="54"/>
      <x:c r="AE148" s="54"/>
      <x:c r="AF148" s="54"/>
      <x:c r="AG148" s="54"/>
      <x:c r="AH148" s="54"/>
      <x:c r="AI148" s="54"/>
      <x:c r="AJ148" s="54"/>
      <x:c r="AK148" s="54"/>
      <x:c r="AL148" s="54"/>
      <x:c r="AM148" s="54"/>
      <x:c r="AN148" s="54"/>
      <x:c r="AO148" s="54"/>
      <x:c r="AP148" s="54"/>
      <x:c r="AQ148" s="54"/>
      <x:c r="AR148" s="54"/>
      <x:c r="AS148" s="54"/>
      <x:c r="AT148" s="54"/>
      <x:c r="AU148" s="54"/>
      <x:c r="AV148" s="54"/>
      <x:c r="AW148" s="54"/>
    </x:row>
    <x:row r="149">
      <x:c r="A149" s="54"/>
      <x:c r="B149" s="54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4"/>
      <x:c r="S149" s="54"/>
      <x:c r="T149" s="54"/>
      <x:c r="U149" s="54"/>
      <x:c r="V149" s="54"/>
      <x:c r="W149" s="54"/>
      <x:c r="X149" s="54"/>
      <x:c r="Y149" s="54"/>
      <x:c r="Z149" s="54"/>
      <x:c r="AA149" s="54"/>
      <x:c r="AB149" s="54"/>
      <x:c r="AC149" s="54"/>
      <x:c r="AD149" s="54"/>
      <x:c r="AE149" s="54"/>
      <x:c r="AF149" s="54"/>
      <x:c r="AG149" s="54"/>
      <x:c r="AH149" s="54"/>
      <x:c r="AI149" s="54"/>
      <x:c r="AJ149" s="54"/>
      <x:c r="AK149" s="54"/>
      <x:c r="AL149" s="54"/>
      <x:c r="AM149" s="54"/>
      <x:c r="AN149" s="54"/>
      <x:c r="AO149" s="54"/>
      <x:c r="AP149" s="54"/>
      <x:c r="AQ149" s="54"/>
      <x:c r="AR149" s="54"/>
      <x:c r="AS149" s="54"/>
      <x:c r="AT149" s="54"/>
      <x:c r="AU149" s="54"/>
      <x:c r="AV149" s="54"/>
      <x:c r="AW149" s="54"/>
    </x:row>
    <x:row r="150">
      <x:c r="A150" s="54"/>
      <x:c r="B150" s="54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4"/>
      <x:c r="N150" s="54"/>
      <x:c r="O150" s="54"/>
      <x:c r="P150" s="54"/>
      <x:c r="Q150" s="54"/>
      <x:c r="R150" s="54"/>
      <x:c r="S150" s="54"/>
      <x:c r="T150" s="54"/>
      <x:c r="U150" s="54"/>
      <x:c r="V150" s="54"/>
      <x:c r="W150" s="54"/>
      <x:c r="X150" s="54"/>
      <x:c r="Y150" s="54"/>
      <x:c r="Z150" s="54"/>
      <x:c r="AA150" s="54"/>
      <x:c r="AB150" s="54"/>
      <x:c r="AC150" s="54"/>
      <x:c r="AD150" s="54"/>
      <x:c r="AE150" s="54"/>
      <x:c r="AF150" s="54"/>
      <x:c r="AG150" s="54"/>
      <x:c r="AH150" s="54"/>
      <x:c r="AI150" s="54"/>
      <x:c r="AJ150" s="54"/>
      <x:c r="AK150" s="54"/>
      <x:c r="AL150" s="54"/>
      <x:c r="AM150" s="54"/>
      <x:c r="AN150" s="54"/>
      <x:c r="AO150" s="54"/>
      <x:c r="AP150" s="54"/>
      <x:c r="AQ150" s="54"/>
      <x:c r="AR150" s="54"/>
      <x:c r="AS150" s="54"/>
      <x:c r="AT150" s="54"/>
      <x:c r="AU150" s="54"/>
      <x:c r="AV150" s="54"/>
      <x:c r="AW150" s="54"/>
    </x:row>
    <x:row r="151">
      <x:c r="A151" s="54"/>
      <x:c r="B151" s="54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4"/>
      <x:c r="N151" s="54"/>
      <x:c r="O151" s="54"/>
      <x:c r="P151" s="54"/>
      <x:c r="Q151" s="54"/>
      <x:c r="R151" s="54"/>
      <x:c r="S151" s="54"/>
      <x:c r="T151" s="54"/>
      <x:c r="U151" s="54"/>
      <x:c r="V151" s="54"/>
      <x:c r="W151" s="54"/>
      <x:c r="X151" s="54"/>
      <x:c r="Y151" s="54"/>
      <x:c r="Z151" s="54"/>
      <x:c r="AA151" s="54"/>
      <x:c r="AB151" s="54"/>
      <x:c r="AC151" s="54"/>
      <x:c r="AD151" s="54"/>
      <x:c r="AE151" s="54"/>
      <x:c r="AF151" s="54"/>
      <x:c r="AG151" s="54"/>
      <x:c r="AH151" s="54"/>
      <x:c r="AI151" s="54"/>
      <x:c r="AJ151" s="54"/>
      <x:c r="AK151" s="54"/>
      <x:c r="AL151" s="54"/>
      <x:c r="AM151" s="54"/>
      <x:c r="AN151" s="54"/>
      <x:c r="AO151" s="54"/>
      <x:c r="AP151" s="54"/>
      <x:c r="AQ151" s="54"/>
      <x:c r="AR151" s="54"/>
      <x:c r="AS151" s="54"/>
      <x:c r="AT151" s="54"/>
      <x:c r="AU151" s="54"/>
      <x:c r="AV151" s="54"/>
      <x:c r="AW151" s="54"/>
    </x:row>
    <x:row r="152">
      <x:c r="A152" s="54"/>
      <x:c r="B152" s="54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4"/>
      <x:c r="N152" s="54"/>
      <x:c r="O152" s="54"/>
      <x:c r="P152" s="54"/>
      <x:c r="Q152" s="54"/>
      <x:c r="R152" s="54"/>
      <x:c r="S152" s="54"/>
      <x:c r="T152" s="54"/>
      <x:c r="U152" s="54"/>
      <x:c r="V152" s="54"/>
      <x:c r="W152" s="54"/>
      <x:c r="X152" s="54"/>
      <x:c r="Y152" s="54"/>
      <x:c r="Z152" s="54"/>
      <x:c r="AA152" s="54"/>
      <x:c r="AB152" s="54"/>
      <x:c r="AC152" s="54"/>
      <x:c r="AD152" s="54"/>
      <x:c r="AE152" s="54"/>
      <x:c r="AF152" s="54"/>
      <x:c r="AG152" s="54"/>
      <x:c r="AH152" s="54"/>
      <x:c r="AI152" s="54"/>
      <x:c r="AJ152" s="54"/>
      <x:c r="AK152" s="54"/>
      <x:c r="AL152" s="54"/>
      <x:c r="AM152" s="54"/>
      <x:c r="AN152" s="54"/>
      <x:c r="AO152" s="54"/>
      <x:c r="AP152" s="54"/>
      <x:c r="AQ152" s="54"/>
      <x:c r="AR152" s="54"/>
      <x:c r="AS152" s="54"/>
      <x:c r="AT152" s="54"/>
      <x:c r="AU152" s="54"/>
      <x:c r="AV152" s="54"/>
      <x:c r="AW152" s="54"/>
    </x:row>
    <x:row r="153">
      <x:c r="A153" s="54"/>
      <x:c r="B153" s="54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4"/>
      <x:c r="N153" s="54"/>
      <x:c r="O153" s="54"/>
      <x:c r="P153" s="54"/>
      <x:c r="Q153" s="54"/>
      <x:c r="R153" s="54"/>
      <x:c r="S153" s="54"/>
      <x:c r="T153" s="54"/>
      <x:c r="U153" s="54"/>
      <x:c r="V153" s="54"/>
      <x:c r="W153" s="54"/>
      <x:c r="X153" s="54"/>
      <x:c r="Y153" s="54"/>
      <x:c r="Z153" s="54"/>
      <x:c r="AA153" s="54"/>
      <x:c r="AB153" s="54"/>
      <x:c r="AC153" s="54"/>
      <x:c r="AD153" s="54"/>
      <x:c r="AE153" s="54"/>
      <x:c r="AF153" s="54"/>
      <x:c r="AG153" s="54"/>
      <x:c r="AH153" s="54"/>
      <x:c r="AI153" s="54"/>
      <x:c r="AJ153" s="54"/>
      <x:c r="AK153" s="54"/>
      <x:c r="AL153" s="54"/>
      <x:c r="AM153" s="54"/>
      <x:c r="AN153" s="54"/>
      <x:c r="AO153" s="54"/>
      <x:c r="AP153" s="54"/>
      <x:c r="AQ153" s="54"/>
      <x:c r="AR153" s="54"/>
      <x:c r="AS153" s="54"/>
      <x:c r="AT153" s="54"/>
      <x:c r="AU153" s="54"/>
      <x:c r="AV153" s="54"/>
      <x:c r="AW153" s="54"/>
    </x:row>
    <x:row r="154">
      <x:c r="A154" s="54"/>
      <x:c r="B154" s="54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4"/>
      <x:c r="N154" s="54"/>
      <x:c r="O154" s="54"/>
      <x:c r="P154" s="54"/>
      <x:c r="Q154" s="54"/>
      <x:c r="R154" s="54"/>
      <x:c r="S154" s="54"/>
      <x:c r="T154" s="54"/>
      <x:c r="U154" s="54"/>
      <x:c r="V154" s="54"/>
      <x:c r="W154" s="54"/>
      <x:c r="X154" s="54"/>
      <x:c r="Y154" s="54"/>
      <x:c r="Z154" s="54"/>
      <x:c r="AA154" s="54"/>
      <x:c r="AB154" s="54"/>
      <x:c r="AC154" s="54"/>
      <x:c r="AD154" s="54"/>
      <x:c r="AE154" s="54"/>
      <x:c r="AF154" s="54"/>
      <x:c r="AG154" s="54"/>
      <x:c r="AH154" s="54"/>
      <x:c r="AI154" s="54"/>
      <x:c r="AJ154" s="54"/>
      <x:c r="AK154" s="54"/>
      <x:c r="AL154" s="54"/>
      <x:c r="AM154" s="54"/>
      <x:c r="AN154" s="54"/>
      <x:c r="AO154" s="54"/>
      <x:c r="AP154" s="54"/>
      <x:c r="AQ154" s="54"/>
      <x:c r="AR154" s="54"/>
      <x:c r="AS154" s="54"/>
      <x:c r="AT154" s="54"/>
      <x:c r="AU154" s="54"/>
      <x:c r="AV154" s="54"/>
      <x:c r="AW154" s="54"/>
    </x:row>
    <x:row r="155">
      <x:c r="A155" s="54"/>
      <x:c r="B155" s="54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4"/>
      <x:c r="N155" s="54"/>
      <x:c r="O155" s="54"/>
      <x:c r="P155" s="54"/>
      <x:c r="Q155" s="54"/>
      <x:c r="R155" s="54"/>
      <x:c r="S155" s="54"/>
      <x:c r="T155" s="54"/>
      <x:c r="U155" s="54"/>
      <x:c r="V155" s="54"/>
      <x:c r="W155" s="54"/>
      <x:c r="X155" s="54"/>
      <x:c r="Y155" s="54"/>
      <x:c r="Z155" s="54"/>
      <x:c r="AA155" s="54"/>
      <x:c r="AB155" s="54"/>
      <x:c r="AC155" s="54"/>
      <x:c r="AD155" s="54"/>
      <x:c r="AE155" s="54"/>
      <x:c r="AF155" s="54"/>
      <x:c r="AG155" s="54"/>
      <x:c r="AH155" s="54"/>
      <x:c r="AI155" s="54"/>
      <x:c r="AJ155" s="54"/>
      <x:c r="AK155" s="54"/>
      <x:c r="AL155" s="54"/>
      <x:c r="AM155" s="54"/>
      <x:c r="AN155" s="54"/>
      <x:c r="AO155" s="54"/>
      <x:c r="AP155" s="54"/>
      <x:c r="AQ155" s="54"/>
      <x:c r="AR155" s="54"/>
      <x:c r="AS155" s="54"/>
      <x:c r="AT155" s="54"/>
      <x:c r="AU155" s="54"/>
      <x:c r="AV155" s="54"/>
      <x:c r="AW155" s="54"/>
    </x:row>
    <x:row r="156">
      <x:c r="A156" s="54"/>
      <x:c r="B156" s="54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4"/>
      <x:c r="N156" s="54"/>
      <x:c r="O156" s="54"/>
      <x:c r="P156" s="54"/>
      <x:c r="Q156" s="54"/>
      <x:c r="R156" s="54"/>
      <x:c r="S156" s="54"/>
      <x:c r="T156" s="54"/>
      <x:c r="U156" s="54"/>
      <x:c r="V156" s="54"/>
      <x:c r="W156" s="54"/>
      <x:c r="X156" s="54"/>
      <x:c r="Y156" s="54"/>
      <x:c r="Z156" s="54"/>
      <x:c r="AA156" s="54"/>
      <x:c r="AB156" s="54"/>
      <x:c r="AC156" s="54"/>
      <x:c r="AD156" s="54"/>
      <x:c r="AE156" s="54"/>
      <x:c r="AF156" s="54"/>
      <x:c r="AG156" s="54"/>
      <x:c r="AH156" s="54"/>
      <x:c r="AI156" s="54"/>
      <x:c r="AJ156" s="54"/>
      <x:c r="AK156" s="54"/>
      <x:c r="AL156" s="54"/>
      <x:c r="AM156" s="54"/>
      <x:c r="AN156" s="54"/>
      <x:c r="AO156" s="54"/>
      <x:c r="AP156" s="54"/>
      <x:c r="AQ156" s="54"/>
      <x:c r="AR156" s="54"/>
      <x:c r="AS156" s="54"/>
      <x:c r="AT156" s="54"/>
      <x:c r="AU156" s="54"/>
      <x:c r="AV156" s="54"/>
      <x:c r="AW156" s="54"/>
    </x:row>
    <x:row r="157">
      <x:c r="A157" s="54"/>
      <x:c r="B157" s="54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4"/>
      <x:c r="N157" s="54"/>
      <x:c r="O157" s="54"/>
      <x:c r="P157" s="54"/>
      <x:c r="Q157" s="54"/>
      <x:c r="R157" s="54"/>
      <x:c r="S157" s="54"/>
      <x:c r="T157" s="54"/>
      <x:c r="U157" s="54"/>
      <x:c r="V157" s="54"/>
      <x:c r="W157" s="54"/>
      <x:c r="X157" s="54"/>
      <x:c r="Y157" s="54"/>
      <x:c r="Z157" s="54"/>
      <x:c r="AA157" s="54"/>
      <x:c r="AB157" s="54"/>
      <x:c r="AC157" s="54"/>
      <x:c r="AD157" s="54"/>
      <x:c r="AE157" s="54"/>
      <x:c r="AF157" s="54"/>
      <x:c r="AG157" s="54"/>
      <x:c r="AH157" s="54"/>
      <x:c r="AI157" s="54"/>
      <x:c r="AJ157" s="54"/>
      <x:c r="AK157" s="54"/>
      <x:c r="AL157" s="54"/>
      <x:c r="AM157" s="54"/>
      <x:c r="AN157" s="54"/>
      <x:c r="AO157" s="54"/>
      <x:c r="AP157" s="54"/>
      <x:c r="AQ157" s="54"/>
      <x:c r="AR157" s="54"/>
      <x:c r="AS157" s="54"/>
      <x:c r="AT157" s="54"/>
      <x:c r="AU157" s="54"/>
      <x:c r="AV157" s="54"/>
      <x:c r="AW157" s="54"/>
    </x:row>
    <x:row r="158">
      <x:c r="A158" s="54"/>
      <x:c r="B158" s="54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4"/>
      <x:c r="N158" s="54"/>
      <x:c r="O158" s="54"/>
      <x:c r="P158" s="54"/>
      <x:c r="Q158" s="54"/>
      <x:c r="R158" s="54"/>
      <x:c r="S158" s="54"/>
      <x:c r="T158" s="54"/>
      <x:c r="U158" s="54"/>
      <x:c r="V158" s="54"/>
      <x:c r="W158" s="54"/>
      <x:c r="X158" s="54"/>
      <x:c r="Y158" s="54"/>
      <x:c r="Z158" s="54"/>
      <x:c r="AA158" s="54"/>
      <x:c r="AB158" s="54"/>
      <x:c r="AC158" s="54"/>
      <x:c r="AD158" s="54"/>
      <x:c r="AE158" s="54"/>
      <x:c r="AF158" s="54"/>
      <x:c r="AG158" s="54"/>
      <x:c r="AH158" s="54"/>
      <x:c r="AI158" s="54"/>
      <x:c r="AJ158" s="54"/>
      <x:c r="AK158" s="54"/>
      <x:c r="AL158" s="54"/>
      <x:c r="AM158" s="54"/>
      <x:c r="AN158" s="54"/>
      <x:c r="AO158" s="54"/>
      <x:c r="AP158" s="54"/>
      <x:c r="AQ158" s="54"/>
      <x:c r="AR158" s="54"/>
      <x:c r="AS158" s="54"/>
      <x:c r="AT158" s="54"/>
      <x:c r="AU158" s="54"/>
      <x:c r="AV158" s="54"/>
      <x:c r="AW158" s="54"/>
    </x:row>
    <x:row r="159">
      <x:c r="A159" s="54"/>
      <x:c r="B159" s="54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4"/>
      <x:c r="N159" s="54"/>
      <x:c r="O159" s="54"/>
      <x:c r="P159" s="54"/>
      <x:c r="Q159" s="54"/>
      <x:c r="R159" s="54"/>
      <x:c r="S159" s="54"/>
      <x:c r="T159" s="54"/>
      <x:c r="U159" s="54"/>
      <x:c r="V159" s="54"/>
      <x:c r="W159" s="54"/>
      <x:c r="X159" s="54"/>
      <x:c r="Y159" s="54"/>
      <x:c r="Z159" s="54"/>
      <x:c r="AA159" s="54"/>
      <x:c r="AB159" s="54"/>
      <x:c r="AC159" s="54"/>
      <x:c r="AD159" s="54"/>
      <x:c r="AE159" s="54"/>
      <x:c r="AF159" s="54"/>
      <x:c r="AG159" s="54"/>
      <x:c r="AH159" s="54"/>
      <x:c r="AI159" s="54"/>
      <x:c r="AJ159" s="54"/>
      <x:c r="AK159" s="54"/>
      <x:c r="AL159" s="54"/>
      <x:c r="AM159" s="54"/>
      <x:c r="AN159" s="54"/>
      <x:c r="AO159" s="54"/>
      <x:c r="AP159" s="54"/>
      <x:c r="AQ159" s="54"/>
      <x:c r="AR159" s="54"/>
      <x:c r="AS159" s="54"/>
      <x:c r="AT159" s="54"/>
      <x:c r="AU159" s="54"/>
      <x:c r="AV159" s="54"/>
      <x:c r="AW159" s="54"/>
    </x:row>
    <x:row r="160">
      <x:c r="A160" s="54"/>
      <x:c r="B160" s="54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4"/>
      <x:c r="N160" s="54"/>
      <x:c r="O160" s="54"/>
      <x:c r="P160" s="54"/>
      <x:c r="Q160" s="54"/>
      <x:c r="R160" s="54"/>
      <x:c r="S160" s="54"/>
      <x:c r="T160" s="54"/>
      <x:c r="U160" s="54"/>
      <x:c r="V160" s="54"/>
      <x:c r="W160" s="54"/>
      <x:c r="X160" s="54"/>
      <x:c r="Y160" s="54"/>
      <x:c r="Z160" s="54"/>
      <x:c r="AA160" s="54"/>
      <x:c r="AB160" s="54"/>
      <x:c r="AC160" s="54"/>
      <x:c r="AD160" s="54"/>
      <x:c r="AE160" s="54"/>
      <x:c r="AF160" s="54"/>
      <x:c r="AG160" s="54"/>
      <x:c r="AH160" s="54"/>
      <x:c r="AI160" s="54"/>
      <x:c r="AJ160" s="54"/>
      <x:c r="AK160" s="54"/>
      <x:c r="AL160" s="54"/>
      <x:c r="AM160" s="54"/>
      <x:c r="AN160" s="54"/>
      <x:c r="AO160" s="54"/>
      <x:c r="AP160" s="54"/>
      <x:c r="AQ160" s="54"/>
      <x:c r="AR160" s="54"/>
      <x:c r="AS160" s="54"/>
      <x:c r="AT160" s="54"/>
      <x:c r="AU160" s="54"/>
      <x:c r="AV160" s="54"/>
      <x:c r="AW160" s="54"/>
    </x:row>
  </x:sheetData>
  <x:pageMargins left="0.7" right="0.7" top="0.75" bottom="0.75" header="0.3" footer="0.3"/>
</x:worksheet>
</file>