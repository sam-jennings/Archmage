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ASSUMPTIONS" sheetId="2" state="visible" r:id="rId4"/>
    <sheet name="TURN BUDGET" sheetId="3" state="visible" r:id="rId5"/>
    <sheet name="CARD FEASIBILITY" sheetId="4" state="visible" r:id="rId6"/>
    <sheet name="ENCHANTMENT WINDOW" sheetId="5" state="visible" r:id="rId7"/>
    <sheet name="GAME LENGTH &amp; DROUGHT" sheetId="6" state="visible" r:id="rId8"/>
    <sheet name="LEVER TEST" sheetId="7" state="visible" r:id="rId9"/>
    <sheet name="PATH OPPORTUNITY COST" sheetId="8" state="visible" r:id="rId10"/>
    <sheet name="SCORING EFFICIENCY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<sst xmlns="http://schemas.openxmlformats.org/spreadsheetml/2006/main" count="156" uniqueCount="149">
  <si>
    <t xml:space="preserve">Archmage Ascension — Economy Model</t>
  </si>
  <si>
    <t xml:space="preserve">What this answers</t>
  </si>
  <si>
    <t xml:space="preserve">Why is Enchantment pursuit non-viable, and which rule lever fixes it — settled on paper before spending a live playtest on it.</t>
  </si>
  <si>
    <t xml:space="preserve">How to use it</t>
  </si>
  <si>
    <t xml:space="preserve">1. Open the ASSUMPTIONS sheet. The blue cells are yours to change — draw rate per turn, enchantment acquisition cost, and the capacity gain.</t>
  </si>
  <si>
    <t xml:space="preserve">2. Every other sheet recalculates from those. Nothing else needs editing.</t>
  </si>
  <si>
    <t xml:space="preserve">3. Blue = your inputs.  Black = calculated.  Green = pulled from another sheet.  Yellow = the key lever to play with.</t>
  </si>
  <si>
    <t xml:space="preserve">The sheets</t>
  </si>
  <si>
    <t xml:space="preserve">TURN BUDGET — how many turns players get before the Drought, by player count and casting aggression. The runway everything else is measured against.</t>
  </si>
  <si>
    <t xml:space="preserve">CARD FEASIBILITY — can you even draw a 3-of-a-value enchantment? Monte-Carlo probabilities by cards held. The second, independent bottleneck.</t>
  </si>
  <si>
    <t xml:space="preserve">ENCHANTMENT WINDOW — the action-cost catch-22: does the +1 capacity pay back inside the runway? Negative window = it never can.</t>
  </si>
  <si>
    <t xml:space="preserve">GAME LENGTH &amp; DROUGHT — estimated play time and Drought length per player count; flags whether the game holds its 30-60 min promise at every count.</t>
  </si>
  <si>
    <t xml:space="preserve">LEVER TEST — vary the partial-unlearn acquisition cost and watch the enchantment window open or stay shut.</t>
  </si>
  <si>
    <t xml:space="preserve">PATH OPPORTUNITY COST — what one learning action buys on each spell path, so you can see what chasing an enchantment gives up.</t>
  </si>
  <si>
    <t xml:space="preserve">SCORING EFFICIENCY — RP-density of each path; reveals whether one spell type strictly dominates the four-path promise.</t>
  </si>
  <si>
    <t xml:space="preserve">What the model is NOT</t>
  </si>
  <si>
    <t xml:space="preserve">It models structural feasibility — turn-economy, card odds, length, scoring density. It does NOT tell you if the result is fun, or capture real in-hand play (cards get played away, not hoarded). Those need a live playtest. The point is to settle the numbers BEFORE spending one.</t>
  </si>
  <si>
    <t xml:space="preserve">Sources: rulebook v2.8, Scoring System Reference v2.8; Card Feasibility from Monte-Carlo sim (80k trials/cell). Overhead anchor: Playtest Session 3 (2026-05-03).</t>
  </si>
  <si>
    <t xml:space="preserve">Assumptions — edit the blue / yellow cells</t>
  </si>
  <si>
    <t xml:space="preserve">Parameter</t>
  </si>
  <si>
    <t xml:space="preserve">Value</t>
  </si>
  <si>
    <t xml:space="preserve">Note</t>
  </si>
  <si>
    <t xml:space="preserve">Cards per energy type (2-4p deck)</t>
  </si>
  <si>
    <t xml:space="preserve">4 energies × this + 2 wild = small deck</t>
  </si>
  <si>
    <t xml:space="preserve">Cards per energy type (5-7p deck)</t>
  </si>
  <si>
    <t xml:space="preserve">4 energies × this + 4 wild = large deck</t>
  </si>
  <si>
    <t xml:space="preserve">Wild cards (small deck)</t>
  </si>
  <si>
    <t xml:space="preserve">Wild cards (large deck)</t>
  </si>
  <si>
    <t xml:space="preserve">Array size (face-up)</t>
  </si>
  <si>
    <t xml:space="preserve">Cards reserved face-up at setup</t>
  </si>
  <si>
    <t xml:space="preserve">Starting hand per player</t>
  </si>
  <si>
    <t xml:space="preserve">Dealt at setup</t>
  </si>
  <si>
    <t xml:space="preserve">Behaviour levers (play with these)</t>
  </si>
  <si>
    <t xml:space="preserve">Source draw per player-turn  (d)</t>
  </si>
  <si>
    <t xml:space="preserve">1 = collection only · 2 = +1 conjuration avg · 3 = aggressive casting</t>
  </si>
  <si>
    <t xml:space="preserve">Enchantment acquisition cost (turns)</t>
  </si>
  <si>
    <t xml:space="preserve">Turns to pivot a committed spellbook into a 3-comp enchantment. Session 3 observed 2-3. THE partial-unlearn lever lowers this.</t>
  </si>
  <si>
    <t xml:space="preserve">Capacity gained per 3-comp ench.</t>
  </si>
  <si>
    <t xml:space="preserve">+1 counter = +1 cast AND +1 learning action every later turn</t>
  </si>
  <si>
    <t xml:space="preserve">RP from a 3-comp enchantment</t>
  </si>
  <si>
    <t xml:space="preserve">From Scoring Reference v2.8</t>
  </si>
  <si>
    <t xml:space="preserve">Legend</t>
  </si>
  <si>
    <t xml:space="preserve">Blue = your input</t>
  </si>
  <si>
    <t xml:space="preserve">Yellow = key lever</t>
  </si>
  <si>
    <t xml:space="preserve">Black = calculated</t>
  </si>
  <si>
    <t xml:space="preserve">Green = from another sheet</t>
  </si>
  <si>
    <t xml:space="preserve">Game-length / Drought inputs</t>
  </si>
  <si>
    <t xml:space="preserve">Avg seconds per player-turn</t>
  </si>
  <si>
    <t xml:space="preserve">Rough table pace incl. downtime; tune from a timed session</t>
  </si>
  <si>
    <t xml:space="preserve">Target length — min (minutes)</t>
  </si>
  <si>
    <t xml:space="preserve">Lower bound of the design promise</t>
  </si>
  <si>
    <t xml:space="preserve">Target length — max (minutes)</t>
  </si>
  <si>
    <t xml:space="preserve">Upper bound of the design promise</t>
  </si>
  <si>
    <t xml:space="preserve">Cards discarded to Reserve / player-turn</t>
  </si>
  <si>
    <t xml:space="preserve">Feeds the Drought pool. ~Transfiguration discards; rough — tune from a session</t>
  </si>
  <si>
    <t xml:space="preserve">Turn Budget — how many turns players actually get</t>
  </si>
  <si>
    <t xml:space="preserve">Rounds to Drought = Source ÷ (draw-per-turn × players). Each round = one turn per player, so rounds ≈ turns per player.</t>
  </si>
  <si>
    <t xml:space="preserve">Players</t>
  </si>
  <si>
    <t xml:space="preserve">Deck</t>
  </si>
  <si>
    <t xml:space="preserve">Source</t>
  </si>
  <si>
    <t xml:space="preserve">Rounds d=1</t>
  </si>
  <si>
    <t xml:space="preserve">Rounds d=2</t>
  </si>
  <si>
    <t xml:space="preserve">Rounds d=3</t>
  </si>
  <si>
    <t xml:space="preserve">Rounds @ your d</t>
  </si>
  <si>
    <t xml:space="preserve">Turns/player @ your d</t>
  </si>
  <si>
    <t xml:space="preserve">Read: at 5+ players with any real casting (d=2-3), each player gets only ~3-4 turns total. That is the runway every enchantment must pay back inside.</t>
  </si>
  <si>
    <t xml:space="preserve">Card Feasibility — can you even draw the cards?</t>
  </si>
  <si>
    <t xml:space="preserve">The second bottleneck the turn-economy ignored. A 3-comp enchantment needs 3 cards of the SAME value (different energies); only 4 of each value exist. P = chance a hand of n held cards contains a usable 3-of-a-value (or 4-of-a-value), wilds included.</t>
  </si>
  <si>
    <t xml:space="preserve">Small deck (2-4 players · 15 values · 2 wild)</t>
  </si>
  <si>
    <t xml:space="preserve">Large deck (5-7 players · 20 values · 4 wild)</t>
  </si>
  <si>
    <t xml:space="preserve">Cards held</t>
  </si>
  <si>
    <t xml:space="preserve">P(3-of-a-value)</t>
  </si>
  <si>
    <t xml:space="preserve">P(4-of-a-value)</t>
  </si>
  <si>
    <t xml:space="preserve">Expected cards HELD to first reach a 3-of-a-value:</t>
  </si>
  <si>
    <t xml:space="preserve">Small ≈ 12.2   |   Large ≈ 12.8</t>
  </si>
  <si>
    <t xml:space="preserve">Expected cards HELD to first reach a 4-of-a-value:</t>
  </si>
  <si>
    <t xml:space="preserve">Small ≈ 20.5   |   Large ≈ 20.9  (≈ hoard the whole game)</t>
  </si>
  <si>
    <t xml:space="preserve">Read: a 7-card opening hand has only ~18% chance of ANY 3-of-a-value, and you start at 7 then draw ~1/turn while playing cards away — so you rarely HOLD more than 7-9. You need ~12 held cards for a coin-flip. This is a SECOND, independent bottleneck: even with free partial-unlearn (LEVER TEST), the cards to build an enchantment usually are not in hand. The 4-comp "unlimited capacity" enchantment is near-impossible (~1-2% at hand size 7; needs ~20 held). Levers that attack this instead of action-cost: more wilds, a dedicated "matching" draw/swap action, or making enchantments need fewer matching cards.</t>
  </si>
  <si>
    <t xml:space="preserve">Source: Monte Carlo, 80k trials/cell (sim.py, seed 42). Hand = uniform random draw without replacement; wilds substitute any value.</t>
  </si>
  <si>
    <t xml:space="preserve">Enchantment Window — the catch-22, quantified</t>
  </si>
  <si>
    <t xml:space="preserve">A 3-comp enchantment GIVES +1 capacity, but you need capacity to afford the multi-turn pivot to GET it. Spent actions ≈ acquisition cost A. Pay-back = A ÷ capacity-gain turns of the +1 action. Window width = Rounds − (A + payback). If ≤ 0, an enchantment can never pay for itself.</t>
  </si>
  <si>
    <t xml:space="preserve">Acq. cost A (turns)</t>
  </si>
  <si>
    <t xml:space="preserve">Payback (turns)</t>
  </si>
  <si>
    <t xml:space="preserve">Total commitment</t>
  </si>
  <si>
    <t xml:space="preserve">Window width</t>
  </si>
  <si>
    <t xml:space="preserve">Worth pursuing?</t>
  </si>
  <si>
    <t xml:space="preserve">With A=3 (Session-3 reality) the window is negative at 4-7 players: the maths say first-enchantment pursuit cannot pay back — matching Session 3, where only 2 of 5 players ever learned one. Drop A on the LEVER TEST sheet to see the window open.</t>
  </si>
  <si>
    <t xml:space="preserve">Game Length &amp; Drought — is it the same game at every count?</t>
  </si>
  <si>
    <t xml:space="preserve">Main phase ends when the Source empties; the Drought then runs on the Released Reserve (Array + all discards). Because the Reserve is fed by play, the Drought tail partly self-balances — but per-turn experience still differs. Time = total player-turns × sec/turn.</t>
  </si>
  <si>
    <t xml:space="preserve">Main rounds</t>
  </si>
  <si>
    <t xml:space="preserve">Drought pool</t>
  </si>
  <si>
    <t xml:space="preserve">Drought rounds</t>
  </si>
  <si>
    <t xml:space="preserve">Total rounds</t>
  </si>
  <si>
    <t xml:space="preserve">Player-turns</t>
  </si>
  <si>
    <t xml:space="preserve">Est. minutes</t>
  </si>
  <si>
    <t xml:space="preserve">In target?</t>
  </si>
  <si>
    <t xml:space="preserve">Two things to watch: (1) the Drought can run as long as the main game because it is fed by discards — if that feels like a slog, the discard rate or the cap is the lever; (2) compare "main rounds" across counts — a 2-player game is a long builder, a 6-7 player game is a short sprint. Decide if that spread is acceptable or if the deck/Source should scale differently.</t>
  </si>
  <si>
    <t xml:space="preserve">Lever Test — does partial-unlearn open the window?</t>
  </si>
  <si>
    <t xml:space="preserve">The candidate fix: allow partial unlearning so pivoting to an enchantment costs fewer turns. This sheet holds your draw-rate d fixed and varies acquisition cost A = 3 (today) / 2 / 1 (full partial-unlearn). Window width = Rounds − 2A (with capacity-gain = 1). Green = enchantments become a real strategy.</t>
  </si>
  <si>
    <t xml:space="preserve">Window @ A=3</t>
  </si>
  <si>
    <t xml:space="preserve">Window @ A=2</t>
  </si>
  <si>
    <t xml:space="preserve">Window @ A=1</t>
  </si>
  <si>
    <t xml:space="preserve">What changes</t>
  </si>
  <si>
    <t xml:space="preserve">small games already fine</t>
  </si>
  <si>
    <t xml:space="preserve">4p flips negative→positive</t>
  </si>
  <si>
    <t xml:space="preserve">5p: shut at A=3, opens at A=1</t>
  </si>
  <si>
    <t xml:space="preserve">tightest — needs A=1</t>
  </si>
  <si>
    <t xml:space="preserve">Verdict to test live: reducing the pivot to A=1 (full partial-unlearn) is the single lever that turns enchantments green at every player count. A=2 helps the small games but leaves 5-7p marginal. Take A=1 into the next playtest as the hypothesis; this sheet says it should work — the session confirms whether it FEELS right and whether it destabilises conjurations/transfigurations.</t>
  </si>
  <si>
    <t xml:space="preserve">Path Opportunity Cost — what one learning action buys</t>
  </si>
  <si>
    <t xml:space="preserve">Each EMPOWER adds one card for one learning action. The marginal RP is what a player gives up by spending that action on an enchantment pivot instead.</t>
  </si>
  <si>
    <t xml:space="preserve">Grow spell from→to size</t>
  </si>
  <si>
    <t xml:space="preserve">Conjuration</t>
  </si>
  <si>
    <t xml:space="preserve">Transfig.</t>
  </si>
  <si>
    <t xml:space="preserve">Perfect Tr.</t>
  </si>
  <si>
    <t xml:space="preserve">vs. Enchantment</t>
  </si>
  <si>
    <t xml:space="preserve">3 → 4</t>
  </si>
  <si>
    <t xml:space="preserve">Learn 3-comp ench. (one action):</t>
  </si>
  <si>
    <t xml:space="preserve">4 → 5</t>
  </si>
  <si>
    <t xml:space="preserve">→ +6 RP  +1 counter (capacity)</t>
  </si>
  <si>
    <t xml:space="preserve">5 → 6</t>
  </si>
  <si>
    <t xml:space="preserve">RP per action at A=1: 6.0</t>
  </si>
  <si>
    <t xml:space="preserve">6 → 7</t>
  </si>
  <si>
    <t xml:space="preserve">RP per action at A=2: 3.0</t>
  </si>
  <si>
    <t xml:space="preserve">7 → 8</t>
  </si>
  <si>
    <t xml:space="preserve">RP per action at A=3: 2.0</t>
  </si>
  <si>
    <t xml:space="preserve">8 → 9</t>
  </si>
  <si>
    <t xml:space="preserve">(plus the compounding capacity, if</t>
  </si>
  <si>
    <t xml:space="preserve">9 → 10</t>
  </si>
  <si>
    <t xml:space="preserve">the window in sheet 4 is positive)</t>
  </si>
  <si>
    <t xml:space="preserve">10 → 11</t>
  </si>
  <si>
    <t xml:space="preserve">11 → 12</t>
  </si>
  <si>
    <t xml:space="preserve">12 → 13</t>
  </si>
  <si>
    <t xml:space="preserve">13 → 14</t>
  </si>
  <si>
    <t xml:space="preserve">14 → 15</t>
  </si>
  <si>
    <t xml:space="preserve">Read: at A=3 the enchantment yields ~2 RP per action — worse than empowering almost any spell, AND the capacity never pays back. At A=1 it yields 6 RP per action plus compounding capacity — the best action on the board. The acquisition cost is the whole game.</t>
  </si>
  <si>
    <t xml:space="preserve">Scoring Efficiency — is one path strictly best?</t>
  </si>
  <si>
    <t xml:space="preserve">Left: Recognition Points by size (inputs, from Scoring Reference v2.8). Right: RP per component — the density of each path. If one path dominates the density curve, your "four viable paths" is really one path plus three traps.</t>
  </si>
  <si>
    <t xml:space="preserve">Size</t>
  </si>
  <si>
    <t xml:space="preserve">Conj</t>
  </si>
  <si>
    <t xml:space="preserve">Trans</t>
  </si>
  <si>
    <t xml:space="preserve">PerfTr</t>
  </si>
  <si>
    <t xml:space="preserve">Conj /comp</t>
  </si>
  <si>
    <t xml:space="preserve">Trans /comp</t>
  </si>
  <si>
    <t xml:space="preserve">PerfTr /comp</t>
  </si>
  <si>
    <t xml:space="preserve">Densest path</t>
  </si>
  <si>
    <t xml:space="preserve">Enchantment (max size 4):</t>
  </si>
  <si>
    <t xml:space="preserve">3-comp = 6 RP → 2.00 /comp  +1 capacity</t>
  </si>
  <si>
    <t xml:space="preserve">4-comp = 15 RP → 3.75 /comp  +unlimited</t>
  </si>
  <si>
    <t xml:space="preserve">Read: Perfect Transmutation leads RP-density at every size — but it is the hardest to assemble (sequential AND same energy). The real question the table answers: is the PT payoff so far ahead that conjuration/transfiguration become consolation prizes? If the densest-path column is all "Perfect Transmutation", consider flattening its top end or boosting the others.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</si>
</sst>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"/>
    <numFmt numFmtId="166" formatCode="0.0%"/>
    <numFmt numFmtId="167" formatCode="\+0;\-0"/>
    <numFmt numFmtId="168" formatCode="0.0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9"/>
      <color rgb="FF0000FF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008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EB9C"/>
      </patternFill>
    </fill>
    <fill>
      <patternFill patternType="solid">
        <fgColor rgb="FFD9E1F2"/>
        <bgColor rgb="FFC6EFC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8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>
          <bgColor rgb="FFFFC7CE"/>
        </patternFill>
      </fill>
    </dxf>
    <dxf>
      <fill>
        <patternFill>
          <bgColor rgb="FFC6EFCE"/>
        </patternFill>
      </fill>
    </dxf>
    <dxf>
      <fill>
        <patternFill>
          <bgColor rgb="FFFFEB9C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2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4"/>
  </cols>
  <sheetData>
    <row r="2" customFormat="false" ht="17.25" hidden="false" customHeight="true" outlineLevel="0" collapsed="false">
      <c r="B2" s="2" t="s">
        <v>0</v>
      </c>
    </row>
    <row r="4" customFormat="false" ht="15" hidden="false" customHeight="true" outlineLevel="0" collapsed="false">
      <c r="B4" s="3" t="s">
        <v>1</v>
      </c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4"/>
    </row>
    <row r="7" customFormat="false" ht="15" hidden="false" customHeight="true" outlineLevel="0" collapsed="false">
      <c r="B7" s="3" t="s">
        <v>3</v>
      </c>
    </row>
    <row r="8" customFormat="false" ht="23.25" hidden="false" customHeight="true" outlineLevel="0" collapsed="false">
      <c r="B8" s="4" t="s">
        <v>4</v>
      </c>
    </row>
    <row r="9" customFormat="false" ht="15" hidden="false" customHeight="true" outlineLevel="0" collapsed="false">
      <c r="B9" s="4" t="s">
        <v>5</v>
      </c>
    </row>
    <row r="10" customFormat="false" ht="15" hidden="false" customHeight="true" outlineLevel="0" collapsed="false">
      <c r="B10" s="4" t="s">
        <v>6</v>
      </c>
    </row>
    <row r="11" customFormat="false" ht="15" hidden="false" customHeight="true" outlineLevel="0" collapsed="false">
      <c r="B11" s="4"/>
    </row>
    <row r="12" customFormat="false" ht="15" hidden="false" customHeight="true" outlineLevel="0" collapsed="false">
      <c r="B12" s="3" t="s">
        <v>7</v>
      </c>
    </row>
    <row r="13" customFormat="false" ht="23.25" hidden="false" customHeight="true" outlineLevel="0" collapsed="false">
      <c r="B13" s="4" t="s">
        <v>8</v>
      </c>
    </row>
    <row r="14" customFormat="false" ht="23.25" hidden="false" customHeight="true" outlineLevel="0" collapsed="false">
      <c r="B14" s="4" t="s">
        <v>9</v>
      </c>
    </row>
    <row r="15" customFormat="false" ht="23.25" hidden="false" customHeight="true" outlineLevel="0" collapsed="false">
      <c r="B15" s="4" t="s">
        <v>10</v>
      </c>
    </row>
    <row r="16" customFormat="false" ht="23.25" hidden="false" customHeight="true" outlineLevel="0" collapsed="false">
      <c r="B16" s="4" t="s">
        <v>11</v>
      </c>
    </row>
    <row r="17" customFormat="false" ht="15" hidden="false" customHeight="true" outlineLevel="0" collapsed="false">
      <c r="B17" s="4" t="s">
        <v>12</v>
      </c>
    </row>
    <row r="18" customFormat="false" ht="15" hidden="false" customHeight="true" outlineLevel="0" collapsed="false">
      <c r="B18" s="4" t="s">
        <v>13</v>
      </c>
    </row>
    <row r="19" customFormat="false" ht="34.5" hidden="false" customHeight="true" outlineLevel="0" collapsed="false">
      <c r="B19" s="4" t="s">
        <v>14</v>
      </c>
    </row>
    <row r="20" customFormat="false" ht="15" hidden="false" customHeight="true" outlineLevel="0" collapsed="false">
      <c r="B20" s="4"/>
    </row>
    <row r="21" customFormat="false" ht="23.25" hidden="false" customHeight="true" outlineLevel="0" collapsed="false">
      <c r="B21" s="5" t="s">
        <v>15</v>
      </c>
    </row>
    <row r="22" customFormat="false" ht="35.05" hidden="false" customHeight="false" outlineLevel="0" collapsed="false">
      <c r="B22" s="4" t="s">
        <v>16</v>
      </c>
    </row>
    <row r="23" customFormat="false" ht="15" hidden="false" customHeight="false" outlineLevel="0" collapsed="false">
      <c r="B23" s="4"/>
    </row>
    <row r="24" customFormat="false" ht="23.85" hidden="false" customHeight="false" outlineLevel="0" collapsed="false">
      <c r="B24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3" min="3" style="1" width="12"/>
    <col collapsed="false" customWidth="true" hidden="false" outlineLevel="0" max="4" min="4" style="1" width="60"/>
  </cols>
  <sheetData>
    <row r="2" customFormat="false" ht="17.25" hidden="false" customHeight="true" outlineLevel="0" collapsed="false">
      <c r="B2" s="2" t="s">
        <v>18</v>
      </c>
    </row>
    <row r="4" customFormat="false" ht="15" hidden="false" customHeight="true" outlineLevel="0" collapsed="false">
      <c r="B4" s="6" t="s">
        <v>19</v>
      </c>
      <c r="C4" s="6" t="s">
        <v>20</v>
      </c>
      <c r="D4" s="6" t="s">
        <v>21</v>
      </c>
    </row>
    <row r="5" customFormat="false" ht="15" hidden="false" customHeight="true" outlineLevel="0" collapsed="false">
      <c r="B5" s="7" t="s">
        <v>22</v>
      </c>
      <c r="C5" s="8" t="n">
        <v>15</v>
      </c>
      <c r="D5" s="9" t="s">
        <v>23</v>
      </c>
    </row>
    <row r="6" customFormat="false" ht="15" hidden="false" customHeight="true" outlineLevel="0" collapsed="false">
      <c r="B6" s="7" t="s">
        <v>24</v>
      </c>
      <c r="C6" s="8" t="n">
        <v>20</v>
      </c>
      <c r="D6" s="9" t="s">
        <v>25</v>
      </c>
    </row>
    <row r="7" customFormat="false" ht="15" hidden="false" customHeight="true" outlineLevel="0" collapsed="false">
      <c r="B7" s="7" t="s">
        <v>26</v>
      </c>
      <c r="C7" s="8" t="n">
        <v>2</v>
      </c>
      <c r="D7" s="9"/>
    </row>
    <row r="8" customFormat="false" ht="15" hidden="false" customHeight="true" outlineLevel="0" collapsed="false">
      <c r="B8" s="7" t="s">
        <v>27</v>
      </c>
      <c r="C8" s="8" t="n">
        <v>4</v>
      </c>
      <c r="D8" s="9"/>
    </row>
    <row r="9" customFormat="false" ht="15" hidden="false" customHeight="true" outlineLevel="0" collapsed="false">
      <c r="B9" s="7" t="s">
        <v>28</v>
      </c>
      <c r="C9" s="8" t="n">
        <v>5</v>
      </c>
      <c r="D9" s="9" t="s">
        <v>29</v>
      </c>
    </row>
    <row r="10" customFormat="false" ht="15" hidden="false" customHeight="true" outlineLevel="0" collapsed="false">
      <c r="B10" s="7" t="s">
        <v>30</v>
      </c>
      <c r="C10" s="8" t="n">
        <v>7</v>
      </c>
      <c r="D10" s="9" t="s">
        <v>31</v>
      </c>
    </row>
    <row r="12" customFormat="false" ht="15" hidden="false" customHeight="true" outlineLevel="0" collapsed="false">
      <c r="B12" s="3" t="s">
        <v>32</v>
      </c>
    </row>
    <row r="13" customFormat="false" ht="15" hidden="false" customHeight="true" outlineLevel="0" collapsed="false">
      <c r="B13" s="7" t="s">
        <v>33</v>
      </c>
      <c r="C13" s="10" t="n">
        <v>2</v>
      </c>
      <c r="D13" s="9" t="s">
        <v>34</v>
      </c>
    </row>
    <row r="14" customFormat="false" ht="21.75" hidden="false" customHeight="true" outlineLevel="0" collapsed="false">
      <c r="B14" s="7" t="s">
        <v>35</v>
      </c>
      <c r="C14" s="10" t="n">
        <v>3</v>
      </c>
      <c r="D14" s="9" t="s">
        <v>36</v>
      </c>
    </row>
    <row r="15" customFormat="false" ht="15" hidden="false" customHeight="true" outlineLevel="0" collapsed="false">
      <c r="B15" s="7" t="s">
        <v>37</v>
      </c>
      <c r="C15" s="8" t="n">
        <v>1</v>
      </c>
      <c r="D15" s="9" t="s">
        <v>38</v>
      </c>
    </row>
    <row r="16" customFormat="false" ht="15" hidden="false" customHeight="true" outlineLevel="0" collapsed="false">
      <c r="B16" s="7" t="s">
        <v>39</v>
      </c>
      <c r="C16" s="8" t="n">
        <v>6</v>
      </c>
      <c r="D16" s="9" t="s">
        <v>40</v>
      </c>
    </row>
    <row r="18" customFormat="false" ht="15" hidden="false" customHeight="true" outlineLevel="0" collapsed="false">
      <c r="B18" s="3" t="s">
        <v>41</v>
      </c>
    </row>
    <row r="19" customFormat="false" ht="15" hidden="false" customHeight="true" outlineLevel="0" collapsed="false">
      <c r="B19" s="11" t="s">
        <v>42</v>
      </c>
    </row>
    <row r="20" customFormat="false" ht="15" hidden="false" customHeight="true" outlineLevel="0" collapsed="false">
      <c r="B20" s="12" t="s">
        <v>43</v>
      </c>
    </row>
    <row r="21" customFormat="false" ht="15" hidden="false" customHeight="true" outlineLevel="0" collapsed="false">
      <c r="B21" s="13" t="s">
        <v>44</v>
      </c>
    </row>
    <row r="22" customFormat="false" ht="15" hidden="false" customHeight="true" outlineLevel="0" collapsed="false">
      <c r="B22" s="14" t="s">
        <v>45</v>
      </c>
    </row>
    <row r="24" customFormat="false" ht="15" hidden="false" customHeight="false" outlineLevel="0" collapsed="false">
      <c r="B24" s="15" t="s">
        <v>46</v>
      </c>
    </row>
    <row r="25" customFormat="false" ht="15" hidden="false" customHeight="false" outlineLevel="0" collapsed="false">
      <c r="B25" s="16" t="s">
        <v>47</v>
      </c>
      <c r="C25" s="10" t="n">
        <v>75</v>
      </c>
      <c r="D25" s="9" t="s">
        <v>48</v>
      </c>
    </row>
    <row r="26" customFormat="false" ht="15" hidden="false" customHeight="false" outlineLevel="0" collapsed="false">
      <c r="B26" s="16" t="s">
        <v>49</v>
      </c>
      <c r="C26" s="10" t="n">
        <v>30</v>
      </c>
      <c r="D26" s="9" t="s">
        <v>50</v>
      </c>
    </row>
    <row r="27" customFormat="false" ht="15" hidden="false" customHeight="false" outlineLevel="0" collapsed="false">
      <c r="B27" s="16" t="s">
        <v>51</v>
      </c>
      <c r="C27" s="10" t="n">
        <v>60</v>
      </c>
      <c r="D27" s="9" t="s">
        <v>52</v>
      </c>
    </row>
    <row r="28" customFormat="false" ht="15" hidden="false" customHeight="false" outlineLevel="0" collapsed="false">
      <c r="B28" s="16" t="s">
        <v>53</v>
      </c>
      <c r="C28" s="10" t="n">
        <v>0.6</v>
      </c>
      <c r="D28" s="9" t="s"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4" min="3" style="1" width="9"/>
    <col collapsed="false" customWidth="true" hidden="false" outlineLevel="0" max="7" min="5" style="1" width="11"/>
    <col collapsed="false" customWidth="true" hidden="false" outlineLevel="0" max="8" min="8" style="1" width="13"/>
    <col collapsed="false" customWidth="true" hidden="false" outlineLevel="0" max="9" min="9" style="1" width="40"/>
  </cols>
  <sheetData>
    <row r="2" customFormat="false" ht="17.25" hidden="false" customHeight="true" outlineLevel="0" collapsed="false">
      <c r="B2" s="2" t="s">
        <v>55</v>
      </c>
    </row>
    <row r="3" customFormat="false" ht="15" hidden="false" customHeight="true" outlineLevel="0" collapsed="false">
      <c r="B3" s="17" t="s">
        <v>56</v>
      </c>
    </row>
    <row r="5" customFormat="false" ht="15" hidden="false" customHeight="true" outlineLevel="0" collapsed="false">
      <c r="B5" s="18" t="s">
        <v>57</v>
      </c>
      <c r="C5" s="18" t="s">
        <v>58</v>
      </c>
      <c r="D5" s="18" t="s">
        <v>59</v>
      </c>
      <c r="E5" s="18" t="s">
        <v>60</v>
      </c>
      <c r="F5" s="18" t="s">
        <v>61</v>
      </c>
      <c r="G5" s="18" t="s">
        <v>62</v>
      </c>
      <c r="H5" s="18" t="s">
        <v>63</v>
      </c>
      <c r="I5" s="18" t="s">
        <v>64</v>
      </c>
    </row>
    <row r="6" customFormat="false" ht="15" hidden="false" customHeight="true" outlineLevel="0" collapsed="false">
      <c r="B6" s="19" t="n">
        <v>2</v>
      </c>
      <c r="C6" s="20" t="n">
        <f aca="false">IF(B6&lt;=4,4*ASSUMPTIONS!$C$5+ASSUMPTIONS!$C$7,4*ASSUMPTIONS!$C$6+ASSUMPTIONS!$C$8)</f>
        <v>62</v>
      </c>
      <c r="D6" s="21" t="n">
        <f aca="false">C6-ASSUMPTIONS!$C$9-ASSUMPTIONS!$C$10*B6</f>
        <v>43</v>
      </c>
      <c r="E6" s="22" t="n">
        <f aca="false">D6/(1*B6)</f>
        <v>21.5</v>
      </c>
      <c r="F6" s="22" t="n">
        <f aca="false">D6/(2*B6)</f>
        <v>10.75</v>
      </c>
      <c r="G6" s="22" t="n">
        <f aca="false">D6/(3*B6)</f>
        <v>7.16666666666667</v>
      </c>
      <c r="H6" s="23" t="n">
        <f aca="false">D6/(ASSUMPTIONS!$C$13*B6)</f>
        <v>10.75</v>
      </c>
      <c r="I6" s="22" t="n">
        <f aca="false">H6</f>
        <v>10.75</v>
      </c>
    </row>
    <row r="7" customFormat="false" ht="15" hidden="false" customHeight="true" outlineLevel="0" collapsed="false">
      <c r="B7" s="19" t="n">
        <v>3</v>
      </c>
      <c r="C7" s="20" t="n">
        <f aca="false">IF(B7&lt;=4,4*ASSUMPTIONS!$C$5+ASSUMPTIONS!$C$7,4*ASSUMPTIONS!$C$6+ASSUMPTIONS!$C$8)</f>
        <v>62</v>
      </c>
      <c r="D7" s="21" t="n">
        <f aca="false">C7-ASSUMPTIONS!$C$9-ASSUMPTIONS!$C$10*B7</f>
        <v>36</v>
      </c>
      <c r="E7" s="22" t="n">
        <f aca="false">D7/(1*B7)</f>
        <v>12</v>
      </c>
      <c r="F7" s="22" t="n">
        <f aca="false">D7/(2*B7)</f>
        <v>6</v>
      </c>
      <c r="G7" s="22" t="n">
        <f aca="false">D7/(3*B7)</f>
        <v>4</v>
      </c>
      <c r="H7" s="23" t="n">
        <f aca="false">D7/(ASSUMPTIONS!$C$13*B7)</f>
        <v>6</v>
      </c>
      <c r="I7" s="22" t="n">
        <f aca="false">H7</f>
        <v>6</v>
      </c>
    </row>
    <row r="8" customFormat="false" ht="15" hidden="false" customHeight="true" outlineLevel="0" collapsed="false">
      <c r="B8" s="19" t="n">
        <v>4</v>
      </c>
      <c r="C8" s="20" t="n">
        <f aca="false">IF(B8&lt;=4,4*ASSUMPTIONS!$C$5+ASSUMPTIONS!$C$7,4*ASSUMPTIONS!$C$6+ASSUMPTIONS!$C$8)</f>
        <v>62</v>
      </c>
      <c r="D8" s="21" t="n">
        <f aca="false">C8-ASSUMPTIONS!$C$9-ASSUMPTIONS!$C$10*B8</f>
        <v>29</v>
      </c>
      <c r="E8" s="22" t="n">
        <f aca="false">D8/(1*B8)</f>
        <v>7.25</v>
      </c>
      <c r="F8" s="22" t="n">
        <f aca="false">D8/(2*B8)</f>
        <v>3.625</v>
      </c>
      <c r="G8" s="22" t="n">
        <f aca="false">D8/(3*B8)</f>
        <v>2.41666666666667</v>
      </c>
      <c r="H8" s="23" t="n">
        <f aca="false">D8/(ASSUMPTIONS!$C$13*B8)</f>
        <v>3.625</v>
      </c>
      <c r="I8" s="22" t="n">
        <f aca="false">H8</f>
        <v>3.625</v>
      </c>
    </row>
    <row r="9" customFormat="false" ht="15" hidden="false" customHeight="true" outlineLevel="0" collapsed="false">
      <c r="B9" s="19" t="n">
        <v>5</v>
      </c>
      <c r="C9" s="20" t="n">
        <f aca="false">IF(B9&lt;=4,4*ASSUMPTIONS!$C$5+ASSUMPTIONS!$C$7,4*ASSUMPTIONS!$C$6+ASSUMPTIONS!$C$8)</f>
        <v>84</v>
      </c>
      <c r="D9" s="21" t="n">
        <f aca="false">C9-ASSUMPTIONS!$C$9-ASSUMPTIONS!$C$10*B9</f>
        <v>44</v>
      </c>
      <c r="E9" s="22" t="n">
        <f aca="false">D9/(1*B9)</f>
        <v>8.8</v>
      </c>
      <c r="F9" s="22" t="n">
        <f aca="false">D9/(2*B9)</f>
        <v>4.4</v>
      </c>
      <c r="G9" s="22" t="n">
        <f aca="false">D9/(3*B9)</f>
        <v>2.93333333333333</v>
      </c>
      <c r="H9" s="23" t="n">
        <f aca="false">D9/(ASSUMPTIONS!$C$13*B9)</f>
        <v>4.4</v>
      </c>
      <c r="I9" s="22" t="n">
        <f aca="false">H9</f>
        <v>4.4</v>
      </c>
    </row>
    <row r="10" customFormat="false" ht="15" hidden="false" customHeight="true" outlineLevel="0" collapsed="false">
      <c r="B10" s="19" t="n">
        <v>6</v>
      </c>
      <c r="C10" s="20" t="n">
        <f aca="false">IF(B10&lt;=4,4*ASSUMPTIONS!$C$5+ASSUMPTIONS!$C$7,4*ASSUMPTIONS!$C$6+ASSUMPTIONS!$C$8)</f>
        <v>84</v>
      </c>
      <c r="D10" s="21" t="n">
        <f aca="false">C10-ASSUMPTIONS!$C$9-ASSUMPTIONS!$C$10*B10</f>
        <v>37</v>
      </c>
      <c r="E10" s="22" t="n">
        <f aca="false">D10/(1*B10)</f>
        <v>6.16666666666667</v>
      </c>
      <c r="F10" s="22" t="n">
        <f aca="false">D10/(2*B10)</f>
        <v>3.08333333333333</v>
      </c>
      <c r="G10" s="22" t="n">
        <f aca="false">D10/(3*B10)</f>
        <v>2.05555555555556</v>
      </c>
      <c r="H10" s="23" t="n">
        <f aca="false">D10/(ASSUMPTIONS!$C$13*B10)</f>
        <v>3.08333333333333</v>
      </c>
      <c r="I10" s="22" t="n">
        <f aca="false">H10</f>
        <v>3.08333333333333</v>
      </c>
    </row>
    <row r="11" customFormat="false" ht="15" hidden="false" customHeight="true" outlineLevel="0" collapsed="false">
      <c r="B11" s="19" t="n">
        <v>7</v>
      </c>
      <c r="C11" s="20" t="n">
        <f aca="false">IF(B11&lt;=4,4*ASSUMPTIONS!$C$5+ASSUMPTIONS!$C$7,4*ASSUMPTIONS!$C$6+ASSUMPTIONS!$C$8)</f>
        <v>84</v>
      </c>
      <c r="D11" s="21" t="n">
        <f aca="false">C11-ASSUMPTIONS!$C$9-ASSUMPTIONS!$C$10*B11</f>
        <v>30</v>
      </c>
      <c r="E11" s="22" t="n">
        <f aca="false">D11/(1*B11)</f>
        <v>4.28571428571429</v>
      </c>
      <c r="F11" s="22" t="n">
        <f aca="false">D11/(2*B11)</f>
        <v>2.14285714285714</v>
      </c>
      <c r="G11" s="22" t="n">
        <f aca="false">D11/(3*B11)</f>
        <v>1.42857142857143</v>
      </c>
      <c r="H11" s="23" t="n">
        <f aca="false">D11/(ASSUMPTIONS!$C$13*B11)</f>
        <v>2.14285714285714</v>
      </c>
      <c r="I11" s="22" t="n">
        <f aca="false">H11</f>
        <v>2.14285714285714</v>
      </c>
    </row>
    <row r="13" customFormat="false" ht="15" hidden="false" customHeight="true" outlineLevel="0" collapsed="false">
      <c r="B13" s="24" t="s">
        <v>65</v>
      </c>
      <c r="C13" s="24"/>
      <c r="D13" s="24"/>
      <c r="E13" s="24"/>
      <c r="F13" s="24"/>
      <c r="G13" s="24"/>
      <c r="H13" s="24"/>
      <c r="I13" s="24"/>
    </row>
  </sheetData>
  <mergeCells count="1">
    <mergeCell ref="B13:I13"/>
  </mergeCells>
  <conditionalFormatting sqref="H6:I11">
    <cfRule type="colorScale" priority="2">
      <colorScale>
        <cfvo type="num" val="2"/>
        <cfvo type="num" val="6"/>
        <cfvo type="num" val="12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4" min="3" style="0" width="16"/>
    <col collapsed="false" customWidth="true" hidden="false" outlineLevel="0" max="5" min="5" style="0" width="3"/>
    <col collapsed="false" customWidth="true" hidden="false" outlineLevel="0" max="7" min="6" style="0" width="16"/>
    <col collapsed="false" customWidth="true" hidden="false" outlineLevel="0" max="8" min="8" style="0" width="30"/>
  </cols>
  <sheetData>
    <row r="2" customFormat="false" ht="17.35" hidden="false" customHeight="false" outlineLevel="0" collapsed="false">
      <c r="B2" s="25" t="s">
        <v>66</v>
      </c>
    </row>
    <row r="3" customFormat="false" ht="22.35" hidden="false" customHeight="true" outlineLevel="0" collapsed="false">
      <c r="B3" s="24" t="s">
        <v>67</v>
      </c>
      <c r="C3" s="24"/>
      <c r="D3" s="24"/>
      <c r="E3" s="24"/>
      <c r="F3" s="24"/>
      <c r="G3" s="24"/>
      <c r="H3" s="24"/>
    </row>
    <row r="5" customFormat="false" ht="15" hidden="false" customHeight="false" outlineLevel="0" collapsed="false">
      <c r="B5" s="15" t="s">
        <v>68</v>
      </c>
      <c r="F5" s="15" t="s">
        <v>69</v>
      </c>
    </row>
    <row r="6" customFormat="false" ht="15" hidden="false" customHeight="false" outlineLevel="0" collapsed="false">
      <c r="B6" s="18" t="s">
        <v>70</v>
      </c>
      <c r="C6" s="18" t="s">
        <v>71</v>
      </c>
      <c r="D6" s="18" t="s">
        <v>72</v>
      </c>
      <c r="F6" s="18" t="s">
        <v>70</v>
      </c>
      <c r="G6" s="18" t="s">
        <v>71</v>
      </c>
      <c r="H6" s="18" t="s">
        <v>72</v>
      </c>
    </row>
    <row r="7" customFormat="false" ht="15" hidden="false" customHeight="false" outlineLevel="0" collapsed="false">
      <c r="B7" s="19" t="n">
        <v>7</v>
      </c>
      <c r="C7" s="26" t="n">
        <v>0.177</v>
      </c>
      <c r="D7" s="26" t="n">
        <v>0.013</v>
      </c>
      <c r="F7" s="19" t="n">
        <v>7</v>
      </c>
      <c r="G7" s="26" t="n">
        <v>0.179</v>
      </c>
      <c r="H7" s="26" t="n">
        <v>0.017</v>
      </c>
    </row>
    <row r="8" customFormat="false" ht="15" hidden="false" customHeight="false" outlineLevel="0" collapsed="false">
      <c r="B8" s="19" t="n">
        <v>8</v>
      </c>
      <c r="C8" s="27" t="n">
        <v>0.25</v>
      </c>
      <c r="D8" s="27" t="n">
        <v>0.024</v>
      </c>
      <c r="F8" s="19" t="n">
        <v>8</v>
      </c>
      <c r="G8" s="27" t="n">
        <v>0.254</v>
      </c>
      <c r="H8" s="27" t="n">
        <v>0.031</v>
      </c>
    </row>
    <row r="9" customFormat="false" ht="15" hidden="false" customHeight="false" outlineLevel="0" collapsed="false">
      <c r="B9" s="19" t="n">
        <v>9</v>
      </c>
      <c r="C9" s="27" t="n">
        <v>0.325</v>
      </c>
      <c r="D9" s="27" t="n">
        <v>0.039</v>
      </c>
      <c r="F9" s="19" t="n">
        <v>9</v>
      </c>
      <c r="G9" s="27" t="n">
        <v>0.328</v>
      </c>
      <c r="H9" s="27" t="n">
        <v>0.052</v>
      </c>
    </row>
    <row r="10" customFormat="false" ht="15" hidden="false" customHeight="false" outlineLevel="0" collapsed="false">
      <c r="B10" s="19" t="n">
        <v>10</v>
      </c>
      <c r="C10" s="27" t="n">
        <v>0.404</v>
      </c>
      <c r="D10" s="27" t="n">
        <v>0.061</v>
      </c>
      <c r="F10" s="19" t="n">
        <v>10</v>
      </c>
      <c r="G10" s="27" t="n">
        <v>0.401</v>
      </c>
      <c r="H10" s="27" t="n">
        <v>0.077</v>
      </c>
    </row>
    <row r="11" customFormat="false" ht="15" hidden="false" customHeight="false" outlineLevel="0" collapsed="false">
      <c r="B11" s="19" t="n">
        <v>11</v>
      </c>
      <c r="C11" s="27" t="n">
        <v>0.482</v>
      </c>
      <c r="D11" s="27" t="n">
        <v>0.088</v>
      </c>
      <c r="F11" s="19" t="n">
        <v>11</v>
      </c>
      <c r="G11" s="27" t="n">
        <v>0.472</v>
      </c>
      <c r="H11" s="27" t="n">
        <v>0.107</v>
      </c>
    </row>
    <row r="12" customFormat="false" ht="15" hidden="false" customHeight="false" outlineLevel="0" collapsed="false">
      <c r="B12" s="19" t="n">
        <v>12</v>
      </c>
      <c r="C12" s="27" t="n">
        <v>0.55</v>
      </c>
      <c r="D12" s="27" t="n">
        <v>0.121</v>
      </c>
      <c r="F12" s="19" t="n">
        <v>12</v>
      </c>
      <c r="G12" s="27" t="n">
        <v>0.542</v>
      </c>
      <c r="H12" s="27" t="n">
        <v>0.142</v>
      </c>
    </row>
    <row r="13" customFormat="false" ht="15" hidden="false" customHeight="false" outlineLevel="0" collapsed="false">
      <c r="B13" s="19" t="n">
        <v>13</v>
      </c>
      <c r="C13" s="27" t="n">
        <v>0.618</v>
      </c>
      <c r="D13" s="27" t="n">
        <v>0.159</v>
      </c>
      <c r="F13" s="19" t="n">
        <v>13</v>
      </c>
      <c r="G13" s="27" t="n">
        <v>0.601</v>
      </c>
      <c r="H13" s="27" t="n">
        <v>0.182</v>
      </c>
    </row>
    <row r="14" customFormat="false" ht="15" hidden="false" customHeight="false" outlineLevel="0" collapsed="false">
      <c r="B14" s="19" t="n">
        <v>14</v>
      </c>
      <c r="C14" s="27" t="n">
        <v>0.679</v>
      </c>
      <c r="D14" s="27" t="n">
        <v>0.203</v>
      </c>
      <c r="F14" s="19" t="n">
        <v>14</v>
      </c>
      <c r="G14" s="27" t="n">
        <v>0.656</v>
      </c>
      <c r="H14" s="27" t="n">
        <v>0.222</v>
      </c>
    </row>
    <row r="15" customFormat="false" ht="15" hidden="false" customHeight="false" outlineLevel="0" collapsed="false">
      <c r="B15" s="19" t="n">
        <v>15</v>
      </c>
      <c r="C15" s="27" t="n">
        <v>0.743</v>
      </c>
      <c r="D15" s="27" t="n">
        <v>0.252</v>
      </c>
      <c r="F15" s="19" t="n">
        <v>15</v>
      </c>
      <c r="G15" s="27" t="n">
        <v>0.706</v>
      </c>
      <c r="H15" s="27" t="n">
        <v>0.268</v>
      </c>
    </row>
    <row r="16" customFormat="false" ht="15" hidden="false" customHeight="false" outlineLevel="0" collapsed="false">
      <c r="B16" s="19" t="n">
        <v>18</v>
      </c>
      <c r="C16" s="27" t="n">
        <v>0.889</v>
      </c>
      <c r="D16" s="27" t="n">
        <v>0.426</v>
      </c>
      <c r="F16" s="19" t="n">
        <v>18</v>
      </c>
      <c r="G16" s="27" t="n">
        <v>0.832</v>
      </c>
      <c r="H16" s="27" t="n">
        <v>0.421</v>
      </c>
    </row>
    <row r="17" customFormat="false" ht="15" hidden="false" customHeight="false" outlineLevel="0" collapsed="false">
      <c r="B17" s="19" t="n">
        <v>20</v>
      </c>
      <c r="C17" s="27" t="n">
        <v>0.949</v>
      </c>
      <c r="D17" s="27" t="n">
        <v>0.54</v>
      </c>
      <c r="F17" s="19" t="n">
        <v>20</v>
      </c>
      <c r="G17" s="27" t="n">
        <v>0.893</v>
      </c>
      <c r="H17" s="27" t="n">
        <v>0.522</v>
      </c>
    </row>
    <row r="19" customFormat="false" ht="15" hidden="false" customHeight="true" outlineLevel="0" collapsed="false">
      <c r="B19" s="28" t="s">
        <v>73</v>
      </c>
      <c r="C19" s="28"/>
      <c r="D19" s="28"/>
      <c r="F19" s="29" t="s">
        <v>74</v>
      </c>
      <c r="G19" s="29"/>
      <c r="H19" s="29"/>
    </row>
    <row r="20" customFormat="false" ht="15" hidden="false" customHeight="true" outlineLevel="0" collapsed="false">
      <c r="B20" s="28" t="s">
        <v>75</v>
      </c>
      <c r="C20" s="28"/>
      <c r="D20" s="28"/>
      <c r="F20" s="29" t="s">
        <v>76</v>
      </c>
      <c r="G20" s="29"/>
      <c r="H20" s="29"/>
    </row>
    <row r="22" customFormat="false" ht="15" hidden="false" customHeight="true" outlineLevel="0" collapsed="false">
      <c r="B22" s="24" t="s">
        <v>77</v>
      </c>
      <c r="C22" s="24"/>
      <c r="D22" s="24"/>
      <c r="E22" s="24"/>
      <c r="F22" s="24"/>
      <c r="G22" s="24"/>
      <c r="H22" s="24"/>
    </row>
    <row r="23" customFormat="false" ht="15" hidden="false" customHeight="false" outlineLevel="0" collapsed="false">
      <c r="B23" s="24"/>
      <c r="C23" s="24"/>
      <c r="D23" s="24"/>
      <c r="E23" s="24"/>
      <c r="F23" s="24"/>
      <c r="G23" s="24"/>
      <c r="H23" s="24"/>
    </row>
    <row r="24" customFormat="false" ht="15" hidden="false" customHeight="false" outlineLevel="0" collapsed="false">
      <c r="B24" s="24"/>
      <c r="C24" s="24"/>
      <c r="D24" s="24"/>
      <c r="E24" s="24"/>
      <c r="F24" s="24"/>
      <c r="G24" s="24"/>
      <c r="H24" s="24"/>
    </row>
    <row r="25" customFormat="false" ht="15" hidden="false" customHeight="false" outlineLevel="0" collapsed="false">
      <c r="B25" s="24"/>
      <c r="C25" s="24"/>
      <c r="D25" s="24"/>
      <c r="E25" s="24"/>
      <c r="F25" s="24"/>
      <c r="G25" s="24"/>
      <c r="H25" s="24"/>
    </row>
    <row r="27" customFormat="false" ht="15" hidden="false" customHeight="true" outlineLevel="0" collapsed="false">
      <c r="B27" s="9" t="s">
        <v>78</v>
      </c>
      <c r="C27" s="9"/>
      <c r="D27" s="9"/>
      <c r="E27" s="9"/>
      <c r="F27" s="9"/>
      <c r="G27" s="9"/>
      <c r="H27" s="9"/>
    </row>
  </sheetData>
  <mergeCells count="7">
    <mergeCell ref="B3:H3"/>
    <mergeCell ref="B19:D19"/>
    <mergeCell ref="F19:H19"/>
    <mergeCell ref="B20:D20"/>
    <mergeCell ref="F20:H20"/>
    <mergeCell ref="B22:H25"/>
    <mergeCell ref="B27:H27"/>
  </mergeCells>
  <conditionalFormatting sqref="C7:D17">
    <cfRule type="colorScale" priority="2">
      <colorScale>
        <cfvo type="num" val="0.1"/>
        <cfvo type="num" val="0.4"/>
        <cfvo type="num" val="0.8"/>
        <color rgb="FFFFC7CE"/>
        <color rgb="FFFFEB9C"/>
        <color rgb="FFC6EFCE"/>
      </colorScale>
    </cfRule>
  </conditionalFormatting>
  <conditionalFormatting sqref="G7:H17">
    <cfRule type="colorScale" priority="3">
      <colorScale>
        <cfvo type="num" val="0.1"/>
        <cfvo type="num" val="0.4"/>
        <cfvo type="num" val="0.8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"/>
    <col collapsed="false" customWidth="true" hidden="false" outlineLevel="0" max="3" min="3" style="1" width="16"/>
    <col collapsed="false" customWidth="true" hidden="false" outlineLevel="0" max="4" min="4" style="1" width="18"/>
    <col collapsed="false" customWidth="true" hidden="false" outlineLevel="0" max="5" min="5" style="1" width="16"/>
    <col collapsed="false" customWidth="true" hidden="false" outlineLevel="0" max="6" min="6" style="1" width="18"/>
    <col collapsed="false" customWidth="true" hidden="false" outlineLevel="0" max="7" min="7" style="1" width="16"/>
    <col collapsed="false" customWidth="true" hidden="false" outlineLevel="0" max="8" min="8" style="1" width="30"/>
  </cols>
  <sheetData>
    <row r="2" customFormat="false" ht="17.25" hidden="false" customHeight="true" outlineLevel="0" collapsed="false">
      <c r="B2" s="2" t="s">
        <v>79</v>
      </c>
    </row>
    <row r="3" customFormat="false" ht="21.75" hidden="false" customHeight="true" outlineLevel="0" collapsed="false">
      <c r="B3" s="24" t="s">
        <v>80</v>
      </c>
      <c r="C3" s="24"/>
      <c r="D3" s="24"/>
      <c r="E3" s="24"/>
      <c r="F3" s="24"/>
      <c r="G3" s="24"/>
      <c r="H3" s="24"/>
    </row>
    <row r="5" customFormat="false" ht="15" hidden="false" customHeight="true" outlineLevel="0" collapsed="false">
      <c r="B5" s="18" t="s">
        <v>57</v>
      </c>
      <c r="C5" s="18" t="s">
        <v>63</v>
      </c>
      <c r="D5" s="18" t="s">
        <v>81</v>
      </c>
      <c r="E5" s="18" t="s">
        <v>82</v>
      </c>
      <c r="F5" s="18" t="s">
        <v>83</v>
      </c>
      <c r="G5" s="18" t="s">
        <v>84</v>
      </c>
      <c r="H5" s="18" t="s">
        <v>85</v>
      </c>
    </row>
    <row r="6" customFormat="false" ht="15" hidden="false" customHeight="true" outlineLevel="0" collapsed="false">
      <c r="B6" s="19" t="n">
        <v>2</v>
      </c>
      <c r="C6" s="30" t="n">
        <f aca="false">'TURN BUDGET'!H6</f>
        <v>10.75</v>
      </c>
      <c r="D6" s="30" t="n">
        <f aca="false">ASSUMPTIONS!$C$14</f>
        <v>3</v>
      </c>
      <c r="E6" s="22" t="n">
        <f aca="false">D6/ASSUMPTIONS!$C$15</f>
        <v>3</v>
      </c>
      <c r="F6" s="22" t="n">
        <f aca="false">D6+E6</f>
        <v>6</v>
      </c>
      <c r="G6" s="22" t="n">
        <f aca="false">C6-F6</f>
        <v>4.75</v>
      </c>
      <c r="H6" s="21" t="str">
        <f aca="false">IF(G6&gt;1,"Yes — viable",IF(G6&gt;0,"Marginal","No — never pays back"))</f>
        <v>Yes — viable</v>
      </c>
    </row>
    <row r="7" customFormat="false" ht="15" hidden="false" customHeight="true" outlineLevel="0" collapsed="false">
      <c r="B7" s="19" t="n">
        <v>3</v>
      </c>
      <c r="C7" s="30" t="n">
        <f aca="false">'TURN BUDGET'!H7</f>
        <v>6</v>
      </c>
      <c r="D7" s="30" t="n">
        <f aca="false">ASSUMPTIONS!$C$14</f>
        <v>3</v>
      </c>
      <c r="E7" s="22" t="n">
        <f aca="false">D7/ASSUMPTIONS!$C$15</f>
        <v>3</v>
      </c>
      <c r="F7" s="22" t="n">
        <f aca="false">D7+E7</f>
        <v>6</v>
      </c>
      <c r="G7" s="22" t="n">
        <f aca="false">C7-F7</f>
        <v>0</v>
      </c>
      <c r="H7" s="21" t="str">
        <f aca="false">IF(G7&gt;1,"Yes — viable",IF(G7&gt;0,"Marginal","No — never pays back"))</f>
        <v>No — never pays back</v>
      </c>
    </row>
    <row r="8" customFormat="false" ht="15" hidden="false" customHeight="true" outlineLevel="0" collapsed="false">
      <c r="B8" s="19" t="n">
        <v>4</v>
      </c>
      <c r="C8" s="30" t="n">
        <f aca="false">'TURN BUDGET'!H8</f>
        <v>3.625</v>
      </c>
      <c r="D8" s="30" t="n">
        <f aca="false">ASSUMPTIONS!$C$14</f>
        <v>3</v>
      </c>
      <c r="E8" s="22" t="n">
        <f aca="false">D8/ASSUMPTIONS!$C$15</f>
        <v>3</v>
      </c>
      <c r="F8" s="22" t="n">
        <f aca="false">D8+E8</f>
        <v>6</v>
      </c>
      <c r="G8" s="22" t="n">
        <f aca="false">C8-F8</f>
        <v>-2.375</v>
      </c>
      <c r="H8" s="21" t="str">
        <f aca="false">IF(G8&gt;1,"Yes — viable",IF(G8&gt;0,"Marginal","No — never pays back"))</f>
        <v>No — never pays back</v>
      </c>
    </row>
    <row r="9" customFormat="false" ht="15" hidden="false" customHeight="true" outlineLevel="0" collapsed="false">
      <c r="B9" s="19" t="n">
        <v>5</v>
      </c>
      <c r="C9" s="30" t="n">
        <f aca="false">'TURN BUDGET'!H9</f>
        <v>4.4</v>
      </c>
      <c r="D9" s="30" t="n">
        <f aca="false">ASSUMPTIONS!$C$14</f>
        <v>3</v>
      </c>
      <c r="E9" s="22" t="n">
        <f aca="false">D9/ASSUMPTIONS!$C$15</f>
        <v>3</v>
      </c>
      <c r="F9" s="22" t="n">
        <f aca="false">D9+E9</f>
        <v>6</v>
      </c>
      <c r="G9" s="22" t="n">
        <f aca="false">C9-F9</f>
        <v>-1.6</v>
      </c>
      <c r="H9" s="21" t="str">
        <f aca="false">IF(G9&gt;1,"Yes — viable",IF(G9&gt;0,"Marginal","No — never pays back"))</f>
        <v>No — never pays back</v>
      </c>
    </row>
    <row r="10" customFormat="false" ht="15" hidden="false" customHeight="true" outlineLevel="0" collapsed="false">
      <c r="B10" s="19" t="n">
        <v>6</v>
      </c>
      <c r="C10" s="30" t="n">
        <f aca="false">'TURN BUDGET'!H10</f>
        <v>3.08333333333333</v>
      </c>
      <c r="D10" s="30" t="n">
        <f aca="false">ASSUMPTIONS!$C$14</f>
        <v>3</v>
      </c>
      <c r="E10" s="22" t="n">
        <f aca="false">D10/ASSUMPTIONS!$C$15</f>
        <v>3</v>
      </c>
      <c r="F10" s="22" t="n">
        <f aca="false">D10+E10</f>
        <v>6</v>
      </c>
      <c r="G10" s="22" t="n">
        <f aca="false">C10-F10</f>
        <v>-2.91666666666667</v>
      </c>
      <c r="H10" s="21" t="str">
        <f aca="false">IF(G10&gt;1,"Yes — viable",IF(G10&gt;0,"Marginal","No — never pays back"))</f>
        <v>No — never pays back</v>
      </c>
    </row>
    <row r="11" customFormat="false" ht="15" hidden="false" customHeight="true" outlineLevel="0" collapsed="false">
      <c r="B11" s="19" t="n">
        <v>7</v>
      </c>
      <c r="C11" s="30" t="n">
        <f aca="false">'TURN BUDGET'!H11</f>
        <v>2.14285714285714</v>
      </c>
      <c r="D11" s="30" t="n">
        <f aca="false">ASSUMPTIONS!$C$14</f>
        <v>3</v>
      </c>
      <c r="E11" s="22" t="n">
        <f aca="false">D11/ASSUMPTIONS!$C$15</f>
        <v>3</v>
      </c>
      <c r="F11" s="22" t="n">
        <f aca="false">D11+E11</f>
        <v>6</v>
      </c>
      <c r="G11" s="22" t="n">
        <f aca="false">C11-F11</f>
        <v>-3.85714285714286</v>
      </c>
      <c r="H11" s="21" t="str">
        <f aca="false">IF(G11&gt;1,"Yes — viable",IF(G11&gt;0,"Marginal","No — never pays back"))</f>
        <v>No — never pays back</v>
      </c>
    </row>
    <row r="13" customFormat="false" ht="21.75" hidden="false" customHeight="true" outlineLevel="0" collapsed="false">
      <c r="B13" s="24" t="s">
        <v>86</v>
      </c>
      <c r="C13" s="24"/>
      <c r="D13" s="24"/>
      <c r="E13" s="24"/>
      <c r="F13" s="24"/>
      <c r="G13" s="24"/>
      <c r="H13" s="24"/>
    </row>
  </sheetData>
  <mergeCells count="2">
    <mergeCell ref="B3:H3"/>
    <mergeCell ref="B13:H13"/>
  </mergeCells>
  <conditionalFormatting sqref="G6:G11">
    <cfRule type="cellIs" priority="2" operator="lessThanOrEqual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1</formula>
    </cfRule>
    <cfRule type="cellIs" priority="4" operator="between" aboveAverage="0" equalAverage="0" bottom="0" percent="0" rank="0" text="" dxfId="2">
      <formula>0</formula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9"/>
    <col collapsed="false" customWidth="true" hidden="false" outlineLevel="0" max="3" min="3" style="0" width="11"/>
    <col collapsed="false" customWidth="true" hidden="false" outlineLevel="0" max="8" min="4" style="0" width="12"/>
    <col collapsed="false" customWidth="true" hidden="false" outlineLevel="0" max="9" min="9" style="0" width="30"/>
  </cols>
  <sheetData>
    <row r="2" customFormat="false" ht="17.35" hidden="false" customHeight="false" outlineLevel="0" collapsed="false">
      <c r="B2" s="25" t="s">
        <v>87</v>
      </c>
    </row>
    <row r="3" customFormat="false" ht="22.35" hidden="false" customHeight="true" outlineLevel="0" collapsed="false">
      <c r="B3" s="24" t="s">
        <v>88</v>
      </c>
      <c r="C3" s="24"/>
      <c r="D3" s="24"/>
      <c r="E3" s="24"/>
      <c r="F3" s="24"/>
      <c r="G3" s="24"/>
      <c r="H3" s="24"/>
      <c r="I3" s="24"/>
    </row>
    <row r="5" customFormat="false" ht="15" hidden="false" customHeight="false" outlineLevel="0" collapsed="false">
      <c r="B5" s="18" t="s">
        <v>57</v>
      </c>
      <c r="C5" s="18" t="s">
        <v>89</v>
      </c>
      <c r="D5" s="18" t="s">
        <v>90</v>
      </c>
      <c r="E5" s="18" t="s">
        <v>91</v>
      </c>
      <c r="F5" s="18" t="s">
        <v>92</v>
      </c>
      <c r="G5" s="18" t="s">
        <v>93</v>
      </c>
      <c r="H5" s="18" t="s">
        <v>94</v>
      </c>
      <c r="I5" s="18" t="s">
        <v>95</v>
      </c>
    </row>
    <row r="6" customFormat="false" ht="15" hidden="false" customHeight="false" outlineLevel="0" collapsed="false">
      <c r="B6" s="19" t="n">
        <v>2</v>
      </c>
      <c r="C6" s="30" t="n">
        <f aca="false">'TURN BUDGET'!H6</f>
        <v>10.75</v>
      </c>
      <c r="D6" s="22" t="n">
        <f aca="false">ASSUMPTIONS!$C$9+B6+ASSUMPTIONS!$C$28*(C6*B6)</f>
        <v>19.9</v>
      </c>
      <c r="E6" s="22" t="n">
        <f aca="false">D6/B6</f>
        <v>9.95</v>
      </c>
      <c r="F6" s="22" t="n">
        <f aca="false">C6+E6</f>
        <v>20.7</v>
      </c>
      <c r="G6" s="22" t="n">
        <f aca="false">F6*B6</f>
        <v>41.4</v>
      </c>
      <c r="H6" s="22" t="n">
        <f aca="false">G6*ASSUMPTIONS!$C$25/60</f>
        <v>51.75</v>
      </c>
      <c r="I6" s="21" t="str">
        <f aca="false">IF(AND(H6&gt;=ASSUMPTIONS!$C$26,H6&lt;=ASSUMPTIONS!$C$27),"Yes",IF(H6&lt;ASSUMPTIONS!$C$26,"Too short","Too long"))</f>
        <v>Yes</v>
      </c>
    </row>
    <row r="7" customFormat="false" ht="15" hidden="false" customHeight="false" outlineLevel="0" collapsed="false">
      <c r="B7" s="19" t="n">
        <v>3</v>
      </c>
      <c r="C7" s="30" t="n">
        <f aca="false">'TURN BUDGET'!H7</f>
        <v>6</v>
      </c>
      <c r="D7" s="22" t="n">
        <f aca="false">ASSUMPTIONS!$C$9+B7+ASSUMPTIONS!$C$28*(C7*B7)</f>
        <v>18.8</v>
      </c>
      <c r="E7" s="22" t="n">
        <f aca="false">D7/B7</f>
        <v>6.26666666666667</v>
      </c>
      <c r="F7" s="22" t="n">
        <f aca="false">C7+E7</f>
        <v>12.2666666666667</v>
      </c>
      <c r="G7" s="22" t="n">
        <f aca="false">F7*B7</f>
        <v>36.8</v>
      </c>
      <c r="H7" s="22" t="n">
        <f aca="false">G7*ASSUMPTIONS!$C$25/60</f>
        <v>46</v>
      </c>
      <c r="I7" s="21" t="str">
        <f aca="false">IF(AND(H7&gt;=ASSUMPTIONS!$C$26,H7&lt;=ASSUMPTIONS!$C$27),"Yes",IF(H7&lt;ASSUMPTIONS!$C$26,"Too short","Too long"))</f>
        <v>Yes</v>
      </c>
    </row>
    <row r="8" customFormat="false" ht="15" hidden="false" customHeight="false" outlineLevel="0" collapsed="false">
      <c r="B8" s="19" t="n">
        <v>4</v>
      </c>
      <c r="C8" s="30" t="n">
        <f aca="false">'TURN BUDGET'!H8</f>
        <v>3.625</v>
      </c>
      <c r="D8" s="22" t="n">
        <f aca="false">ASSUMPTIONS!$C$9+B8+ASSUMPTIONS!$C$28*(C8*B8)</f>
        <v>17.7</v>
      </c>
      <c r="E8" s="22" t="n">
        <f aca="false">D8/B8</f>
        <v>4.425</v>
      </c>
      <c r="F8" s="22" t="n">
        <f aca="false">C8+E8</f>
        <v>8.05</v>
      </c>
      <c r="G8" s="22" t="n">
        <f aca="false">F8*B8</f>
        <v>32.2</v>
      </c>
      <c r="H8" s="22" t="n">
        <f aca="false">G8*ASSUMPTIONS!$C$25/60</f>
        <v>40.25</v>
      </c>
      <c r="I8" s="21" t="str">
        <f aca="false">IF(AND(H8&gt;=ASSUMPTIONS!$C$26,H8&lt;=ASSUMPTIONS!$C$27),"Yes",IF(H8&lt;ASSUMPTIONS!$C$26,"Too short","Too long"))</f>
        <v>Yes</v>
      </c>
    </row>
    <row r="9" customFormat="false" ht="15" hidden="false" customHeight="false" outlineLevel="0" collapsed="false">
      <c r="B9" s="19" t="n">
        <v>5</v>
      </c>
      <c r="C9" s="30" t="n">
        <f aca="false">'TURN BUDGET'!H9</f>
        <v>4.4</v>
      </c>
      <c r="D9" s="22" t="n">
        <f aca="false">ASSUMPTIONS!$C$9+B9+ASSUMPTIONS!$C$28*(C9*B9)</f>
        <v>23.2</v>
      </c>
      <c r="E9" s="22" t="n">
        <f aca="false">D9/B9</f>
        <v>4.64</v>
      </c>
      <c r="F9" s="22" t="n">
        <f aca="false">C9+E9</f>
        <v>9.04</v>
      </c>
      <c r="G9" s="22" t="n">
        <f aca="false">F9*B9</f>
        <v>45.2</v>
      </c>
      <c r="H9" s="22" t="n">
        <f aca="false">G9*ASSUMPTIONS!$C$25/60</f>
        <v>56.5</v>
      </c>
      <c r="I9" s="21" t="str">
        <f aca="false">IF(AND(H9&gt;=ASSUMPTIONS!$C$26,H9&lt;=ASSUMPTIONS!$C$27),"Yes",IF(H9&lt;ASSUMPTIONS!$C$26,"Too short","Too long"))</f>
        <v>Yes</v>
      </c>
    </row>
    <row r="10" customFormat="false" ht="15" hidden="false" customHeight="false" outlineLevel="0" collapsed="false">
      <c r="B10" s="19" t="n">
        <v>6</v>
      </c>
      <c r="C10" s="30" t="n">
        <f aca="false">'TURN BUDGET'!H10</f>
        <v>3.08333333333333</v>
      </c>
      <c r="D10" s="22" t="n">
        <f aca="false">ASSUMPTIONS!$C$9+B10+ASSUMPTIONS!$C$28*(C10*B10)</f>
        <v>22.1</v>
      </c>
      <c r="E10" s="22" t="n">
        <f aca="false">D10/B10</f>
        <v>3.68333333333333</v>
      </c>
      <c r="F10" s="22" t="n">
        <f aca="false">C10+E10</f>
        <v>6.76666666666667</v>
      </c>
      <c r="G10" s="22" t="n">
        <f aca="false">F10*B10</f>
        <v>40.6</v>
      </c>
      <c r="H10" s="22" t="n">
        <f aca="false">G10*ASSUMPTIONS!$C$25/60</f>
        <v>50.75</v>
      </c>
      <c r="I10" s="21" t="str">
        <f aca="false">IF(AND(H10&gt;=ASSUMPTIONS!$C$26,H10&lt;=ASSUMPTIONS!$C$27),"Yes",IF(H10&lt;ASSUMPTIONS!$C$26,"Too short","Too long"))</f>
        <v>Yes</v>
      </c>
    </row>
    <row r="11" customFormat="false" ht="15" hidden="false" customHeight="false" outlineLevel="0" collapsed="false">
      <c r="B11" s="19" t="n">
        <v>7</v>
      </c>
      <c r="C11" s="30" t="n">
        <f aca="false">'TURN BUDGET'!H11</f>
        <v>2.14285714285714</v>
      </c>
      <c r="D11" s="22" t="n">
        <f aca="false">ASSUMPTIONS!$C$9+B11+ASSUMPTIONS!$C$28*(C11*B11)</f>
        <v>21</v>
      </c>
      <c r="E11" s="22" t="n">
        <f aca="false">D11/B11</f>
        <v>3</v>
      </c>
      <c r="F11" s="22" t="n">
        <f aca="false">C11+E11</f>
        <v>5.14285714285714</v>
      </c>
      <c r="G11" s="22" t="n">
        <f aca="false">F11*B11</f>
        <v>36</v>
      </c>
      <c r="H11" s="22" t="n">
        <f aca="false">G11*ASSUMPTIONS!$C$25/60</f>
        <v>45</v>
      </c>
      <c r="I11" s="21" t="str">
        <f aca="false">IF(AND(H11&gt;=ASSUMPTIONS!$C$26,H11&lt;=ASSUMPTIONS!$C$27),"Yes",IF(H11&lt;ASSUMPTIONS!$C$26,"Too short","Too long"))</f>
        <v>Yes</v>
      </c>
    </row>
    <row r="13" customFormat="false" ht="15" hidden="false" customHeight="true" outlineLevel="0" collapsed="false">
      <c r="B13" s="24" t="s">
        <v>96</v>
      </c>
      <c r="C13" s="24"/>
      <c r="D13" s="24"/>
      <c r="E13" s="24"/>
      <c r="F13" s="24"/>
      <c r="G13" s="24"/>
      <c r="H13" s="24"/>
      <c r="I13" s="24"/>
    </row>
    <row r="14" customFormat="false" ht="15" hidden="false" customHeight="false" outlineLevel="0" collapsed="false">
      <c r="B14" s="24"/>
      <c r="C14" s="24"/>
      <c r="D14" s="24"/>
      <c r="E14" s="24"/>
      <c r="F14" s="24"/>
      <c r="G14" s="24"/>
      <c r="H14" s="24"/>
      <c r="I14" s="24"/>
    </row>
    <row r="15" customFormat="false" ht="15" hidden="false" customHeight="false" outlineLevel="0" collapsed="false">
      <c r="B15" s="24"/>
      <c r="C15" s="24"/>
      <c r="D15" s="24"/>
      <c r="E15" s="24"/>
      <c r="F15" s="24"/>
      <c r="G15" s="24"/>
      <c r="H15" s="24"/>
      <c r="I15" s="24"/>
    </row>
  </sheetData>
  <mergeCells count="2">
    <mergeCell ref="B3:I3"/>
    <mergeCell ref="B13:I15"/>
  </mergeCells>
  <conditionalFormatting sqref="H6:H11">
    <cfRule type="colorScale" priority="2">
      <colorScale>
        <cfvo type="num" val="30"/>
        <cfvo type="num" val="60"/>
        <cfvo type="num" val="120"/>
        <color rgb="FFC6EFCE"/>
        <color rgb="FFFFEB9C"/>
        <color rgb="FFFFC7CE"/>
      </colorScale>
    </cfRule>
  </conditionalFormatting>
  <conditionalFormatting sqref="I6:I11">
    <cfRule type="cellIs" priority="3" operator="equal" aboveAverage="0" equalAverage="0" bottom="0" percent="0" rank="0" text="" dxfId="3">
      <formula>"Yes"</formula>
    </cfRule>
    <cfRule type="expression" priority="4" aboveAverage="0" equalAverage="0" bottom="0" percent="0" rank="0" text="" dxfId="4">
      <formula>I6&lt;&gt;"Yes"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2"/>
    <col collapsed="false" customWidth="true" hidden="false" outlineLevel="0" max="5" min="3" style="1" width="16"/>
    <col collapsed="false" customWidth="true" hidden="false" outlineLevel="0" max="6" min="6" style="1" width="30"/>
  </cols>
  <sheetData>
    <row r="2" customFormat="false" ht="17.25" hidden="false" customHeight="true" outlineLevel="0" collapsed="false">
      <c r="B2" s="2" t="s">
        <v>97</v>
      </c>
    </row>
    <row r="3" customFormat="false" ht="32.25" hidden="false" customHeight="true" outlineLevel="0" collapsed="false">
      <c r="B3" s="24" t="s">
        <v>98</v>
      </c>
      <c r="C3" s="24"/>
      <c r="D3" s="24"/>
      <c r="E3" s="24"/>
      <c r="F3" s="24"/>
    </row>
    <row r="5" customFormat="false" ht="15" hidden="false" customHeight="true" outlineLevel="0" collapsed="false">
      <c r="B5" s="18" t="s">
        <v>57</v>
      </c>
      <c r="C5" s="18" t="s">
        <v>99</v>
      </c>
      <c r="D5" s="18" t="s">
        <v>100</v>
      </c>
      <c r="E5" s="18" t="s">
        <v>101</v>
      </c>
      <c r="F5" s="18" t="s">
        <v>102</v>
      </c>
    </row>
    <row r="6" customFormat="false" ht="15" hidden="false" customHeight="true" outlineLevel="0" collapsed="false">
      <c r="B6" s="19" t="n">
        <v>2</v>
      </c>
      <c r="C6" s="22" t="n">
        <f aca="false">'TURN BUDGET'!H6-2*3</f>
        <v>4.75</v>
      </c>
      <c r="D6" s="22" t="n">
        <f aca="false">'TURN BUDGET'!H6-2*2</f>
        <v>6.75</v>
      </c>
      <c r="E6" s="22" t="n">
        <f aca="false">'TURN BUDGET'!H6-2*1</f>
        <v>8.75</v>
      </c>
      <c r="F6" s="9"/>
    </row>
    <row r="7" customFormat="false" ht="15" hidden="false" customHeight="true" outlineLevel="0" collapsed="false">
      <c r="B7" s="19" t="n">
        <v>3</v>
      </c>
      <c r="C7" s="22" t="n">
        <f aca="false">'TURN BUDGET'!H7-2*3</f>
        <v>0</v>
      </c>
      <c r="D7" s="22" t="n">
        <f aca="false">'TURN BUDGET'!H7-2*2</f>
        <v>2</v>
      </c>
      <c r="E7" s="22" t="n">
        <f aca="false">'TURN BUDGET'!H7-2*1</f>
        <v>4</v>
      </c>
      <c r="F7" s="9"/>
    </row>
    <row r="8" customFormat="false" ht="15" hidden="false" customHeight="true" outlineLevel="0" collapsed="false">
      <c r="B8" s="19" t="n">
        <v>4</v>
      </c>
      <c r="C8" s="22" t="n">
        <f aca="false">'TURN BUDGET'!H8-2*3</f>
        <v>-2.375</v>
      </c>
      <c r="D8" s="22" t="n">
        <f aca="false">'TURN BUDGET'!H8-2*2</f>
        <v>-0.375</v>
      </c>
      <c r="E8" s="22" t="n">
        <f aca="false">'TURN BUDGET'!H8-2*1</f>
        <v>1.625</v>
      </c>
      <c r="F8" s="9" t="s">
        <v>103</v>
      </c>
    </row>
    <row r="9" customFormat="false" ht="15" hidden="false" customHeight="true" outlineLevel="0" collapsed="false">
      <c r="B9" s="19" t="n">
        <v>5</v>
      </c>
      <c r="C9" s="22" t="n">
        <f aca="false">'TURN BUDGET'!H9-2*3</f>
        <v>-1.6</v>
      </c>
      <c r="D9" s="22" t="n">
        <f aca="false">'TURN BUDGET'!H9-2*2</f>
        <v>0.4</v>
      </c>
      <c r="E9" s="22" t="n">
        <f aca="false">'TURN BUDGET'!H9-2*1</f>
        <v>2.4</v>
      </c>
      <c r="F9" s="9" t="s">
        <v>104</v>
      </c>
    </row>
    <row r="10" customFormat="false" ht="15" hidden="false" customHeight="true" outlineLevel="0" collapsed="false">
      <c r="B10" s="19" t="n">
        <v>6</v>
      </c>
      <c r="C10" s="22" t="n">
        <f aca="false">'TURN BUDGET'!H10-2*3</f>
        <v>-2.91666666666667</v>
      </c>
      <c r="D10" s="22" t="n">
        <f aca="false">'TURN BUDGET'!H10-2*2</f>
        <v>-0.916666666666667</v>
      </c>
      <c r="E10" s="22" t="n">
        <f aca="false">'TURN BUDGET'!H10-2*1</f>
        <v>1.08333333333333</v>
      </c>
      <c r="F10" s="9" t="s">
        <v>105</v>
      </c>
    </row>
    <row r="11" customFormat="false" ht="15" hidden="false" customHeight="true" outlineLevel="0" collapsed="false">
      <c r="B11" s="19" t="n">
        <v>7</v>
      </c>
      <c r="C11" s="22" t="n">
        <f aca="false">'TURN BUDGET'!H11-2*3</f>
        <v>-3.85714285714286</v>
      </c>
      <c r="D11" s="22" t="n">
        <f aca="false">'TURN BUDGET'!H11-2*2</f>
        <v>-1.85714285714286</v>
      </c>
      <c r="E11" s="22" t="n">
        <f aca="false">'TURN BUDGET'!H11-2*1</f>
        <v>0.142857142857143</v>
      </c>
      <c r="F11" s="9" t="s">
        <v>106</v>
      </c>
    </row>
    <row r="13" customFormat="false" ht="42.75" hidden="false" customHeight="true" outlineLevel="0" collapsed="false">
      <c r="B13" s="24" t="s">
        <v>107</v>
      </c>
      <c r="C13" s="24"/>
      <c r="D13" s="24"/>
      <c r="E13" s="24"/>
      <c r="F13" s="24"/>
    </row>
  </sheetData>
  <mergeCells count="2">
    <mergeCell ref="B3:F3"/>
    <mergeCell ref="B13:F13"/>
  </mergeCells>
  <conditionalFormatting sqref="C6:C11">
    <cfRule type="cellIs" priority="2" operator="lessThanOrEqual" aboveAverage="0" equalAverage="0" bottom="0" percent="0" rank="0" text="" dxfId="0">
      <formula>0</formula>
    </cfRule>
    <cfRule type="cellIs" priority="3" operator="greaterThan" aboveAverage="0" equalAverage="0" bottom="0" percent="0" rank="0" text="" dxfId="1">
      <formula>1</formula>
    </cfRule>
    <cfRule type="cellIs" priority="4" operator="between" aboveAverage="0" equalAverage="0" bottom="0" percent="0" rank="0" text="" dxfId="2">
      <formula>0</formula>
      <formula>1</formula>
    </cfRule>
  </conditionalFormatting>
  <conditionalFormatting sqref="D6:D11">
    <cfRule type="cellIs" priority="5" operator="lessThanOrEqual" aboveAverage="0" equalAverage="0" bottom="0" percent="0" rank="0" text="" dxfId="0">
      <formula>0</formula>
    </cfRule>
    <cfRule type="cellIs" priority="6" operator="greaterThan" aboveAverage="0" equalAverage="0" bottom="0" percent="0" rank="0" text="" dxfId="1">
      <formula>1</formula>
    </cfRule>
    <cfRule type="cellIs" priority="7" operator="between" aboveAverage="0" equalAverage="0" bottom="0" percent="0" rank="0" text="" dxfId="2">
      <formula>0</formula>
      <formula>1</formula>
    </cfRule>
  </conditionalFormatting>
  <conditionalFormatting sqref="E6:E11">
    <cfRule type="cellIs" priority="8" operator="lessThanOrEqual" aboveAverage="0" equalAverage="0" bottom="0" percent="0" rank="0" text="" dxfId="0">
      <formula>0</formula>
    </cfRule>
    <cfRule type="cellIs" priority="9" operator="greaterThan" aboveAverage="0" equalAverage="0" bottom="0" percent="0" rank="0" text="" dxfId="1">
      <formula>1</formula>
    </cfRule>
    <cfRule type="cellIs" priority="10" operator="between" aboveAverage="0" equalAverage="0" bottom="0" percent="0" rank="0" text="" dxfId="2">
      <formula>0</formula>
      <formula>1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30"/>
    <col collapsed="false" customWidth="true" hidden="false" outlineLevel="0" max="6" min="3" style="1" width="12"/>
    <col collapsed="false" customWidth="true" hidden="false" outlineLevel="0" max="7" min="7" style="1" width="34"/>
  </cols>
  <sheetData>
    <row r="2" customFormat="false" ht="17.25" hidden="false" customHeight="true" outlineLevel="0" collapsed="false">
      <c r="B2" s="2" t="s">
        <v>108</v>
      </c>
    </row>
    <row r="3" customFormat="false" ht="21.75" hidden="false" customHeight="true" outlineLevel="0" collapsed="false">
      <c r="B3" s="24" t="s">
        <v>109</v>
      </c>
      <c r="C3" s="24"/>
      <c r="D3" s="24"/>
      <c r="E3" s="24"/>
      <c r="F3" s="24"/>
      <c r="G3" s="24"/>
    </row>
    <row r="5" customFormat="false" ht="15" hidden="false" customHeight="true" outlineLevel="0" collapsed="false">
      <c r="B5" s="18" t="s">
        <v>110</v>
      </c>
      <c r="C5" s="18" t="s">
        <v>111</v>
      </c>
      <c r="D5" s="18" t="s">
        <v>112</v>
      </c>
      <c r="E5" s="18" t="s">
        <v>113</v>
      </c>
      <c r="F5" s="18"/>
      <c r="G5" s="18" t="s">
        <v>114</v>
      </c>
    </row>
    <row r="6" customFormat="false" ht="15" hidden="false" customHeight="true" outlineLevel="0" collapsed="false">
      <c r="B6" s="19" t="s">
        <v>115</v>
      </c>
      <c r="C6" s="31" t="n">
        <v>1</v>
      </c>
      <c r="D6" s="31" t="n">
        <v>2</v>
      </c>
      <c r="E6" s="31" t="n">
        <v>3</v>
      </c>
      <c r="F6" s="21"/>
      <c r="G6" s="32" t="s">
        <v>116</v>
      </c>
    </row>
    <row r="7" customFormat="false" ht="15" hidden="false" customHeight="true" outlineLevel="0" collapsed="false">
      <c r="B7" s="19" t="s">
        <v>117</v>
      </c>
      <c r="C7" s="31" t="n">
        <v>2</v>
      </c>
      <c r="D7" s="31" t="n">
        <v>3</v>
      </c>
      <c r="E7" s="31" t="n">
        <v>4</v>
      </c>
      <c r="F7" s="21"/>
      <c r="G7" s="29" t="s">
        <v>118</v>
      </c>
    </row>
    <row r="8" customFormat="false" ht="15" hidden="false" customHeight="true" outlineLevel="0" collapsed="false">
      <c r="B8" s="19" t="s">
        <v>119</v>
      </c>
      <c r="C8" s="31" t="n">
        <v>3</v>
      </c>
      <c r="D8" s="31" t="n">
        <v>4</v>
      </c>
      <c r="E8" s="31" t="n">
        <v>5</v>
      </c>
      <c r="F8" s="21"/>
      <c r="G8" s="29" t="s">
        <v>120</v>
      </c>
    </row>
    <row r="9" customFormat="false" ht="15" hidden="false" customHeight="true" outlineLevel="0" collapsed="false">
      <c r="B9" s="19" t="s">
        <v>121</v>
      </c>
      <c r="C9" s="31" t="n">
        <v>4</v>
      </c>
      <c r="D9" s="31" t="n">
        <v>5</v>
      </c>
      <c r="E9" s="31" t="n">
        <v>6</v>
      </c>
      <c r="F9" s="21"/>
      <c r="G9" s="29" t="s">
        <v>122</v>
      </c>
    </row>
    <row r="10" customFormat="false" ht="15" hidden="false" customHeight="true" outlineLevel="0" collapsed="false">
      <c r="B10" s="19" t="s">
        <v>123</v>
      </c>
      <c r="C10" s="31" t="n">
        <v>5</v>
      </c>
      <c r="D10" s="31" t="n">
        <v>6</v>
      </c>
      <c r="E10" s="31" t="n">
        <v>7</v>
      </c>
      <c r="F10" s="21"/>
      <c r="G10" s="29" t="s">
        <v>124</v>
      </c>
    </row>
    <row r="11" customFormat="false" ht="15" hidden="false" customHeight="true" outlineLevel="0" collapsed="false">
      <c r="B11" s="19" t="s">
        <v>125</v>
      </c>
      <c r="C11" s="31" t="n">
        <v>6</v>
      </c>
      <c r="D11" s="31" t="n">
        <v>7</v>
      </c>
      <c r="E11" s="31" t="n">
        <v>8</v>
      </c>
      <c r="F11" s="21"/>
      <c r="G11" s="9" t="s">
        <v>126</v>
      </c>
    </row>
    <row r="12" customFormat="false" ht="15" hidden="false" customHeight="true" outlineLevel="0" collapsed="false">
      <c r="B12" s="19" t="s">
        <v>127</v>
      </c>
      <c r="C12" s="31" t="n">
        <v>7</v>
      </c>
      <c r="D12" s="31" t="n">
        <v>8</v>
      </c>
      <c r="E12" s="31" t="n">
        <v>9</v>
      </c>
      <c r="F12" s="21"/>
      <c r="G12" s="9" t="s">
        <v>128</v>
      </c>
    </row>
    <row r="13" customFormat="false" ht="15" hidden="false" customHeight="true" outlineLevel="0" collapsed="false">
      <c r="B13" s="19" t="s">
        <v>129</v>
      </c>
      <c r="C13" s="31" t="n">
        <v>8</v>
      </c>
      <c r="D13" s="31" t="n">
        <v>9</v>
      </c>
      <c r="E13" s="31" t="n">
        <v>10</v>
      </c>
      <c r="F13" s="21"/>
    </row>
    <row r="14" customFormat="false" ht="15" hidden="false" customHeight="true" outlineLevel="0" collapsed="false">
      <c r="B14" s="19" t="s">
        <v>130</v>
      </c>
      <c r="C14" s="31" t="n">
        <v>9</v>
      </c>
      <c r="D14" s="31" t="n">
        <v>10</v>
      </c>
      <c r="E14" s="31" t="n">
        <v>11</v>
      </c>
      <c r="F14" s="21"/>
    </row>
    <row r="15" customFormat="false" ht="15" hidden="false" customHeight="true" outlineLevel="0" collapsed="false">
      <c r="B15" s="19" t="s">
        <v>131</v>
      </c>
      <c r="C15" s="31" t="n">
        <v>10</v>
      </c>
      <c r="D15" s="31" t="n">
        <v>11</v>
      </c>
      <c r="E15" s="31" t="n">
        <v>12</v>
      </c>
      <c r="F15" s="21"/>
    </row>
    <row r="16" customFormat="false" ht="15" hidden="false" customHeight="true" outlineLevel="0" collapsed="false">
      <c r="B16" s="19" t="s">
        <v>132</v>
      </c>
      <c r="C16" s="31" t="n">
        <v>11</v>
      </c>
      <c r="D16" s="31" t="n">
        <v>12</v>
      </c>
      <c r="E16" s="31" t="n">
        <v>13</v>
      </c>
      <c r="F16" s="21"/>
    </row>
    <row r="17" customFormat="false" ht="15" hidden="false" customHeight="true" outlineLevel="0" collapsed="false">
      <c r="B17" s="19" t="s">
        <v>133</v>
      </c>
      <c r="C17" s="31" t="n">
        <v>12</v>
      </c>
      <c r="D17" s="31" t="n">
        <v>13</v>
      </c>
      <c r="E17" s="31" t="n">
        <v>14</v>
      </c>
      <c r="F17" s="21"/>
    </row>
    <row r="20" customFormat="false" ht="21.75" hidden="false" customHeight="true" outlineLevel="0" collapsed="false">
      <c r="B20" s="24" t="s">
        <v>134</v>
      </c>
      <c r="C20" s="24"/>
      <c r="D20" s="24"/>
      <c r="E20" s="24"/>
      <c r="F20" s="24"/>
      <c r="G20" s="24"/>
    </row>
  </sheetData>
  <mergeCells count="2">
    <mergeCell ref="B3:G3"/>
    <mergeCell ref="B20:G20"/>
  </mergeCells>
  <conditionalFormatting sqref="C6:E18">
    <cfRule type="colorScale" priority="2">
      <colorScale>
        <cfvo type="num" val="1"/>
        <cfvo type="num" val="6"/>
        <cfvo type="num" val="14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5" min="2" style="0" width="8"/>
    <col collapsed="false" customWidth="true" hidden="false" outlineLevel="0" max="6" min="6" style="0" width="3"/>
    <col collapsed="false" customWidth="true" hidden="false" outlineLevel="0" max="9" min="7" style="0" width="9"/>
    <col collapsed="false" customWidth="true" hidden="false" outlineLevel="0" max="10" min="10" style="0" width="28"/>
  </cols>
  <sheetData>
    <row r="2" customFormat="false" ht="17.35" hidden="false" customHeight="false" outlineLevel="0" collapsed="false">
      <c r="B2" s="25" t="s">
        <v>135</v>
      </c>
    </row>
    <row r="3" customFormat="false" ht="22.35" hidden="false" customHeight="true" outlineLevel="0" collapsed="false">
      <c r="B3" s="24" t="s">
        <v>136</v>
      </c>
      <c r="C3" s="24"/>
      <c r="D3" s="24"/>
      <c r="E3" s="24"/>
      <c r="F3" s="24"/>
      <c r="G3" s="24"/>
      <c r="H3" s="24"/>
      <c r="I3" s="24"/>
      <c r="J3" s="24"/>
    </row>
    <row r="5" customFormat="false" ht="15" hidden="false" customHeight="false" outlineLevel="0" collapsed="false">
      <c r="B5" s="18" t="s">
        <v>137</v>
      </c>
      <c r="C5" s="18" t="s">
        <v>138</v>
      </c>
      <c r="D5" s="18" t="s">
        <v>139</v>
      </c>
      <c r="E5" s="18" t="s">
        <v>140</v>
      </c>
      <c r="G5" s="18" t="s">
        <v>141</v>
      </c>
      <c r="H5" s="18" t="s">
        <v>142</v>
      </c>
      <c r="I5" s="18" t="s">
        <v>143</v>
      </c>
      <c r="J5" s="18" t="s">
        <v>144</v>
      </c>
    </row>
    <row r="6" customFormat="false" ht="15" hidden="false" customHeight="false" outlineLevel="0" collapsed="false">
      <c r="B6" s="19" t="n">
        <v>3</v>
      </c>
      <c r="C6" s="8" t="n">
        <v>3</v>
      </c>
      <c r="D6" s="8" t="n">
        <v>5</v>
      </c>
      <c r="E6" s="8" t="n">
        <v>7</v>
      </c>
      <c r="G6" s="33" t="n">
        <f aca="false">C6/B6</f>
        <v>1</v>
      </c>
      <c r="H6" s="33" t="n">
        <f aca="false">D6/B6</f>
        <v>1.66666666666667</v>
      </c>
      <c r="I6" s="33" t="n">
        <f aca="false">E6/B6</f>
        <v>2.33333333333333</v>
      </c>
      <c r="J6" s="29" t="str">
        <f aca="false">CHOOSE(MATCH(MAX(G6:I6),G6:I6,0),"Conjuration","Transfiguration","Perfect Transmutation")</f>
        <v>Perfect Transmutation</v>
      </c>
    </row>
    <row r="7" customFormat="false" ht="15" hidden="false" customHeight="false" outlineLevel="0" collapsed="false">
      <c r="B7" s="19" t="n">
        <v>4</v>
      </c>
      <c r="C7" s="8" t="n">
        <v>4</v>
      </c>
      <c r="D7" s="8" t="n">
        <v>7</v>
      </c>
      <c r="E7" s="8" t="n">
        <v>10</v>
      </c>
      <c r="G7" s="33" t="n">
        <f aca="false">C7/B7</f>
        <v>1</v>
      </c>
      <c r="H7" s="33" t="n">
        <f aca="false">D7/B7</f>
        <v>1.75</v>
      </c>
      <c r="I7" s="33" t="n">
        <f aca="false">E7/B7</f>
        <v>2.5</v>
      </c>
      <c r="J7" s="29" t="str">
        <f aca="false">CHOOSE(MATCH(MAX(G7:I7),G7:I7,0),"Conjuration","Transfiguration","Perfect Transmutation")</f>
        <v>Perfect Transmutation</v>
      </c>
    </row>
    <row r="8" customFormat="false" ht="15" hidden="false" customHeight="false" outlineLevel="0" collapsed="false">
      <c r="B8" s="19" t="n">
        <v>5</v>
      </c>
      <c r="C8" s="8" t="n">
        <v>6</v>
      </c>
      <c r="D8" s="8" t="n">
        <v>10</v>
      </c>
      <c r="E8" s="8" t="n">
        <v>14</v>
      </c>
      <c r="G8" s="33" t="n">
        <f aca="false">C8/B8</f>
        <v>1.2</v>
      </c>
      <c r="H8" s="33" t="n">
        <f aca="false">D8/B8</f>
        <v>2</v>
      </c>
      <c r="I8" s="33" t="n">
        <f aca="false">E8/B8</f>
        <v>2.8</v>
      </c>
      <c r="J8" s="29" t="str">
        <f aca="false">CHOOSE(MATCH(MAX(G8:I8),G8:I8,0),"Conjuration","Transfiguration","Perfect Transmutation")</f>
        <v>Perfect Transmutation</v>
      </c>
    </row>
    <row r="9" customFormat="false" ht="15" hidden="false" customHeight="false" outlineLevel="0" collapsed="false">
      <c r="B9" s="19" t="n">
        <v>6</v>
      </c>
      <c r="C9" s="8" t="n">
        <v>9</v>
      </c>
      <c r="D9" s="8" t="n">
        <v>14</v>
      </c>
      <c r="E9" s="8" t="n">
        <v>19</v>
      </c>
      <c r="G9" s="33" t="n">
        <f aca="false">C9/B9</f>
        <v>1.5</v>
      </c>
      <c r="H9" s="33" t="n">
        <f aca="false">D9/B9</f>
        <v>2.33333333333333</v>
      </c>
      <c r="I9" s="33" t="n">
        <f aca="false">E9/B9</f>
        <v>3.16666666666667</v>
      </c>
      <c r="J9" s="29" t="str">
        <f aca="false">CHOOSE(MATCH(MAX(G9:I9),G9:I9,0),"Conjuration","Transfiguration","Perfect Transmutation")</f>
        <v>Perfect Transmutation</v>
      </c>
    </row>
    <row r="10" customFormat="false" ht="15" hidden="false" customHeight="false" outlineLevel="0" collapsed="false">
      <c r="B10" s="19" t="n">
        <v>7</v>
      </c>
      <c r="C10" s="8" t="n">
        <v>13</v>
      </c>
      <c r="D10" s="8" t="n">
        <v>19</v>
      </c>
      <c r="E10" s="8" t="n">
        <v>25</v>
      </c>
      <c r="G10" s="33" t="n">
        <f aca="false">C10/B10</f>
        <v>1.85714285714286</v>
      </c>
      <c r="H10" s="33" t="n">
        <f aca="false">D10/B10</f>
        <v>2.71428571428571</v>
      </c>
      <c r="I10" s="33" t="n">
        <f aca="false">E10/B10</f>
        <v>3.57142857142857</v>
      </c>
      <c r="J10" s="29" t="str">
        <f aca="false">CHOOSE(MATCH(MAX(G10:I10),G10:I10,0),"Conjuration","Transfiguration","Perfect Transmutation")</f>
        <v>Perfect Transmutation</v>
      </c>
    </row>
    <row r="11" customFormat="false" ht="15" hidden="false" customHeight="false" outlineLevel="0" collapsed="false">
      <c r="B11" s="19" t="n">
        <v>8</v>
      </c>
      <c r="C11" s="8" t="n">
        <v>18</v>
      </c>
      <c r="D11" s="8" t="n">
        <v>25</v>
      </c>
      <c r="E11" s="8" t="n">
        <v>32</v>
      </c>
      <c r="G11" s="33" t="n">
        <f aca="false">C11/B11</f>
        <v>2.25</v>
      </c>
      <c r="H11" s="33" t="n">
        <f aca="false">D11/B11</f>
        <v>3.125</v>
      </c>
      <c r="I11" s="33" t="n">
        <f aca="false">E11/B11</f>
        <v>4</v>
      </c>
      <c r="J11" s="29" t="str">
        <f aca="false">CHOOSE(MATCH(MAX(G11:I11),G11:I11,0),"Conjuration","Transfiguration","Perfect Transmutation")</f>
        <v>Perfect Transmutation</v>
      </c>
    </row>
    <row r="12" customFormat="false" ht="15" hidden="false" customHeight="false" outlineLevel="0" collapsed="false">
      <c r="B12" s="19" t="n">
        <v>9</v>
      </c>
      <c r="C12" s="8" t="n">
        <v>24</v>
      </c>
      <c r="D12" s="8" t="n">
        <v>32</v>
      </c>
      <c r="E12" s="8" t="n">
        <v>40</v>
      </c>
      <c r="G12" s="33" t="n">
        <f aca="false">C12/B12</f>
        <v>2.66666666666667</v>
      </c>
      <c r="H12" s="33" t="n">
        <f aca="false">D12/B12</f>
        <v>3.55555555555556</v>
      </c>
      <c r="I12" s="33" t="n">
        <f aca="false">E12/B12</f>
        <v>4.44444444444445</v>
      </c>
      <c r="J12" s="29" t="str">
        <f aca="false">CHOOSE(MATCH(MAX(G12:I12),G12:I12,0),"Conjuration","Transfiguration","Perfect Transmutation")</f>
        <v>Perfect Transmutation</v>
      </c>
    </row>
    <row r="13" customFormat="false" ht="15" hidden="false" customHeight="false" outlineLevel="0" collapsed="false">
      <c r="B13" s="19" t="n">
        <v>10</v>
      </c>
      <c r="C13" s="8" t="n">
        <v>31</v>
      </c>
      <c r="D13" s="8" t="n">
        <v>40</v>
      </c>
      <c r="E13" s="8" t="n">
        <v>49</v>
      </c>
      <c r="G13" s="33" t="n">
        <f aca="false">C13/B13</f>
        <v>3.1</v>
      </c>
      <c r="H13" s="33" t="n">
        <f aca="false">D13/B13</f>
        <v>4</v>
      </c>
      <c r="I13" s="33" t="n">
        <f aca="false">E13/B13</f>
        <v>4.9</v>
      </c>
      <c r="J13" s="29" t="str">
        <f aca="false">CHOOSE(MATCH(MAX(G13:I13),G13:I13,0),"Conjuration","Transfiguration","Perfect Transmutation")</f>
        <v>Perfect Transmutation</v>
      </c>
    </row>
    <row r="14" customFormat="false" ht="15" hidden="false" customHeight="false" outlineLevel="0" collapsed="false">
      <c r="B14" s="19" t="n">
        <v>11</v>
      </c>
      <c r="C14" s="8" t="n">
        <v>39</v>
      </c>
      <c r="D14" s="8" t="n">
        <v>49</v>
      </c>
      <c r="E14" s="8" t="n">
        <v>59</v>
      </c>
      <c r="G14" s="33" t="n">
        <f aca="false">C14/B14</f>
        <v>3.54545454545455</v>
      </c>
      <c r="H14" s="33" t="n">
        <f aca="false">D14/B14</f>
        <v>4.45454545454545</v>
      </c>
      <c r="I14" s="33" t="n">
        <f aca="false">E14/B14</f>
        <v>5.36363636363636</v>
      </c>
      <c r="J14" s="29" t="str">
        <f aca="false">CHOOSE(MATCH(MAX(G14:I14),G14:I14,0),"Conjuration","Transfiguration","Perfect Transmutation")</f>
        <v>Perfect Transmutation</v>
      </c>
    </row>
    <row r="15" customFormat="false" ht="15" hidden="false" customHeight="false" outlineLevel="0" collapsed="false">
      <c r="B15" s="19" t="n">
        <v>12</v>
      </c>
      <c r="C15" s="8" t="n">
        <v>48</v>
      </c>
      <c r="D15" s="8" t="n">
        <v>59</v>
      </c>
      <c r="E15" s="8" t="n">
        <v>70</v>
      </c>
      <c r="G15" s="33" t="n">
        <f aca="false">C15/B15</f>
        <v>4</v>
      </c>
      <c r="H15" s="33" t="n">
        <f aca="false">D15/B15</f>
        <v>4.91666666666667</v>
      </c>
      <c r="I15" s="33" t="n">
        <f aca="false">E15/B15</f>
        <v>5.83333333333333</v>
      </c>
      <c r="J15" s="29" t="str">
        <f aca="false">CHOOSE(MATCH(MAX(G15:I15),G15:I15,0),"Conjuration","Transfiguration","Perfect Transmutation")</f>
        <v>Perfect Transmutation</v>
      </c>
    </row>
    <row r="16" customFormat="false" ht="15" hidden="false" customHeight="false" outlineLevel="0" collapsed="false">
      <c r="B16" s="19" t="n">
        <v>13</v>
      </c>
      <c r="C16" s="8" t="n">
        <v>58</v>
      </c>
      <c r="D16" s="8" t="n">
        <v>70</v>
      </c>
      <c r="E16" s="8" t="n">
        <v>82</v>
      </c>
      <c r="G16" s="33" t="n">
        <f aca="false">C16/B16</f>
        <v>4.46153846153846</v>
      </c>
      <c r="H16" s="33" t="n">
        <f aca="false">D16/B16</f>
        <v>5.38461538461539</v>
      </c>
      <c r="I16" s="33" t="n">
        <f aca="false">E16/B16</f>
        <v>6.30769230769231</v>
      </c>
      <c r="J16" s="29" t="str">
        <f aca="false">CHOOSE(MATCH(MAX(G16:I16),G16:I16,0),"Conjuration","Transfiguration","Perfect Transmutation")</f>
        <v>Perfect Transmutation</v>
      </c>
    </row>
    <row r="17" customFormat="false" ht="15" hidden="false" customHeight="false" outlineLevel="0" collapsed="false">
      <c r="B17" s="19" t="n">
        <v>14</v>
      </c>
      <c r="C17" s="8" t="n">
        <v>69</v>
      </c>
      <c r="D17" s="8" t="n">
        <v>82</v>
      </c>
      <c r="E17" s="8" t="n">
        <v>95</v>
      </c>
      <c r="G17" s="33" t="n">
        <f aca="false">C17/B17</f>
        <v>4.92857142857143</v>
      </c>
      <c r="H17" s="33" t="n">
        <f aca="false">D17/B17</f>
        <v>5.85714285714286</v>
      </c>
      <c r="I17" s="33" t="n">
        <f aca="false">E17/B17</f>
        <v>6.78571428571429</v>
      </c>
      <c r="J17" s="29" t="str">
        <f aca="false">CHOOSE(MATCH(MAX(G17:I17),G17:I17,0),"Conjuration","Transfiguration","Perfect Transmutation")</f>
        <v>Perfect Transmutation</v>
      </c>
    </row>
    <row r="18" customFormat="false" ht="15" hidden="false" customHeight="false" outlineLevel="0" collapsed="false">
      <c r="B18" s="19" t="n">
        <v>15</v>
      </c>
      <c r="C18" s="8" t="n">
        <v>81</v>
      </c>
      <c r="D18" s="8" t="n">
        <v>95</v>
      </c>
      <c r="E18" s="8" t="n">
        <v>109</v>
      </c>
      <c r="G18" s="33" t="n">
        <f aca="false">C18/B18</f>
        <v>5.4</v>
      </c>
      <c r="H18" s="33" t="n">
        <f aca="false">D18/B18</f>
        <v>6.33333333333333</v>
      </c>
      <c r="I18" s="33" t="n">
        <f aca="false">E18/B18</f>
        <v>7.26666666666667</v>
      </c>
      <c r="J18" s="29" t="str">
        <f aca="false">CHOOSE(MATCH(MAX(G18:I18),G18:I18,0),"Conjuration","Transfiguration","Perfect Transmutation")</f>
        <v>Perfect Transmutation</v>
      </c>
    </row>
    <row r="20" customFormat="false" ht="15" hidden="false" customHeight="true" outlineLevel="0" collapsed="false">
      <c r="B20" s="28" t="s">
        <v>145</v>
      </c>
      <c r="C20" s="28"/>
      <c r="D20" s="28"/>
      <c r="E20" s="28"/>
      <c r="G20" s="29" t="s">
        <v>146</v>
      </c>
      <c r="H20" s="29"/>
      <c r="I20" s="29"/>
      <c r="J20" s="29"/>
    </row>
    <row r="21" customFormat="false" ht="15" hidden="false" customHeight="true" outlineLevel="0" collapsed="false">
      <c r="B21" s="29"/>
      <c r="G21" s="29" t="s">
        <v>147</v>
      </c>
      <c r="H21" s="29"/>
      <c r="I21" s="29"/>
      <c r="J21" s="29"/>
    </row>
    <row r="23" customFormat="false" ht="15" hidden="false" customHeight="true" outlineLevel="0" collapsed="false">
      <c r="B23" s="24" t="s">
        <v>148</v>
      </c>
      <c r="C23" s="24"/>
      <c r="D23" s="24"/>
      <c r="E23" s="24"/>
      <c r="F23" s="24"/>
      <c r="G23" s="24"/>
      <c r="H23" s="24"/>
      <c r="I23" s="24"/>
      <c r="J23" s="24"/>
    </row>
    <row r="24" customFormat="false" ht="15" hidden="false" customHeight="false" outlineLevel="0" collapsed="false">
      <c r="B24" s="24"/>
      <c r="C24" s="24"/>
      <c r="D24" s="24"/>
      <c r="E24" s="24"/>
      <c r="F24" s="24"/>
      <c r="G24" s="24"/>
      <c r="H24" s="24"/>
      <c r="I24" s="24"/>
      <c r="J24" s="24"/>
    </row>
    <row r="25" customFormat="false" ht="15" hidden="false" customHeight="false" outlineLevel="0" collapsed="false">
      <c r="B25" s="24"/>
      <c r="C25" s="24"/>
      <c r="D25" s="24"/>
      <c r="E25" s="24"/>
      <c r="F25" s="24"/>
      <c r="G25" s="24"/>
      <c r="H25" s="24"/>
      <c r="I25" s="24"/>
      <c r="J25" s="24"/>
    </row>
  </sheetData>
  <mergeCells count="5">
    <mergeCell ref="B3:J3"/>
    <mergeCell ref="B20:E20"/>
    <mergeCell ref="G20:J20"/>
    <mergeCell ref="G21:J21"/>
    <mergeCell ref="B23:J25"/>
  </mergeCells>
  <conditionalFormatting sqref="G6:I18">
    <cfRule type="colorScale" priority="2">
      <colorScale>
        <cfvo type="min" val="0"/>
        <cfvo type="percentile" val="50"/>
        <cfvo type="max" val="0"/>
        <color rgb="FFFFC7CE"/>
        <color rgb="FFFFEB9C"/>
        <color rgb="FFC6EFCE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2026-06-04T13:48:32Z</dcterms:created>
  <dc:creator>openpyxl</dc:creator>
  <dc:description/>
  <dc:language>en-US</dc:language>
  <cp:lastModifiedBy/>
  <dcterms:modified xsi:type="dcterms:W3CDTF">2026-06-04T14:21:20Z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